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Movimentos" state="visible" r:id="rId5"/>
    <sheet sheetId="3" name="Pendentes" state="visible" r:id="rId6"/>
    <sheet sheetId="4" name="Orçamento" state="visible" r:id="rId7"/>
    <sheet sheetId="5" name="Géneros" state="visible" r:id="rId8"/>
    <sheet sheetId="6" name="Saldos" state="visible" r:id="rId9"/>
    <sheet sheetId="7" name="Listas" state="visible" r:id="rId10"/>
  </sheets>
  <calcPr calcId="171027"/>
</workbook>
</file>

<file path=xl/sharedStrings.xml><?xml version="1.0" encoding="utf-8"?>
<sst xmlns="http://schemas.openxmlformats.org/spreadsheetml/2006/main" count="276" uniqueCount="130">
  <si>
    <t>Modelo de tesouraria do TUNADÃO 1998</t>
  </si>
  <si>
    <t>Este ficheiro reúne os dados da tesouraria. Depois de preenchido, carregue-o na página do gerador de relatórios para obter o relatório em PDF.</t>
  </si>
  <si>
    <t>Todas as linhas de exemplo são fictícias. Apague-as antes de começar a registar os seus movimentos.</t>
  </si>
  <si>
    <t>Para que serve cada separador</t>
  </si>
  <si>
    <t>Movimentos: cada recebimento e cada pagamento, com a data em que o dinheiro entrou ou saiu. A tuna trabalha em regime de caixa, por isso só contam os movimentos de dinheiro.</t>
  </si>
  <si>
    <t>Pendentes: valores a receber e dívidas a pagar que ainda não foram liquidados. Preencha a data de liquidação quando o dinheiro mudar de mãos e registe então o movimento correspondente.</t>
  </si>
  <si>
    <t>Orçamento: o valor orçado por rubrica, para uma atividade ou para um período (por exemplo, "20º CITADÃO" ou "2026").</t>
  </si>
  <si>
    <t>Géneros: apoios em espécie. São listados à parte e nunca entram no saldo.</t>
  </si>
  <si>
    <t>Saldos: pontos de controlo do dinheiro que existe em cada conta. Ver a secção seguinte.</t>
  </si>
  <si>
    <t>Listas: as rubricas, sub-rubricas, atividades e meios de pagamento que aparecem nas listas suspensas dos outros separadores.</t>
  </si>
  <si>
    <t>Como funcionam os pontos de controlo (Saldos)</t>
  </si>
  <si>
    <t>Cada linha indica o saldo de uma conta (Caixa ou Banco) no fim de um dia, depois de contar todos os movimentos desse dia: é o saldo contabilístico, não o saldo disponível.</t>
  </si>
  <si>
    <t>A primeira linha de cada conta é o saldo de abertura. Não registe saldos iniciais como movimentos.</t>
  </si>
  <si>
    <t>A fonte indica de onde vem o valor: Extrato (extrato bancário), Contagem (contagem física da caixa) ou Declarado (indicado sem comprovativo).</t>
  </si>
  <si>
    <t>Cada novo ponto de controlo é conferido com o anterior: o saldo anterior mais os movimentos entre as duas datas tem de dar o novo saldo. Se não der, o gerador indica a diferença.</t>
  </si>
  <si>
    <t>Reembolsos e transferências</t>
  </si>
  <si>
    <t>Reembolso: se recebeu de volta dinheiro de uma despesa (por exemplo, uma caução), registe uma Entrada com a rubrica dessa despesa. O valor abate à despesa e não conta como receita.</t>
  </si>
  <si>
    <t>Transferência entre contas (por exemplo, depositar numerário no banco): registe duas linhas com a rubrica "Transferências internas", uma Saída na conta de origem e uma Entrada na conta de destino, com o mesmo valor e a mesma data. Não contam como receita nem despesa.</t>
  </si>
  <si>
    <t>Regras de preenchimento</t>
  </si>
  <si>
    <t>O valor é sempre positivo. O sentido do movimento indica-se na coluna Tipo (Entrada ou Saída).</t>
  </si>
  <si>
    <t>A sub-rubrica é opcional. Quando a deixa vazia, o movimento fica na própria rubrica.</t>
  </si>
  <si>
    <t>Escolha rubricas, sub-rubricas, atividades e meios nas listas suspensas. A lista da sub-rubrica mostra todas as sub-rubricas; escolha uma que pertença à rubrica indicada.</t>
  </si>
  <si>
    <t>Nunca edite as colunas Conta, Valor com sinal (€) e Conta para o resultado: são calculadas automaticamente a partir das restantes.</t>
  </si>
  <si>
    <t>Para acrescentar uma rubrica, atividade ou meio, escreva-o no fim da respetiva coluna do separador Listas. As listas suspensas passam a incluí-lo.</t>
  </si>
  <si>
    <t>Data</t>
  </si>
  <si>
    <t>N.º doc</t>
  </si>
  <si>
    <t>Descrição</t>
  </si>
  <si>
    <t>Atividade</t>
  </si>
  <si>
    <t>Rubrica</t>
  </si>
  <si>
    <t>Sub-rubrica</t>
  </si>
  <si>
    <t>Tipo</t>
  </si>
  <si>
    <t>Meio</t>
  </si>
  <si>
    <t>Valor (€)</t>
  </si>
  <si>
    <t>Conta</t>
  </si>
  <si>
    <t>Valor com sinal (€)</t>
  </si>
  <si>
    <t>Conta para o resultado</t>
  </si>
  <si>
    <t>R-001</t>
  </si>
  <si>
    <t>Inscrições (exemplo fictício)</t>
  </si>
  <si>
    <t>Zumba na Caneca</t>
  </si>
  <si>
    <t>Inscrições e bilheteira</t>
  </si>
  <si>
    <t>Bilheteira</t>
  </si>
  <si>
    <t>Entrada</t>
  </si>
  <si>
    <t>Caixa</t>
  </si>
  <si>
    <t>P-001</t>
  </si>
  <si>
    <t>Cartazes e impressões (exemplo fictício)</t>
  </si>
  <si>
    <t>Comunicação e gráfica</t>
  </si>
  <si>
    <t>Cartazes e impressões</t>
  </si>
  <si>
    <t>Saída</t>
  </si>
  <si>
    <t>P-002</t>
  </si>
  <si>
    <t>Aluguer de som (exemplo fictício)</t>
  </si>
  <si>
    <t>Produção (som, luz, palco)</t>
  </si>
  <si>
    <t>Som e luz</t>
  </si>
  <si>
    <t>Banco</t>
  </si>
  <si>
    <t>R-002</t>
  </si>
  <si>
    <t>Patrocínio do ginásio (exemplo fictício)</t>
  </si>
  <si>
    <t>Patrocínios</t>
  </si>
  <si>
    <t>Patrocínio do evento</t>
  </si>
  <si>
    <t>Vendas do bar por TPA (exemplo fictício)</t>
  </si>
  <si>
    <t>Bar e merchandising</t>
  </si>
  <si>
    <t>Bar</t>
  </si>
  <si>
    <t>TPA</t>
  </si>
  <si>
    <t>P-003</t>
  </si>
  <si>
    <t>Caução do alojamento (exemplo fictício)</t>
  </si>
  <si>
    <t>20º CITADÃO</t>
  </si>
  <si>
    <t>Alimentação e alojamento</t>
  </si>
  <si>
    <t>Alojamento</t>
  </si>
  <si>
    <t>R-003</t>
  </si>
  <si>
    <t>Devolução de parte da caução (exemplo de reembolso)</t>
  </si>
  <si>
    <t>T-001</t>
  </si>
  <si>
    <t>Depósito de numerário (saída da caixa)</t>
  </si>
  <si>
    <t>Funcionamento</t>
  </si>
  <si>
    <t>Transferências internas</t>
  </si>
  <si>
    <t>Depósito de numerário (entrada no banco)</t>
  </si>
  <si>
    <t>Entidade</t>
  </si>
  <si>
    <t>Data de registo</t>
  </si>
  <si>
    <t>Data de liquidação</t>
  </si>
  <si>
    <t>Notas</t>
  </si>
  <si>
    <t>A receber</t>
  </si>
  <si>
    <t>Câmara Municipal (exemplo)</t>
  </si>
  <si>
    <t>Apoio ao evento por receber</t>
  </si>
  <si>
    <t>Protocolo assinado, pagamento previsto em março</t>
  </si>
  <si>
    <t>A pagar</t>
  </si>
  <si>
    <t>Gráfica Exemplo</t>
  </si>
  <si>
    <t>Impressão de t-shirts</t>
  </si>
  <si>
    <t>Festivais</t>
  </si>
  <si>
    <t>Âmbito</t>
  </si>
  <si>
    <t>Orçado (€)</t>
  </si>
  <si>
    <t>2026</t>
  </si>
  <si>
    <t>Quantidade</t>
  </si>
  <si>
    <t>Em falta</t>
  </si>
  <si>
    <t>Valor estimado (€)</t>
  </si>
  <si>
    <t>Cedência de sala (exemplo)</t>
  </si>
  <si>
    <t>1 dia</t>
  </si>
  <si>
    <t>Cartazes oferecidos (exemplo)</t>
  </si>
  <si>
    <t>20 unidades</t>
  </si>
  <si>
    <t>Saldo (€)</t>
  </si>
  <si>
    <t>Fonte</t>
  </si>
  <si>
    <t>Contagem</t>
  </si>
  <si>
    <t>Extrato</t>
  </si>
  <si>
    <t>Quotas</t>
  </si>
  <si>
    <t>Sim</t>
  </si>
  <si>
    <t>Apoio CMV</t>
  </si>
  <si>
    <t>Subsídios e apoios</t>
  </si>
  <si>
    <t>Donativos</t>
  </si>
  <si>
    <t>Apoio UPV</t>
  </si>
  <si>
    <t>Apoio Junta</t>
  </si>
  <si>
    <t>MB Way</t>
  </si>
  <si>
    <t>Atuações e serenatas</t>
  </si>
  <si>
    <t>Inscrições de tunas</t>
  </si>
  <si>
    <t>Merchandising</t>
  </si>
  <si>
    <t>Outros recebimentos</t>
  </si>
  <si>
    <t>Outros</t>
  </si>
  <si>
    <t>Compras para o bar</t>
  </si>
  <si>
    <t>Palco e estruturas</t>
  </si>
  <si>
    <t>Deslocações</t>
  </si>
  <si>
    <t>Refeições das tunas</t>
  </si>
  <si>
    <t>Prémios e troféus</t>
  </si>
  <si>
    <t>Instrumentos e manutenção</t>
  </si>
  <si>
    <t>Bebidas e consumíveis</t>
  </si>
  <si>
    <t>Merchandising e trajes</t>
  </si>
  <si>
    <t>Prémios</t>
  </si>
  <si>
    <t>Júri</t>
  </si>
  <si>
    <t>Seguros e despesas bancárias</t>
  </si>
  <si>
    <t>T-shirts</t>
  </si>
  <si>
    <t>Taxas e licenças</t>
  </si>
  <si>
    <t>Outros pagamentos</t>
  </si>
  <si>
    <t>Seguro</t>
  </si>
  <si>
    <t>Não</t>
  </si>
  <si>
    <t>Licenças e SPA</t>
  </si>
  <si>
    <t>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</si>
</sst>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4" x14ac:knownFonts="1">
    <font>
      <color theme="1"/>
      <family val="2"/>
      <scheme val="minor"/>
      <sz val="11"/>
      <name val="Calibri"/>
    </font>
    <font>
      <b/>
      <sz val="16"/>
    </font>
    <font>
      <b/>
      <sz val="12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49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5" spans="1:1" x14ac:dyDescent="0.25">
      <c r="A5" s="3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3" spans="1:1" x14ac:dyDescent="0.25">
      <c r="A23" s="3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style="5" customWidth="1"/>
    <col min="10" max="10" width="10" customWidth="1"/>
    <col min="11" max="11" width="16" style="5" customWidth="1"/>
    <col min="12" max="12" width="14" customWidth="1"/>
  </cols>
  <sheetData>
    <row r="1" spans="1:12" s="6" customFormat="1" x14ac:dyDescent="0.25">
      <c r="A1" s="7" t="s">
        <v>24</v>
      </c>
      <c r="B1" s="7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</row>
    <row r="2" spans="1:12" x14ac:dyDescent="0.25">
      <c r="A2" s="4">
        <v>46058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  <c r="I2" s="5">
        <v>120</v>
      </c>
      <c r="J2" t="str">
        <f>IF(H2="","",IFERROR(VLOOKUP(H2,Listas!$J$2:$K$1048576,2,FALSE),""))</f>
        <v>Caixa</v>
      </c>
      <c r="K2" s="5">
        <f>IF(OR(I2="",G2=""),"",IF(G2="Saída",-I2,I2))</f>
        <v>120</v>
      </c>
      <c r="L2" t="str">
        <f>IF(E2="","",IFERROR(VLOOKUP(E2,Listas!$A$2:$C$1048576,3,FALSE),""))</f>
        <v>Sim</v>
      </c>
    </row>
    <row r="3" spans="1:12" x14ac:dyDescent="0.25">
      <c r="A3" s="4">
        <v>46059</v>
      </c>
      <c r="B3" t="s">
        <v>43</v>
      </c>
      <c r="C3" t="s">
        <v>44</v>
      </c>
      <c r="D3" t="s">
        <v>38</v>
      </c>
      <c r="E3" t="s">
        <v>45</v>
      </c>
      <c r="F3" t="s">
        <v>46</v>
      </c>
      <c r="G3" t="s">
        <v>47</v>
      </c>
      <c r="H3" t="s">
        <v>42</v>
      </c>
      <c r="I3" s="5">
        <v>48</v>
      </c>
      <c r="J3" t="str">
        <f>IF(H3="","",IFERROR(VLOOKUP(H3,Listas!$J$2:$K$1048576,2,FALSE),""))</f>
        <v>Caixa</v>
      </c>
      <c r="K3" s="5">
        <f>IF(OR(I3="",G3=""),"",IF(G3="Saída",-I3,I3))</f>
        <v>-48</v>
      </c>
      <c r="L3" t="str">
        <f>IF(E3="","",IFERROR(VLOOKUP(E3,Listas!$A$2:$C$1048576,3,FALSE),""))</f>
        <v>Sim</v>
      </c>
    </row>
    <row r="4" spans="1:12" x14ac:dyDescent="0.25">
      <c r="A4" s="4">
        <v>46063</v>
      </c>
      <c r="B4" t="s">
        <v>48</v>
      </c>
      <c r="C4" t="s">
        <v>49</v>
      </c>
      <c r="D4" t="s">
        <v>38</v>
      </c>
      <c r="E4" t="s">
        <v>50</v>
      </c>
      <c r="F4" t="s">
        <v>51</v>
      </c>
      <c r="G4" t="s">
        <v>47</v>
      </c>
      <c r="H4" t="s">
        <v>52</v>
      </c>
      <c r="I4" s="5">
        <v>300</v>
      </c>
      <c r="J4" t="str">
        <f>IF(H4="","",IFERROR(VLOOKUP(H4,Listas!$J$2:$K$1048576,2,FALSE),""))</f>
        <v>Banco</v>
      </c>
      <c r="K4" s="5">
        <f>IF(OR(I4="",G4=""),"",IF(G4="Saída",-I4,I4))</f>
        <v>-300</v>
      </c>
      <c r="L4" t="str">
        <f>IF(E4="","",IFERROR(VLOOKUP(E4,Listas!$A$2:$C$1048576,3,FALSE),""))</f>
        <v>Sim</v>
      </c>
    </row>
    <row r="5" spans="1:12" x14ac:dyDescent="0.25">
      <c r="A5" s="4">
        <v>46065</v>
      </c>
      <c r="B5" t="s">
        <v>53</v>
      </c>
      <c r="C5" t="s">
        <v>54</v>
      </c>
      <c r="D5" t="s">
        <v>38</v>
      </c>
      <c r="E5" t="s">
        <v>55</v>
      </c>
      <c r="F5" t="s">
        <v>56</v>
      </c>
      <c r="G5" t="s">
        <v>41</v>
      </c>
      <c r="H5" t="s">
        <v>52</v>
      </c>
      <c r="I5" s="5">
        <v>500</v>
      </c>
      <c r="J5" t="str">
        <f>IF(H5="","",IFERROR(VLOOKUP(H5,Listas!$J$2:$K$1048576,2,FALSE),""))</f>
        <v>Banco</v>
      </c>
      <c r="K5" s="5">
        <f>IF(OR(I5="",G5=""),"",IF(G5="Saída",-I5,I5))</f>
        <v>500</v>
      </c>
      <c r="L5" t="str">
        <f>IF(E5="","",IFERROR(VLOOKUP(E5,Listas!$A$2:$C$1048576,3,FALSE),""))</f>
        <v>Sim</v>
      </c>
    </row>
    <row r="6" spans="1:12" x14ac:dyDescent="0.25">
      <c r="A6" s="4">
        <v>46068</v>
      </c>
      <c r="C6" t="s">
        <v>57</v>
      </c>
      <c r="D6" t="s">
        <v>38</v>
      </c>
      <c r="E6" t="s">
        <v>58</v>
      </c>
      <c r="F6" t="s">
        <v>59</v>
      </c>
      <c r="G6" t="s">
        <v>41</v>
      </c>
      <c r="H6" t="s">
        <v>60</v>
      </c>
      <c r="I6" s="5">
        <v>85.5</v>
      </c>
      <c r="J6" t="str">
        <f>IF(H6="","",IFERROR(VLOOKUP(H6,Listas!$J$2:$K$1048576,2,FALSE),""))</f>
        <v>Banco</v>
      </c>
      <c r="K6" s="5">
        <f>IF(OR(I6="",G6=""),"",IF(G6="Saída",-I6,I6))</f>
        <v>85.5</v>
      </c>
      <c r="L6" t="str">
        <f>IF(E6="","",IFERROR(VLOOKUP(E6,Listas!$A$2:$C$1048576,3,FALSE),""))</f>
        <v>Sim</v>
      </c>
    </row>
    <row r="7" spans="1:12" x14ac:dyDescent="0.25">
      <c r="A7" s="4">
        <v>46069</v>
      </c>
      <c r="B7" t="s">
        <v>61</v>
      </c>
      <c r="C7" t="s">
        <v>62</v>
      </c>
      <c r="D7" t="s">
        <v>63</v>
      </c>
      <c r="E7" t="s">
        <v>64</v>
      </c>
      <c r="F7" t="s">
        <v>65</v>
      </c>
      <c r="G7" t="s">
        <v>47</v>
      </c>
      <c r="H7" t="s">
        <v>52</v>
      </c>
      <c r="I7" s="5">
        <v>400</v>
      </c>
      <c r="J7" t="str">
        <f>IF(H7="","",IFERROR(VLOOKUP(H7,Listas!$J$2:$K$1048576,2,FALSE),""))</f>
        <v>Banco</v>
      </c>
      <c r="K7" s="5">
        <f>IF(OR(I7="",G7=""),"",IF(G7="Saída",-I7,I7))</f>
        <v>-400</v>
      </c>
      <c r="L7" t="str">
        <f>IF(E7="","",IFERROR(VLOOKUP(E7,Listas!$A$2:$C$1048576,3,FALSE),""))</f>
        <v>Sim</v>
      </c>
    </row>
    <row r="8" spans="1:12" x14ac:dyDescent="0.25">
      <c r="A8" s="4">
        <v>46073</v>
      </c>
      <c r="B8" t="s">
        <v>66</v>
      </c>
      <c r="C8" t="s">
        <v>67</v>
      </c>
      <c r="D8" t="s">
        <v>63</v>
      </c>
      <c r="E8" t="s">
        <v>64</v>
      </c>
      <c r="F8" t="s">
        <v>65</v>
      </c>
      <c r="G8" t="s">
        <v>41</v>
      </c>
      <c r="H8" t="s">
        <v>52</v>
      </c>
      <c r="I8" s="5">
        <v>100</v>
      </c>
      <c r="J8" t="str">
        <f>IF(H8="","",IFERROR(VLOOKUP(H8,Listas!$J$2:$K$1048576,2,FALSE),""))</f>
        <v>Banco</v>
      </c>
      <c r="K8" s="5">
        <f>IF(OR(I8="",G8=""),"",IF(G8="Saída",-I8,I8))</f>
        <v>100</v>
      </c>
      <c r="L8" t="str">
        <f>IF(E8="","",IFERROR(VLOOKUP(E8,Listas!$A$2:$C$1048576,3,FALSE),""))</f>
        <v>Sim</v>
      </c>
    </row>
    <row r="9" spans="1:12" x14ac:dyDescent="0.25">
      <c r="A9" s="4">
        <v>46075</v>
      </c>
      <c r="B9" t="s">
        <v>68</v>
      </c>
      <c r="C9" t="s">
        <v>69</v>
      </c>
      <c r="D9" t="s">
        <v>70</v>
      </c>
      <c r="E9" t="s">
        <v>71</v>
      </c>
      <c r="G9" t="s">
        <v>47</v>
      </c>
      <c r="H9" t="s">
        <v>42</v>
      </c>
      <c r="I9" s="5">
        <v>100</v>
      </c>
      <c r="J9" t="str">
        <f>IF(H9="","",IFERROR(VLOOKUP(H9,Listas!$J$2:$K$1048576,2,FALSE),""))</f>
        <v>Caixa</v>
      </c>
      <c r="K9" s="5">
        <f>IF(OR(I9="",G9=""),"",IF(G9="Saída",-I9,I9))</f>
        <v>-100</v>
      </c>
      <c r="L9" t="str">
        <f>IF(E9="","",IFERROR(VLOOKUP(E9,Listas!$A$2:$C$1048576,3,FALSE),""))</f>
        <v>Não</v>
      </c>
    </row>
    <row r="10" spans="1:12" x14ac:dyDescent="0.25">
      <c r="A10" s="4">
        <v>46075</v>
      </c>
      <c r="B10" t="s">
        <v>68</v>
      </c>
      <c r="C10" t="s">
        <v>72</v>
      </c>
      <c r="D10" t="s">
        <v>70</v>
      </c>
      <c r="E10" t="s">
        <v>71</v>
      </c>
      <c r="G10" t="s">
        <v>41</v>
      </c>
      <c r="H10" t="s">
        <v>52</v>
      </c>
      <c r="I10" s="5">
        <v>100</v>
      </c>
      <c r="J10" t="str">
        <f>IF(H10="","",IFERROR(VLOOKUP(H10,Listas!$J$2:$K$1048576,2,FALSE),""))</f>
        <v>Banco</v>
      </c>
      <c r="K10" s="5">
        <f>IF(OR(I10="",G10=""),"",IF(G10="Saída",-I10,I10))</f>
        <v>100</v>
      </c>
      <c r="L10" t="str">
        <f>IF(E10="","",IFERROR(VLOOKUP(E10,Listas!$A$2:$C$1048576,3,FALSE),""))</f>
        <v>Não</v>
      </c>
    </row>
    <row r="11" spans="10:12" x14ac:dyDescent="0.25">
      <c r="J11" t="str">
        <f>IF(H11="","",IFERROR(VLOOKUP(H11,Listas!$J$2:$K$1048576,2,FALSE),""))</f>
        <v/>
      </c>
      <c r="K11" s="5" t="str">
        <f>IF(OR(I11="",G11=""),"",IF(G11="Saída",-I11,I11))</f>
        <v/>
      </c>
      <c r="L11" t="str">
        <f>IF(E11="","",IFERROR(VLOOKUP(E11,Listas!$A$2:$C$1048576,3,FALSE),""))</f>
        <v/>
      </c>
    </row>
    <row r="12" spans="10:12" x14ac:dyDescent="0.25">
      <c r="J12" t="str">
        <f>IF(H12="","",IFERROR(VLOOKUP(H12,Listas!$J$2:$K$1048576,2,FALSE),""))</f>
        <v/>
      </c>
      <c r="K12" s="5" t="str">
        <f>IF(OR(I12="",G12=""),"",IF(G12="Saída",-I12,I12))</f>
        <v/>
      </c>
      <c r="L12" t="str">
        <f>IF(E12="","",IFERROR(VLOOKUP(E12,Listas!$A$2:$C$1048576,3,FALSE),""))</f>
        <v/>
      </c>
    </row>
    <row r="13" spans="10:12" x14ac:dyDescent="0.25">
      <c r="J13" t="str">
        <f>IF(H13="","",IFERROR(VLOOKUP(H13,Listas!$J$2:$K$1048576,2,FALSE),""))</f>
        <v/>
      </c>
      <c r="K13" s="5" t="str">
        <f>IF(OR(I13="",G13=""),"",IF(G13="Saída",-I13,I13))</f>
        <v/>
      </c>
      <c r="L13" t="str">
        <f>IF(E13="","",IFERROR(VLOOKUP(E13,Listas!$A$2:$C$1048576,3,FALSE),""))</f>
        <v/>
      </c>
    </row>
    <row r="14" spans="10:12" x14ac:dyDescent="0.25">
      <c r="J14" t="str">
        <f>IF(H14="","",IFERROR(VLOOKUP(H14,Listas!$J$2:$K$1048576,2,FALSE),""))</f>
        <v/>
      </c>
      <c r="K14" s="5" t="str">
        <f>IF(OR(I14="",G14=""),"",IF(G14="Saída",-I14,I14))</f>
        <v/>
      </c>
      <c r="L14" t="str">
        <f>IF(E14="","",IFERROR(VLOOKUP(E14,Listas!$A$2:$C$1048576,3,FALSE),""))</f>
        <v/>
      </c>
    </row>
    <row r="15" spans="10:12" x14ac:dyDescent="0.25">
      <c r="J15" t="str">
        <f>IF(H15="","",IFERROR(VLOOKUP(H15,Listas!$J$2:$K$1048576,2,FALSE),""))</f>
        <v/>
      </c>
      <c r="K15" s="5" t="str">
        <f>IF(OR(I15="",G15=""),"",IF(G15="Saída",-I15,I15))</f>
        <v/>
      </c>
      <c r="L15" t="str">
        <f>IF(E15="","",IFERROR(VLOOKUP(E15,Listas!$A$2:$C$1048576,3,FALSE),""))</f>
        <v/>
      </c>
    </row>
    <row r="16" spans="10:12" x14ac:dyDescent="0.25">
      <c r="J16" t="str">
        <f>IF(H16="","",IFERROR(VLOOKUP(H16,Listas!$J$2:$K$1048576,2,FALSE),""))</f>
        <v/>
      </c>
      <c r="K16" s="5" t="str">
        <f>IF(OR(I16="",G16=""),"",IF(G16="Saída",-I16,I16))</f>
        <v/>
      </c>
      <c r="L16" t="str">
        <f>IF(E16="","",IFERROR(VLOOKUP(E16,Listas!$A$2:$C$1048576,3,FALSE),""))</f>
        <v/>
      </c>
    </row>
    <row r="17" spans="10:12" x14ac:dyDescent="0.25">
      <c r="J17" t="str">
        <f>IF(H17="","",IFERROR(VLOOKUP(H17,Listas!$J$2:$K$1048576,2,FALSE),""))</f>
        <v/>
      </c>
      <c r="K17" s="5" t="str">
        <f>IF(OR(I17="",G17=""),"",IF(G17="Saída",-I17,I17))</f>
        <v/>
      </c>
      <c r="L17" t="str">
        <f>IF(E17="","",IFERROR(VLOOKUP(E17,Listas!$A$2:$C$1048576,3,FALSE),""))</f>
        <v/>
      </c>
    </row>
    <row r="18" spans="10:12" x14ac:dyDescent="0.25">
      <c r="J18" t="str">
        <f>IF(H18="","",IFERROR(VLOOKUP(H18,Listas!$J$2:$K$1048576,2,FALSE),""))</f>
        <v/>
      </c>
      <c r="K18" s="5" t="str">
        <f>IF(OR(I18="",G18=""),"",IF(G18="Saída",-I18,I18))</f>
        <v/>
      </c>
      <c r="L18" t="str">
        <f>IF(E18="","",IFERROR(VLOOKUP(E18,Listas!$A$2:$C$1048576,3,FALSE),""))</f>
        <v/>
      </c>
    </row>
    <row r="19" spans="10:12" x14ac:dyDescent="0.25">
      <c r="J19" t="str">
        <f>IF(H19="","",IFERROR(VLOOKUP(H19,Listas!$J$2:$K$1048576,2,FALSE),""))</f>
        <v/>
      </c>
      <c r="K19" s="5" t="str">
        <f>IF(OR(I19="",G19=""),"",IF(G19="Saída",-I19,I19))</f>
        <v/>
      </c>
      <c r="L19" t="str">
        <f>IF(E19="","",IFERROR(VLOOKUP(E19,Listas!$A$2:$C$1048576,3,FALSE),""))</f>
        <v/>
      </c>
    </row>
    <row r="20" spans="10:12" x14ac:dyDescent="0.25">
      <c r="J20" t="str">
        <f>IF(H20="","",IFERROR(VLOOKUP(H20,Listas!$J$2:$K$1048576,2,FALSE),""))</f>
        <v/>
      </c>
      <c r="K20" s="5" t="str">
        <f>IF(OR(I20="",G20=""),"",IF(G20="Saída",-I20,I20))</f>
        <v/>
      </c>
      <c r="L20" t="str">
        <f>IF(E20="","",IFERROR(VLOOKUP(E20,Listas!$A$2:$C$1048576,3,FALSE),""))</f>
        <v/>
      </c>
    </row>
    <row r="21" spans="10:12" x14ac:dyDescent="0.25">
      <c r="J21" t="str">
        <f>IF(H21="","",IFERROR(VLOOKUP(H21,Listas!$J$2:$K$1048576,2,FALSE),""))</f>
        <v/>
      </c>
      <c r="K21" s="5" t="str">
        <f>IF(OR(I21="",G21=""),"",IF(G21="Saída",-I21,I21))</f>
        <v/>
      </c>
      <c r="L21" t="str">
        <f>IF(E21="","",IFERROR(VLOOKUP(E21,Listas!$A$2:$C$1048576,3,FALSE),""))</f>
        <v/>
      </c>
    </row>
    <row r="22" spans="10:12" x14ac:dyDescent="0.25">
      <c r="J22" t="str">
        <f>IF(H22="","",IFERROR(VLOOKUP(H22,Listas!$J$2:$K$1048576,2,FALSE),""))</f>
        <v/>
      </c>
      <c r="K22" s="5" t="str">
        <f>IF(OR(I22="",G22=""),"",IF(G22="Saída",-I22,I22))</f>
        <v/>
      </c>
      <c r="L22" t="str">
        <f>IF(E22="","",IFERROR(VLOOKUP(E22,Listas!$A$2:$C$1048576,3,FALSE),""))</f>
        <v/>
      </c>
    </row>
    <row r="23" spans="10:12" x14ac:dyDescent="0.25">
      <c r="J23" t="str">
        <f>IF(H23="","",IFERROR(VLOOKUP(H23,Listas!$J$2:$K$1048576,2,FALSE),""))</f>
        <v/>
      </c>
      <c r="K23" s="5" t="str">
        <f>IF(OR(I23="",G23=""),"",IF(G23="Saída",-I23,I23))</f>
        <v/>
      </c>
      <c r="L23" t="str">
        <f>IF(E23="","",IFERROR(VLOOKUP(E23,Listas!$A$2:$C$1048576,3,FALSE),""))</f>
        <v/>
      </c>
    </row>
    <row r="24" spans="10:12" x14ac:dyDescent="0.25">
      <c r="J24" t="str">
        <f>IF(H24="","",IFERROR(VLOOKUP(H24,Listas!$J$2:$K$1048576,2,FALSE),""))</f>
        <v/>
      </c>
      <c r="K24" s="5" t="str">
        <f>IF(OR(I24="",G24=""),"",IF(G24="Saída",-I24,I24))</f>
        <v/>
      </c>
      <c r="L24" t="str">
        <f>IF(E24="","",IFERROR(VLOOKUP(E24,Listas!$A$2:$C$1048576,3,FALSE),""))</f>
        <v/>
      </c>
    </row>
    <row r="25" spans="10:12" x14ac:dyDescent="0.25">
      <c r="J25" t="str">
        <f>IF(H25="","",IFERROR(VLOOKUP(H25,Listas!$J$2:$K$1048576,2,FALSE),""))</f>
        <v/>
      </c>
      <c r="K25" s="5" t="str">
        <f>IF(OR(I25="",G25=""),"",IF(G25="Saída",-I25,I25))</f>
        <v/>
      </c>
      <c r="L25" t="str">
        <f>IF(E25="","",IFERROR(VLOOKUP(E25,Listas!$A$2:$C$1048576,3,FALSE),""))</f>
        <v/>
      </c>
    </row>
    <row r="26" spans="10:12" x14ac:dyDescent="0.25">
      <c r="J26" t="str">
        <f>IF(H26="","",IFERROR(VLOOKUP(H26,Listas!$J$2:$K$1048576,2,FALSE),""))</f>
        <v/>
      </c>
      <c r="K26" s="5" t="str">
        <f>IF(OR(I26="",G26=""),"",IF(G26="Saída",-I26,I26))</f>
        <v/>
      </c>
      <c r="L26" t="str">
        <f>IF(E26="","",IFERROR(VLOOKUP(E26,Listas!$A$2:$C$1048576,3,FALSE),""))</f>
        <v/>
      </c>
    </row>
    <row r="27" spans="10:12" x14ac:dyDescent="0.25">
      <c r="J27" t="str">
        <f>IF(H27="","",IFERROR(VLOOKUP(H27,Listas!$J$2:$K$1048576,2,FALSE),""))</f>
        <v/>
      </c>
      <c r="K27" s="5" t="str">
        <f>IF(OR(I27="",G27=""),"",IF(G27="Saída",-I27,I27))</f>
        <v/>
      </c>
      <c r="L27" t="str">
        <f>IF(E27="","",IFERROR(VLOOKUP(E27,Listas!$A$2:$C$1048576,3,FALSE),""))</f>
        <v/>
      </c>
    </row>
    <row r="28" spans="10:12" x14ac:dyDescent="0.25">
      <c r="J28" t="str">
        <f>IF(H28="","",IFERROR(VLOOKUP(H28,Listas!$J$2:$K$1048576,2,FALSE),""))</f>
        <v/>
      </c>
      <c r="K28" s="5" t="str">
        <f>IF(OR(I28="",G28=""),"",IF(G28="Saída",-I28,I28))</f>
        <v/>
      </c>
      <c r="L28" t="str">
        <f>IF(E28="","",IFERROR(VLOOKUP(E28,Listas!$A$2:$C$1048576,3,FALSE),""))</f>
        <v/>
      </c>
    </row>
    <row r="29" spans="10:12" x14ac:dyDescent="0.25">
      <c r="J29" t="str">
        <f>IF(H29="","",IFERROR(VLOOKUP(H29,Listas!$J$2:$K$1048576,2,FALSE),""))</f>
        <v/>
      </c>
      <c r="K29" s="5" t="str">
        <f>IF(OR(I29="",G29=""),"",IF(G29="Saída",-I29,I29))</f>
        <v/>
      </c>
      <c r="L29" t="str">
        <f>IF(E29="","",IFERROR(VLOOKUP(E29,Listas!$A$2:$C$1048576,3,FALSE),""))</f>
        <v/>
      </c>
    </row>
    <row r="30" spans="10:12" x14ac:dyDescent="0.25">
      <c r="J30" t="str">
        <f>IF(H30="","",IFERROR(VLOOKUP(H30,Listas!$J$2:$K$1048576,2,FALSE),""))</f>
        <v/>
      </c>
      <c r="K30" s="5" t="str">
        <f>IF(OR(I30="",G30=""),"",IF(G30="Saída",-I30,I30))</f>
        <v/>
      </c>
      <c r="L30" t="str">
        <f>IF(E30="","",IFERROR(VLOOKUP(E30,Listas!$A$2:$C$1048576,3,FALSE),""))</f>
        <v/>
      </c>
    </row>
    <row r="31" spans="10:12" x14ac:dyDescent="0.25">
      <c r="J31" t="str">
        <f>IF(H31="","",IFERROR(VLOOKUP(H31,Listas!$J$2:$K$1048576,2,FALSE),""))</f>
        <v/>
      </c>
      <c r="K31" s="5" t="str">
        <f>IF(OR(I31="",G31=""),"",IF(G31="Saída",-I31,I31))</f>
        <v/>
      </c>
      <c r="L31" t="str">
        <f>IF(E31="","",IFERROR(VLOOKUP(E31,Listas!$A$2:$C$1048576,3,FALSE),""))</f>
        <v/>
      </c>
    </row>
    <row r="32" spans="10:12" x14ac:dyDescent="0.25">
      <c r="J32" t="str">
        <f>IF(H32="","",IFERROR(VLOOKUP(H32,Listas!$J$2:$K$1048576,2,FALSE),""))</f>
        <v/>
      </c>
      <c r="K32" s="5" t="str">
        <f>IF(OR(I32="",G32=""),"",IF(G32="Saída",-I32,I32))</f>
        <v/>
      </c>
      <c r="L32" t="str">
        <f>IF(E32="","",IFERROR(VLOOKUP(E32,Listas!$A$2:$C$1048576,3,FALSE),""))</f>
        <v/>
      </c>
    </row>
    <row r="33" spans="10:12" x14ac:dyDescent="0.25">
      <c r="J33" t="str">
        <f>IF(H33="","",IFERROR(VLOOKUP(H33,Listas!$J$2:$K$1048576,2,FALSE),""))</f>
        <v/>
      </c>
      <c r="K33" s="5" t="str">
        <f>IF(OR(I33="",G33=""),"",IF(G33="Saída",-I33,I33))</f>
        <v/>
      </c>
      <c r="L33" t="str">
        <f>IF(E33="","",IFERROR(VLOOKUP(E33,Listas!$A$2:$C$1048576,3,FALSE),""))</f>
        <v/>
      </c>
    </row>
    <row r="34" spans="10:12" x14ac:dyDescent="0.25">
      <c r="J34" t="str">
        <f>IF(H34="","",IFERROR(VLOOKUP(H34,Listas!$J$2:$K$1048576,2,FALSE),""))</f>
        <v/>
      </c>
      <c r="K34" s="5" t="str">
        <f>IF(OR(I34="",G34=""),"",IF(G34="Saída",-I34,I34))</f>
        <v/>
      </c>
      <c r="L34" t="str">
        <f>IF(E34="","",IFERROR(VLOOKUP(E34,Listas!$A$2:$C$1048576,3,FALSE),""))</f>
        <v/>
      </c>
    </row>
    <row r="35" spans="10:12" x14ac:dyDescent="0.25">
      <c r="J35" t="str">
        <f>IF(H35="","",IFERROR(VLOOKUP(H35,Listas!$J$2:$K$1048576,2,FALSE),""))</f>
        <v/>
      </c>
      <c r="K35" s="5" t="str">
        <f>IF(OR(I35="",G35=""),"",IF(G35="Saída",-I35,I35))</f>
        <v/>
      </c>
      <c r="L35" t="str">
        <f>IF(E35="","",IFERROR(VLOOKUP(E35,Listas!$A$2:$C$1048576,3,FALSE),""))</f>
        <v/>
      </c>
    </row>
    <row r="36" spans="10:12" x14ac:dyDescent="0.25">
      <c r="J36" t="str">
        <f>IF(H36="","",IFERROR(VLOOKUP(H36,Listas!$J$2:$K$1048576,2,FALSE),""))</f>
        <v/>
      </c>
      <c r="K36" s="5" t="str">
        <f>IF(OR(I36="",G36=""),"",IF(G36="Saída",-I36,I36))</f>
        <v/>
      </c>
      <c r="L36" t="str">
        <f>IF(E36="","",IFERROR(VLOOKUP(E36,Listas!$A$2:$C$1048576,3,FALSE),""))</f>
        <v/>
      </c>
    </row>
    <row r="37" spans="10:12" x14ac:dyDescent="0.25">
      <c r="J37" t="str">
        <f>IF(H37="","",IFERROR(VLOOKUP(H37,Listas!$J$2:$K$1048576,2,FALSE),""))</f>
        <v/>
      </c>
      <c r="K37" s="5" t="str">
        <f>IF(OR(I37="",G37=""),"",IF(G37="Saída",-I37,I37))</f>
        <v/>
      </c>
      <c r="L37" t="str">
        <f>IF(E37="","",IFERROR(VLOOKUP(E37,Listas!$A$2:$C$1048576,3,FALSE),""))</f>
        <v/>
      </c>
    </row>
    <row r="38" spans="10:12" x14ac:dyDescent="0.25">
      <c r="J38" t="str">
        <f>IF(H38="","",IFERROR(VLOOKUP(H38,Listas!$J$2:$K$1048576,2,FALSE),""))</f>
        <v/>
      </c>
      <c r="K38" s="5" t="str">
        <f>IF(OR(I38="",G38=""),"",IF(G38="Saída",-I38,I38))</f>
        <v/>
      </c>
      <c r="L38" t="str">
        <f>IF(E38="","",IFERROR(VLOOKUP(E38,Listas!$A$2:$C$1048576,3,FALSE),""))</f>
        <v/>
      </c>
    </row>
    <row r="39" spans="10:12" x14ac:dyDescent="0.25">
      <c r="J39" t="str">
        <f>IF(H39="","",IFERROR(VLOOKUP(H39,Listas!$J$2:$K$1048576,2,FALSE),""))</f>
        <v/>
      </c>
      <c r="K39" s="5" t="str">
        <f>IF(OR(I39="",G39=""),"",IF(G39="Saída",-I39,I39))</f>
        <v/>
      </c>
      <c r="L39" t="str">
        <f>IF(E39="","",IFERROR(VLOOKUP(E39,Listas!$A$2:$C$1048576,3,FALSE),""))</f>
        <v/>
      </c>
    </row>
    <row r="40" spans="10:12" x14ac:dyDescent="0.25">
      <c r="J40" t="str">
        <f>IF(H40="","",IFERROR(VLOOKUP(H40,Listas!$J$2:$K$1048576,2,FALSE),""))</f>
        <v/>
      </c>
      <c r="K40" s="5" t="str">
        <f>IF(OR(I40="",G40=""),"",IF(G40="Saída",-I40,I40))</f>
        <v/>
      </c>
      <c r="L40" t="str">
        <f>IF(E40="","",IFERROR(VLOOKUP(E40,Listas!$A$2:$C$1048576,3,FALSE),""))</f>
        <v/>
      </c>
    </row>
    <row r="41" spans="10:12" x14ac:dyDescent="0.25">
      <c r="J41" t="str">
        <f>IF(H41="","",IFERROR(VLOOKUP(H41,Listas!$J$2:$K$1048576,2,FALSE),""))</f>
        <v/>
      </c>
      <c r="K41" s="5" t="str">
        <f>IF(OR(I41="",G41=""),"",IF(G41="Saída",-I41,I41))</f>
        <v/>
      </c>
      <c r="L41" t="str">
        <f>IF(E41="","",IFERROR(VLOOKUP(E41,Listas!$A$2:$C$1048576,3,FALSE),""))</f>
        <v/>
      </c>
    </row>
    <row r="42" spans="10:12" x14ac:dyDescent="0.25">
      <c r="J42" t="str">
        <f>IF(H42="","",IFERROR(VLOOKUP(H42,Listas!$J$2:$K$1048576,2,FALSE),""))</f>
        <v/>
      </c>
      <c r="K42" s="5" t="str">
        <f>IF(OR(I42="",G42=""),"",IF(G42="Saída",-I42,I42))</f>
        <v/>
      </c>
      <c r="L42" t="str">
        <f>IF(E42="","",IFERROR(VLOOKUP(E42,Listas!$A$2:$C$1048576,3,FALSE),""))</f>
        <v/>
      </c>
    </row>
    <row r="43" spans="10:12" x14ac:dyDescent="0.25">
      <c r="J43" t="str">
        <f>IF(H43="","",IFERROR(VLOOKUP(H43,Listas!$J$2:$K$1048576,2,FALSE),""))</f>
        <v/>
      </c>
      <c r="K43" s="5" t="str">
        <f>IF(OR(I43="",G43=""),"",IF(G43="Saída",-I43,I43))</f>
        <v/>
      </c>
      <c r="L43" t="str">
        <f>IF(E43="","",IFERROR(VLOOKUP(E43,Listas!$A$2:$C$1048576,3,FALSE),""))</f>
        <v/>
      </c>
    </row>
    <row r="44" spans="10:12" x14ac:dyDescent="0.25">
      <c r="J44" t="str">
        <f>IF(H44="","",IFERROR(VLOOKUP(H44,Listas!$J$2:$K$1048576,2,FALSE),""))</f>
        <v/>
      </c>
      <c r="K44" s="5" t="str">
        <f>IF(OR(I44="",G44=""),"",IF(G44="Saída",-I44,I44))</f>
        <v/>
      </c>
      <c r="L44" t="str">
        <f>IF(E44="","",IFERROR(VLOOKUP(E44,Listas!$A$2:$C$1048576,3,FALSE),""))</f>
        <v/>
      </c>
    </row>
    <row r="45" spans="10:12" x14ac:dyDescent="0.25">
      <c r="J45" t="str">
        <f>IF(H45="","",IFERROR(VLOOKUP(H45,Listas!$J$2:$K$1048576,2,FALSE),""))</f>
        <v/>
      </c>
      <c r="K45" s="5" t="str">
        <f>IF(OR(I45="",G45=""),"",IF(G45="Saída",-I45,I45))</f>
        <v/>
      </c>
      <c r="L45" t="str">
        <f>IF(E45="","",IFERROR(VLOOKUP(E45,Listas!$A$2:$C$1048576,3,FALSE),""))</f>
        <v/>
      </c>
    </row>
    <row r="46" spans="10:12" x14ac:dyDescent="0.25">
      <c r="J46" t="str">
        <f>IF(H46="","",IFERROR(VLOOKUP(H46,Listas!$J$2:$K$1048576,2,FALSE),""))</f>
        <v/>
      </c>
      <c r="K46" s="5" t="str">
        <f>IF(OR(I46="",G46=""),"",IF(G46="Saída",-I46,I46))</f>
        <v/>
      </c>
      <c r="L46" t="str">
        <f>IF(E46="","",IFERROR(VLOOKUP(E46,Listas!$A$2:$C$1048576,3,FALSE),""))</f>
        <v/>
      </c>
    </row>
    <row r="47" spans="10:12" x14ac:dyDescent="0.25">
      <c r="J47" t="str">
        <f>IF(H47="","",IFERROR(VLOOKUP(H47,Listas!$J$2:$K$1048576,2,FALSE),""))</f>
        <v/>
      </c>
      <c r="K47" s="5" t="str">
        <f>IF(OR(I47="",G47=""),"",IF(G47="Saída",-I47,I47))</f>
        <v/>
      </c>
      <c r="L47" t="str">
        <f>IF(E47="","",IFERROR(VLOOKUP(E47,Listas!$A$2:$C$1048576,3,FALSE),""))</f>
        <v/>
      </c>
    </row>
    <row r="48" spans="10:12" x14ac:dyDescent="0.25">
      <c r="J48" t="str">
        <f>IF(H48="","",IFERROR(VLOOKUP(H48,Listas!$J$2:$K$1048576,2,FALSE),""))</f>
        <v/>
      </c>
      <c r="K48" s="5" t="str">
        <f>IF(OR(I48="",G48=""),"",IF(G48="Saída",-I48,I48))</f>
        <v/>
      </c>
      <c r="L48" t="str">
        <f>IF(E48="","",IFERROR(VLOOKUP(E48,Listas!$A$2:$C$1048576,3,FALSE),""))</f>
        <v/>
      </c>
    </row>
    <row r="49" spans="10:12" x14ac:dyDescent="0.25">
      <c r="J49" t="str">
        <f>IF(H49="","",IFERROR(VLOOKUP(H49,Listas!$J$2:$K$1048576,2,FALSE),""))</f>
        <v/>
      </c>
      <c r="K49" s="5" t="str">
        <f>IF(OR(I49="",G49=""),"",IF(G49="Saída",-I49,I49))</f>
        <v/>
      </c>
      <c r="L49" t="str">
        <f>IF(E49="","",IFERROR(VLOOKUP(E49,Listas!$A$2:$C$1048576,3,FALSE),""))</f>
        <v/>
      </c>
    </row>
    <row r="50" spans="10:12" x14ac:dyDescent="0.25">
      <c r="J50" t="str">
        <f>IF(H50="","",IFERROR(VLOOKUP(H50,Listas!$J$2:$K$1048576,2,FALSE),""))</f>
        <v/>
      </c>
      <c r="K50" s="5" t="str">
        <f>IF(OR(I50="",G50=""),"",IF(G50="Saída",-I50,I50))</f>
        <v/>
      </c>
      <c r="L50" t="str">
        <f>IF(E50="","",IFERROR(VLOOKUP(E50,Listas!$A$2:$C$1048576,3,FALSE),""))</f>
        <v/>
      </c>
    </row>
    <row r="51" spans="10:12" x14ac:dyDescent="0.25">
      <c r="J51" t="str">
        <f>IF(H51="","",IFERROR(VLOOKUP(H51,Listas!$J$2:$K$1048576,2,FALSE),""))</f>
        <v/>
      </c>
      <c r="K51" s="5" t="str">
        <f>IF(OR(I51="",G51=""),"",IF(G51="Saída",-I51,I51))</f>
        <v/>
      </c>
      <c r="L51" t="str">
        <f>IF(E51="","",IFERROR(VLOOKUP(E51,Listas!$A$2:$C$1048576,3,FALSE),""))</f>
        <v/>
      </c>
    </row>
    <row r="52" spans="10:12" x14ac:dyDescent="0.25">
      <c r="J52" t="str">
        <f>IF(H52="","",IFERROR(VLOOKUP(H52,Listas!$J$2:$K$1048576,2,FALSE),""))</f>
        <v/>
      </c>
      <c r="K52" s="5" t="str">
        <f>IF(OR(I52="",G52=""),"",IF(G52="Saída",-I52,I52))</f>
        <v/>
      </c>
      <c r="L52" t="str">
        <f>IF(E52="","",IFERROR(VLOOKUP(E52,Listas!$A$2:$C$1048576,3,FALSE),""))</f>
        <v/>
      </c>
    </row>
    <row r="53" spans="10:12" x14ac:dyDescent="0.25">
      <c r="J53" t="str">
        <f>IF(H53="","",IFERROR(VLOOKUP(H53,Listas!$J$2:$K$1048576,2,FALSE),""))</f>
        <v/>
      </c>
      <c r="K53" s="5" t="str">
        <f>IF(OR(I53="",G53=""),"",IF(G53="Saída",-I53,I53))</f>
        <v/>
      </c>
      <c r="L53" t="str">
        <f>IF(E53="","",IFERROR(VLOOKUP(E53,Listas!$A$2:$C$1048576,3,FALSE),""))</f>
        <v/>
      </c>
    </row>
    <row r="54" spans="10:12" x14ac:dyDescent="0.25">
      <c r="J54" t="str">
        <f>IF(H54="","",IFERROR(VLOOKUP(H54,Listas!$J$2:$K$1048576,2,FALSE),""))</f>
        <v/>
      </c>
      <c r="K54" s="5" t="str">
        <f>IF(OR(I54="",G54=""),"",IF(G54="Saída",-I54,I54))</f>
        <v/>
      </c>
      <c r="L54" t="str">
        <f>IF(E54="","",IFERROR(VLOOKUP(E54,Listas!$A$2:$C$1048576,3,FALSE),""))</f>
        <v/>
      </c>
    </row>
    <row r="55" spans="10:12" x14ac:dyDescent="0.25">
      <c r="J55" t="str">
        <f>IF(H55="","",IFERROR(VLOOKUP(H55,Listas!$J$2:$K$1048576,2,FALSE),""))</f>
        <v/>
      </c>
      <c r="K55" s="5" t="str">
        <f>IF(OR(I55="",G55=""),"",IF(G55="Saída",-I55,I55))</f>
        <v/>
      </c>
      <c r="L55" t="str">
        <f>IF(E55="","",IFERROR(VLOOKUP(E55,Listas!$A$2:$C$1048576,3,FALSE),""))</f>
        <v/>
      </c>
    </row>
    <row r="56" spans="10:12" x14ac:dyDescent="0.25">
      <c r="J56" t="str">
        <f>IF(H56="","",IFERROR(VLOOKUP(H56,Listas!$J$2:$K$1048576,2,FALSE),""))</f>
        <v/>
      </c>
      <c r="K56" s="5" t="str">
        <f>IF(OR(I56="",G56=""),"",IF(G56="Saída",-I56,I56))</f>
        <v/>
      </c>
      <c r="L56" t="str">
        <f>IF(E56="","",IFERROR(VLOOKUP(E56,Listas!$A$2:$C$1048576,3,FALSE),""))</f>
        <v/>
      </c>
    </row>
    <row r="57" spans="10:12" x14ac:dyDescent="0.25">
      <c r="J57" t="str">
        <f>IF(H57="","",IFERROR(VLOOKUP(H57,Listas!$J$2:$K$1048576,2,FALSE),""))</f>
        <v/>
      </c>
      <c r="K57" s="5" t="str">
        <f>IF(OR(I57="",G57=""),"",IF(G57="Saída",-I57,I57))</f>
        <v/>
      </c>
      <c r="L57" t="str">
        <f>IF(E57="","",IFERROR(VLOOKUP(E57,Listas!$A$2:$C$1048576,3,FALSE),""))</f>
        <v/>
      </c>
    </row>
    <row r="58" spans="10:12" x14ac:dyDescent="0.25">
      <c r="J58" t="str">
        <f>IF(H58="","",IFERROR(VLOOKUP(H58,Listas!$J$2:$K$1048576,2,FALSE),""))</f>
        <v/>
      </c>
      <c r="K58" s="5" t="str">
        <f>IF(OR(I58="",G58=""),"",IF(G58="Saída",-I58,I58))</f>
        <v/>
      </c>
      <c r="L58" t="str">
        <f>IF(E58="","",IFERROR(VLOOKUP(E58,Listas!$A$2:$C$1048576,3,FALSE),""))</f>
        <v/>
      </c>
    </row>
    <row r="59" spans="10:12" x14ac:dyDescent="0.25">
      <c r="J59" t="str">
        <f>IF(H59="","",IFERROR(VLOOKUP(H59,Listas!$J$2:$K$1048576,2,FALSE),""))</f>
        <v/>
      </c>
      <c r="K59" s="5" t="str">
        <f>IF(OR(I59="",G59=""),"",IF(G59="Saída",-I59,I59))</f>
        <v/>
      </c>
      <c r="L59" t="str">
        <f>IF(E59="","",IFERROR(VLOOKUP(E59,Listas!$A$2:$C$1048576,3,FALSE),""))</f>
        <v/>
      </c>
    </row>
    <row r="60" spans="10:12" x14ac:dyDescent="0.25">
      <c r="J60" t="str">
        <f>IF(H60="","",IFERROR(VLOOKUP(H60,Listas!$J$2:$K$1048576,2,FALSE),""))</f>
        <v/>
      </c>
      <c r="K60" s="5" t="str">
        <f>IF(OR(I60="",G60=""),"",IF(G60="Saída",-I60,I60))</f>
        <v/>
      </c>
      <c r="L60" t="str">
        <f>IF(E60="","",IFERROR(VLOOKUP(E60,Listas!$A$2:$C$1048576,3,FALSE),""))</f>
        <v/>
      </c>
    </row>
    <row r="61" spans="10:12" x14ac:dyDescent="0.25">
      <c r="J61" t="str">
        <f>IF(H61="","",IFERROR(VLOOKUP(H61,Listas!$J$2:$K$1048576,2,FALSE),""))</f>
        <v/>
      </c>
      <c r="K61" s="5" t="str">
        <f>IF(OR(I61="",G61=""),"",IF(G61="Saída",-I61,I61))</f>
        <v/>
      </c>
      <c r="L61" t="str">
        <f>IF(E61="","",IFERROR(VLOOKUP(E61,Listas!$A$2:$C$1048576,3,FALSE),""))</f>
        <v/>
      </c>
    </row>
    <row r="62" spans="10:12" x14ac:dyDescent="0.25">
      <c r="J62" t="str">
        <f>IF(H62="","",IFERROR(VLOOKUP(H62,Listas!$J$2:$K$1048576,2,FALSE),""))</f>
        <v/>
      </c>
      <c r="K62" s="5" t="str">
        <f>IF(OR(I62="",G62=""),"",IF(G62="Saída",-I62,I62))</f>
        <v/>
      </c>
      <c r="L62" t="str">
        <f>IF(E62="","",IFERROR(VLOOKUP(E62,Listas!$A$2:$C$1048576,3,FALSE),""))</f>
        <v/>
      </c>
    </row>
    <row r="63" spans="10:12" x14ac:dyDescent="0.25">
      <c r="J63" t="str">
        <f>IF(H63="","",IFERROR(VLOOKUP(H63,Listas!$J$2:$K$1048576,2,FALSE),""))</f>
        <v/>
      </c>
      <c r="K63" s="5" t="str">
        <f>IF(OR(I63="",G63=""),"",IF(G63="Saída",-I63,I63))</f>
        <v/>
      </c>
      <c r="L63" t="str">
        <f>IF(E63="","",IFERROR(VLOOKUP(E63,Listas!$A$2:$C$1048576,3,FALSE),""))</f>
        <v/>
      </c>
    </row>
    <row r="64" spans="10:12" x14ac:dyDescent="0.25">
      <c r="J64" t="str">
        <f>IF(H64="","",IFERROR(VLOOKUP(H64,Listas!$J$2:$K$1048576,2,FALSE),""))</f>
        <v/>
      </c>
      <c r="K64" s="5" t="str">
        <f>IF(OR(I64="",G64=""),"",IF(G64="Saída",-I64,I64))</f>
        <v/>
      </c>
      <c r="L64" t="str">
        <f>IF(E64="","",IFERROR(VLOOKUP(E64,Listas!$A$2:$C$1048576,3,FALSE),""))</f>
        <v/>
      </c>
    </row>
    <row r="65" spans="10:12" x14ac:dyDescent="0.25">
      <c r="J65" t="str">
        <f>IF(H65="","",IFERROR(VLOOKUP(H65,Listas!$J$2:$K$1048576,2,FALSE),""))</f>
        <v/>
      </c>
      <c r="K65" s="5" t="str">
        <f>IF(OR(I65="",G65=""),"",IF(G65="Saída",-I65,I65))</f>
        <v/>
      </c>
      <c r="L65" t="str">
        <f>IF(E65="","",IFERROR(VLOOKUP(E65,Listas!$A$2:$C$1048576,3,FALSE),""))</f>
        <v/>
      </c>
    </row>
    <row r="66" spans="10:12" x14ac:dyDescent="0.25">
      <c r="J66" t="str">
        <f>IF(H66="","",IFERROR(VLOOKUP(H66,Listas!$J$2:$K$1048576,2,FALSE),""))</f>
        <v/>
      </c>
      <c r="K66" s="5" t="str">
        <f>IF(OR(I66="",G66=""),"",IF(G66="Saída",-I66,I66))</f>
        <v/>
      </c>
      <c r="L66" t="str">
        <f>IF(E66="","",IFERROR(VLOOKUP(E66,Listas!$A$2:$C$1048576,3,FALSE),""))</f>
        <v/>
      </c>
    </row>
    <row r="67" spans="10:12" x14ac:dyDescent="0.25">
      <c r="J67" t="str">
        <f>IF(H67="","",IFERROR(VLOOKUP(H67,Listas!$J$2:$K$1048576,2,FALSE),""))</f>
        <v/>
      </c>
      <c r="K67" s="5" t="str">
        <f>IF(OR(I67="",G67=""),"",IF(G67="Saída",-I67,I67))</f>
        <v/>
      </c>
      <c r="L67" t="str">
        <f>IF(E67="","",IFERROR(VLOOKUP(E67,Listas!$A$2:$C$1048576,3,FALSE),""))</f>
        <v/>
      </c>
    </row>
    <row r="68" spans="10:12" x14ac:dyDescent="0.25">
      <c r="J68" t="str">
        <f>IF(H68="","",IFERROR(VLOOKUP(H68,Listas!$J$2:$K$1048576,2,FALSE),""))</f>
        <v/>
      </c>
      <c r="K68" s="5" t="str">
        <f>IF(OR(I68="",G68=""),"",IF(G68="Saída",-I68,I68))</f>
        <v/>
      </c>
      <c r="L68" t="str">
        <f>IF(E68="","",IFERROR(VLOOKUP(E68,Listas!$A$2:$C$1048576,3,FALSE),""))</f>
        <v/>
      </c>
    </row>
    <row r="69" spans="10:12" x14ac:dyDescent="0.25">
      <c r="J69" t="str">
        <f>IF(H69="","",IFERROR(VLOOKUP(H69,Listas!$J$2:$K$1048576,2,FALSE),""))</f>
        <v/>
      </c>
      <c r="K69" s="5" t="str">
        <f>IF(OR(I69="",G69=""),"",IF(G69="Saída",-I69,I69))</f>
        <v/>
      </c>
      <c r="L69" t="str">
        <f>IF(E69="","",IFERROR(VLOOKUP(E69,Listas!$A$2:$C$1048576,3,FALSE),""))</f>
        <v/>
      </c>
    </row>
    <row r="70" spans="10:12" x14ac:dyDescent="0.25">
      <c r="J70" t="str">
        <f>IF(H70="","",IFERROR(VLOOKUP(H70,Listas!$J$2:$K$1048576,2,FALSE),""))</f>
        <v/>
      </c>
      <c r="K70" s="5" t="str">
        <f>IF(OR(I70="",G70=""),"",IF(G70="Saída",-I70,I70))</f>
        <v/>
      </c>
      <c r="L70" t="str">
        <f>IF(E70="","",IFERROR(VLOOKUP(E70,Listas!$A$2:$C$1048576,3,FALSE),""))</f>
        <v/>
      </c>
    </row>
    <row r="71" spans="10:12" x14ac:dyDescent="0.25">
      <c r="J71" t="str">
        <f>IF(H71="","",IFERROR(VLOOKUP(H71,Listas!$J$2:$K$1048576,2,FALSE),""))</f>
        <v/>
      </c>
      <c r="K71" s="5" t="str">
        <f>IF(OR(I71="",G71=""),"",IF(G71="Saída",-I71,I71))</f>
        <v/>
      </c>
      <c r="L71" t="str">
        <f>IF(E71="","",IFERROR(VLOOKUP(E71,Listas!$A$2:$C$1048576,3,FALSE),""))</f>
        <v/>
      </c>
    </row>
    <row r="72" spans="10:12" x14ac:dyDescent="0.25">
      <c r="J72" t="str">
        <f>IF(H72="","",IFERROR(VLOOKUP(H72,Listas!$J$2:$K$1048576,2,FALSE),""))</f>
        <v/>
      </c>
      <c r="K72" s="5" t="str">
        <f>IF(OR(I72="",G72=""),"",IF(G72="Saída",-I72,I72))</f>
        <v/>
      </c>
      <c r="L72" t="str">
        <f>IF(E72="","",IFERROR(VLOOKUP(E72,Listas!$A$2:$C$1048576,3,FALSE),""))</f>
        <v/>
      </c>
    </row>
    <row r="73" spans="10:12" x14ac:dyDescent="0.25">
      <c r="J73" t="str">
        <f>IF(H73="","",IFERROR(VLOOKUP(H73,Listas!$J$2:$K$1048576,2,FALSE),""))</f>
        <v/>
      </c>
      <c r="K73" s="5" t="str">
        <f>IF(OR(I73="",G73=""),"",IF(G73="Saída",-I73,I73))</f>
        <v/>
      </c>
      <c r="L73" t="str">
        <f>IF(E73="","",IFERROR(VLOOKUP(E73,Listas!$A$2:$C$1048576,3,FALSE),""))</f>
        <v/>
      </c>
    </row>
    <row r="74" spans="10:12" x14ac:dyDescent="0.25">
      <c r="J74" t="str">
        <f>IF(H74="","",IFERROR(VLOOKUP(H74,Listas!$J$2:$K$1048576,2,FALSE),""))</f>
        <v/>
      </c>
      <c r="K74" s="5" t="str">
        <f>IF(OR(I74="",G74=""),"",IF(G74="Saída",-I74,I74))</f>
        <v/>
      </c>
      <c r="L74" t="str">
        <f>IF(E74="","",IFERROR(VLOOKUP(E74,Listas!$A$2:$C$1048576,3,FALSE),""))</f>
        <v/>
      </c>
    </row>
    <row r="75" spans="10:12" x14ac:dyDescent="0.25">
      <c r="J75" t="str">
        <f>IF(H75="","",IFERROR(VLOOKUP(H75,Listas!$J$2:$K$1048576,2,FALSE),""))</f>
        <v/>
      </c>
      <c r="K75" s="5" t="str">
        <f>IF(OR(I75="",G75=""),"",IF(G75="Saída",-I75,I75))</f>
        <v/>
      </c>
      <c r="L75" t="str">
        <f>IF(E75="","",IFERROR(VLOOKUP(E75,Listas!$A$2:$C$1048576,3,FALSE),""))</f>
        <v/>
      </c>
    </row>
    <row r="76" spans="10:12" x14ac:dyDescent="0.25">
      <c r="J76" t="str">
        <f>IF(H76="","",IFERROR(VLOOKUP(H76,Listas!$J$2:$K$1048576,2,FALSE),""))</f>
        <v/>
      </c>
      <c r="K76" s="5" t="str">
        <f>IF(OR(I76="",G76=""),"",IF(G76="Saída",-I76,I76))</f>
        <v/>
      </c>
      <c r="L76" t="str">
        <f>IF(E76="","",IFERROR(VLOOKUP(E76,Listas!$A$2:$C$1048576,3,FALSE),""))</f>
        <v/>
      </c>
    </row>
    <row r="77" spans="10:12" x14ac:dyDescent="0.25">
      <c r="J77" t="str">
        <f>IF(H77="","",IFERROR(VLOOKUP(H77,Listas!$J$2:$K$1048576,2,FALSE),""))</f>
        <v/>
      </c>
      <c r="K77" s="5" t="str">
        <f>IF(OR(I77="",G77=""),"",IF(G77="Saída",-I77,I77))</f>
        <v/>
      </c>
      <c r="L77" t="str">
        <f>IF(E77="","",IFERROR(VLOOKUP(E77,Listas!$A$2:$C$1048576,3,FALSE),""))</f>
        <v/>
      </c>
    </row>
    <row r="78" spans="10:12" x14ac:dyDescent="0.25">
      <c r="J78" t="str">
        <f>IF(H78="","",IFERROR(VLOOKUP(H78,Listas!$J$2:$K$1048576,2,FALSE),""))</f>
        <v/>
      </c>
      <c r="K78" s="5" t="str">
        <f>IF(OR(I78="",G78=""),"",IF(G78="Saída",-I78,I78))</f>
        <v/>
      </c>
      <c r="L78" t="str">
        <f>IF(E78="","",IFERROR(VLOOKUP(E78,Listas!$A$2:$C$1048576,3,FALSE),""))</f>
        <v/>
      </c>
    </row>
    <row r="79" spans="10:12" x14ac:dyDescent="0.25">
      <c r="J79" t="str">
        <f>IF(H79="","",IFERROR(VLOOKUP(H79,Listas!$J$2:$K$1048576,2,FALSE),""))</f>
        <v/>
      </c>
      <c r="K79" s="5" t="str">
        <f>IF(OR(I79="",G79=""),"",IF(G79="Saída",-I79,I79))</f>
        <v/>
      </c>
      <c r="L79" t="str">
        <f>IF(E79="","",IFERROR(VLOOKUP(E79,Listas!$A$2:$C$1048576,3,FALSE),""))</f>
        <v/>
      </c>
    </row>
    <row r="80" spans="10:12" x14ac:dyDescent="0.25">
      <c r="J80" t="str">
        <f>IF(H80="","",IFERROR(VLOOKUP(H80,Listas!$J$2:$K$1048576,2,FALSE),""))</f>
        <v/>
      </c>
      <c r="K80" s="5" t="str">
        <f>IF(OR(I80="",G80=""),"",IF(G80="Saída",-I80,I80))</f>
        <v/>
      </c>
      <c r="L80" t="str">
        <f>IF(E80="","",IFERROR(VLOOKUP(E80,Listas!$A$2:$C$1048576,3,FALSE),""))</f>
        <v/>
      </c>
    </row>
    <row r="81" spans="10:12" x14ac:dyDescent="0.25">
      <c r="J81" t="str">
        <f>IF(H81="","",IFERROR(VLOOKUP(H81,Listas!$J$2:$K$1048576,2,FALSE),""))</f>
        <v/>
      </c>
      <c r="K81" s="5" t="str">
        <f>IF(OR(I81="",G81=""),"",IF(G81="Saída",-I81,I81))</f>
        <v/>
      </c>
      <c r="L81" t="str">
        <f>IF(E81="","",IFERROR(VLOOKUP(E81,Listas!$A$2:$C$1048576,3,FALSE),""))</f>
        <v/>
      </c>
    </row>
    <row r="82" spans="10:12" x14ac:dyDescent="0.25">
      <c r="J82" t="str">
        <f>IF(H82="","",IFERROR(VLOOKUP(H82,Listas!$J$2:$K$1048576,2,FALSE),""))</f>
        <v/>
      </c>
      <c r="K82" s="5" t="str">
        <f>IF(OR(I82="",G82=""),"",IF(G82="Saída",-I82,I82))</f>
        <v/>
      </c>
      <c r="L82" t="str">
        <f>IF(E82="","",IFERROR(VLOOKUP(E82,Listas!$A$2:$C$1048576,3,FALSE),""))</f>
        <v/>
      </c>
    </row>
    <row r="83" spans="10:12" x14ac:dyDescent="0.25">
      <c r="J83" t="str">
        <f>IF(H83="","",IFERROR(VLOOKUP(H83,Listas!$J$2:$K$1048576,2,FALSE),""))</f>
        <v/>
      </c>
      <c r="K83" s="5" t="str">
        <f>IF(OR(I83="",G83=""),"",IF(G83="Saída",-I83,I83))</f>
        <v/>
      </c>
      <c r="L83" t="str">
        <f>IF(E83="","",IFERROR(VLOOKUP(E83,Listas!$A$2:$C$1048576,3,FALSE),""))</f>
        <v/>
      </c>
    </row>
    <row r="84" spans="10:12" x14ac:dyDescent="0.25">
      <c r="J84" t="str">
        <f>IF(H84="","",IFERROR(VLOOKUP(H84,Listas!$J$2:$K$1048576,2,FALSE),""))</f>
        <v/>
      </c>
      <c r="K84" s="5" t="str">
        <f>IF(OR(I84="",G84=""),"",IF(G84="Saída",-I84,I84))</f>
        <v/>
      </c>
      <c r="L84" t="str">
        <f>IF(E84="","",IFERROR(VLOOKUP(E84,Listas!$A$2:$C$1048576,3,FALSE),""))</f>
        <v/>
      </c>
    </row>
    <row r="85" spans="10:12" x14ac:dyDescent="0.25">
      <c r="J85" t="str">
        <f>IF(H85="","",IFERROR(VLOOKUP(H85,Listas!$J$2:$K$1048576,2,FALSE),""))</f>
        <v/>
      </c>
      <c r="K85" s="5" t="str">
        <f>IF(OR(I85="",G85=""),"",IF(G85="Saída",-I85,I85))</f>
        <v/>
      </c>
      <c r="L85" t="str">
        <f>IF(E85="","",IFERROR(VLOOKUP(E85,Listas!$A$2:$C$1048576,3,FALSE),""))</f>
        <v/>
      </c>
    </row>
    <row r="86" spans="10:12" x14ac:dyDescent="0.25">
      <c r="J86" t="str">
        <f>IF(H86="","",IFERROR(VLOOKUP(H86,Listas!$J$2:$K$1048576,2,FALSE),""))</f>
        <v/>
      </c>
      <c r="K86" s="5" t="str">
        <f>IF(OR(I86="",G86=""),"",IF(G86="Saída",-I86,I86))</f>
        <v/>
      </c>
      <c r="L86" t="str">
        <f>IF(E86="","",IFERROR(VLOOKUP(E86,Listas!$A$2:$C$1048576,3,FALSE),""))</f>
        <v/>
      </c>
    </row>
    <row r="87" spans="10:12" x14ac:dyDescent="0.25">
      <c r="J87" t="str">
        <f>IF(H87="","",IFERROR(VLOOKUP(H87,Listas!$J$2:$K$1048576,2,FALSE),""))</f>
        <v/>
      </c>
      <c r="K87" s="5" t="str">
        <f>IF(OR(I87="",G87=""),"",IF(G87="Saída",-I87,I87))</f>
        <v/>
      </c>
      <c r="L87" t="str">
        <f>IF(E87="","",IFERROR(VLOOKUP(E87,Listas!$A$2:$C$1048576,3,FALSE),""))</f>
        <v/>
      </c>
    </row>
    <row r="88" spans="10:12" x14ac:dyDescent="0.25">
      <c r="J88" t="str">
        <f>IF(H88="","",IFERROR(VLOOKUP(H88,Listas!$J$2:$K$1048576,2,FALSE),""))</f>
        <v/>
      </c>
      <c r="K88" s="5" t="str">
        <f>IF(OR(I88="",G88=""),"",IF(G88="Saída",-I88,I88))</f>
        <v/>
      </c>
      <c r="L88" t="str">
        <f>IF(E88="","",IFERROR(VLOOKUP(E88,Listas!$A$2:$C$1048576,3,FALSE),""))</f>
        <v/>
      </c>
    </row>
    <row r="89" spans="10:12" x14ac:dyDescent="0.25">
      <c r="J89" t="str">
        <f>IF(H89="","",IFERROR(VLOOKUP(H89,Listas!$J$2:$K$1048576,2,FALSE),""))</f>
        <v/>
      </c>
      <c r="K89" s="5" t="str">
        <f>IF(OR(I89="",G89=""),"",IF(G89="Saída",-I89,I89))</f>
        <v/>
      </c>
      <c r="L89" t="str">
        <f>IF(E89="","",IFERROR(VLOOKUP(E89,Listas!$A$2:$C$1048576,3,FALSE),""))</f>
        <v/>
      </c>
    </row>
    <row r="90" spans="10:12" x14ac:dyDescent="0.25">
      <c r="J90" t="str">
        <f>IF(H90="","",IFERROR(VLOOKUP(H90,Listas!$J$2:$K$1048576,2,FALSE),""))</f>
        <v/>
      </c>
      <c r="K90" s="5" t="str">
        <f>IF(OR(I90="",G90=""),"",IF(G90="Saída",-I90,I90))</f>
        <v/>
      </c>
      <c r="L90" t="str">
        <f>IF(E90="","",IFERROR(VLOOKUP(E90,Listas!$A$2:$C$1048576,3,FALSE),""))</f>
        <v/>
      </c>
    </row>
    <row r="91" spans="10:12" x14ac:dyDescent="0.25">
      <c r="J91" t="str">
        <f>IF(H91="","",IFERROR(VLOOKUP(H91,Listas!$J$2:$K$1048576,2,FALSE),""))</f>
        <v/>
      </c>
      <c r="K91" s="5" t="str">
        <f>IF(OR(I91="",G91=""),"",IF(G91="Saída",-I91,I91))</f>
        <v/>
      </c>
      <c r="L91" t="str">
        <f>IF(E91="","",IFERROR(VLOOKUP(E91,Listas!$A$2:$C$1048576,3,FALSE),""))</f>
        <v/>
      </c>
    </row>
    <row r="92" spans="10:12" x14ac:dyDescent="0.25">
      <c r="J92" t="str">
        <f>IF(H92="","",IFERROR(VLOOKUP(H92,Listas!$J$2:$K$1048576,2,FALSE),""))</f>
        <v/>
      </c>
      <c r="K92" s="5" t="str">
        <f>IF(OR(I92="",G92=""),"",IF(G92="Saída",-I92,I92))</f>
        <v/>
      </c>
      <c r="L92" t="str">
        <f>IF(E92="","",IFERROR(VLOOKUP(E92,Listas!$A$2:$C$1048576,3,FALSE),""))</f>
        <v/>
      </c>
    </row>
    <row r="93" spans="10:12" x14ac:dyDescent="0.25">
      <c r="J93" t="str">
        <f>IF(H93="","",IFERROR(VLOOKUP(H93,Listas!$J$2:$K$1048576,2,FALSE),""))</f>
        <v/>
      </c>
      <c r="K93" s="5" t="str">
        <f>IF(OR(I93="",G93=""),"",IF(G93="Saída",-I93,I93))</f>
        <v/>
      </c>
      <c r="L93" t="str">
        <f>IF(E93="","",IFERROR(VLOOKUP(E93,Listas!$A$2:$C$1048576,3,FALSE),""))</f>
        <v/>
      </c>
    </row>
    <row r="94" spans="10:12" x14ac:dyDescent="0.25">
      <c r="J94" t="str">
        <f>IF(H94="","",IFERROR(VLOOKUP(H94,Listas!$J$2:$K$1048576,2,FALSE),""))</f>
        <v/>
      </c>
      <c r="K94" s="5" t="str">
        <f>IF(OR(I94="",G94=""),"",IF(G94="Saída",-I94,I94))</f>
        <v/>
      </c>
      <c r="L94" t="str">
        <f>IF(E94="","",IFERROR(VLOOKUP(E94,Listas!$A$2:$C$1048576,3,FALSE),""))</f>
        <v/>
      </c>
    </row>
    <row r="95" spans="10:12" x14ac:dyDescent="0.25">
      <c r="J95" t="str">
        <f>IF(H95="","",IFERROR(VLOOKUP(H95,Listas!$J$2:$K$1048576,2,FALSE),""))</f>
        <v/>
      </c>
      <c r="K95" s="5" t="str">
        <f>IF(OR(I95="",G95=""),"",IF(G95="Saída",-I95,I95))</f>
        <v/>
      </c>
      <c r="L95" t="str">
        <f>IF(E95="","",IFERROR(VLOOKUP(E95,Listas!$A$2:$C$1048576,3,FALSE),""))</f>
        <v/>
      </c>
    </row>
    <row r="96" spans="10:12" x14ac:dyDescent="0.25">
      <c r="J96" t="str">
        <f>IF(H96="","",IFERROR(VLOOKUP(H96,Listas!$J$2:$K$1048576,2,FALSE),""))</f>
        <v/>
      </c>
      <c r="K96" s="5" t="str">
        <f>IF(OR(I96="",G96=""),"",IF(G96="Saída",-I96,I96))</f>
        <v/>
      </c>
      <c r="L96" t="str">
        <f>IF(E96="","",IFERROR(VLOOKUP(E96,Listas!$A$2:$C$1048576,3,FALSE),""))</f>
        <v/>
      </c>
    </row>
    <row r="97" spans="10:12" x14ac:dyDescent="0.25">
      <c r="J97" t="str">
        <f>IF(H97="","",IFERROR(VLOOKUP(H97,Listas!$J$2:$K$1048576,2,FALSE),""))</f>
        <v/>
      </c>
      <c r="K97" s="5" t="str">
        <f>IF(OR(I97="",G97=""),"",IF(G97="Saída",-I97,I97))</f>
        <v/>
      </c>
      <c r="L97" t="str">
        <f>IF(E97="","",IFERROR(VLOOKUP(E97,Listas!$A$2:$C$1048576,3,FALSE),""))</f>
        <v/>
      </c>
    </row>
    <row r="98" spans="10:12" x14ac:dyDescent="0.25">
      <c r="J98" t="str">
        <f>IF(H98="","",IFERROR(VLOOKUP(H98,Listas!$J$2:$K$1048576,2,FALSE),""))</f>
        <v/>
      </c>
      <c r="K98" s="5" t="str">
        <f>IF(OR(I98="",G98=""),"",IF(G98="Saída",-I98,I98))</f>
        <v/>
      </c>
      <c r="L98" t="str">
        <f>IF(E98="","",IFERROR(VLOOKUP(E98,Listas!$A$2:$C$1048576,3,FALSE),""))</f>
        <v/>
      </c>
    </row>
    <row r="99" spans="10:12" x14ac:dyDescent="0.25">
      <c r="J99" t="str">
        <f>IF(H99="","",IFERROR(VLOOKUP(H99,Listas!$J$2:$K$1048576,2,FALSE),""))</f>
        <v/>
      </c>
      <c r="K99" s="5" t="str">
        <f>IF(OR(I99="",G99=""),"",IF(G99="Saída",-I99,I99))</f>
        <v/>
      </c>
      <c r="L99" t="str">
        <f>IF(E99="","",IFERROR(VLOOKUP(E99,Listas!$A$2:$C$1048576,3,FALSE),""))</f>
        <v/>
      </c>
    </row>
    <row r="100" spans="10:12" x14ac:dyDescent="0.25">
      <c r="J100" t="str">
        <f>IF(H100="","",IFERROR(VLOOKUP(H100,Listas!$J$2:$K$1048576,2,FALSE),""))</f>
        <v/>
      </c>
      <c r="K100" s="5" t="str">
        <f>IF(OR(I100="",G100=""),"",IF(G100="Saída",-I100,I100))</f>
        <v/>
      </c>
      <c r="L100" t="str">
        <f>IF(E100="","",IFERROR(VLOOKUP(E100,Listas!$A$2:$C$1048576,3,FALSE),""))</f>
        <v/>
      </c>
    </row>
    <row r="101" spans="10:12" x14ac:dyDescent="0.25">
      <c r="J101" t="str">
        <f>IF(H101="","",IFERROR(VLOOKUP(H101,Listas!$J$2:$K$1048576,2,FALSE),""))</f>
        <v/>
      </c>
      <c r="K101" s="5" t="str">
        <f>IF(OR(I101="",G101=""),"",IF(G101="Saída",-I101,I101))</f>
        <v/>
      </c>
      <c r="L101" t="str">
        <f>IF(E101="","",IFERROR(VLOOKUP(E101,Listas!$A$2:$C$1048576,3,FALSE),""))</f>
        <v/>
      </c>
    </row>
    <row r="102" spans="10:12" x14ac:dyDescent="0.25">
      <c r="J102" t="str">
        <f>IF(H102="","",IFERROR(VLOOKUP(H102,Listas!$J$2:$K$1048576,2,FALSE),""))</f>
        <v/>
      </c>
      <c r="K102" s="5" t="str">
        <f>IF(OR(I102="",G102=""),"",IF(G102="Saída",-I102,I102))</f>
        <v/>
      </c>
      <c r="L102" t="str">
        <f>IF(E102="","",IFERROR(VLOOKUP(E102,Listas!$A$2:$C$1048576,3,FALSE),""))</f>
        <v/>
      </c>
    </row>
    <row r="103" spans="10:12" x14ac:dyDescent="0.25">
      <c r="J103" t="str">
        <f>IF(H103="","",IFERROR(VLOOKUP(H103,Listas!$J$2:$K$1048576,2,FALSE),""))</f>
        <v/>
      </c>
      <c r="K103" s="5" t="str">
        <f>IF(OR(I103="",G103=""),"",IF(G103="Saída",-I103,I103))</f>
        <v/>
      </c>
      <c r="L103" t="str">
        <f>IF(E103="","",IFERROR(VLOOKUP(E103,Listas!$A$2:$C$1048576,3,FALSE),""))</f>
        <v/>
      </c>
    </row>
    <row r="104" spans="10:12" x14ac:dyDescent="0.25">
      <c r="J104" t="str">
        <f>IF(H104="","",IFERROR(VLOOKUP(H104,Listas!$J$2:$K$1048576,2,FALSE),""))</f>
        <v/>
      </c>
      <c r="K104" s="5" t="str">
        <f>IF(OR(I104="",G104=""),"",IF(G104="Saída",-I104,I104))</f>
        <v/>
      </c>
      <c r="L104" t="str">
        <f>IF(E104="","",IFERROR(VLOOKUP(E104,Listas!$A$2:$C$1048576,3,FALSE),""))</f>
        <v/>
      </c>
    </row>
    <row r="105" spans="10:12" x14ac:dyDescent="0.25">
      <c r="J105" t="str">
        <f>IF(H105="","",IFERROR(VLOOKUP(H105,Listas!$J$2:$K$1048576,2,FALSE),""))</f>
        <v/>
      </c>
      <c r="K105" s="5" t="str">
        <f>IF(OR(I105="",G105=""),"",IF(G105="Saída",-I105,I105))</f>
        <v/>
      </c>
      <c r="L105" t="str">
        <f>IF(E105="","",IFERROR(VLOOKUP(E105,Listas!$A$2:$C$1048576,3,FALSE),""))</f>
        <v/>
      </c>
    </row>
    <row r="106" spans="10:12" x14ac:dyDescent="0.25">
      <c r="J106" t="str">
        <f>IF(H106="","",IFERROR(VLOOKUP(H106,Listas!$J$2:$K$1048576,2,FALSE),""))</f>
        <v/>
      </c>
      <c r="K106" s="5" t="str">
        <f>IF(OR(I106="",G106=""),"",IF(G106="Saída",-I106,I106))</f>
        <v/>
      </c>
      <c r="L106" t="str">
        <f>IF(E106="","",IFERROR(VLOOKUP(E106,Listas!$A$2:$C$1048576,3,FALSE),""))</f>
        <v/>
      </c>
    </row>
    <row r="107" spans="10:12" x14ac:dyDescent="0.25">
      <c r="J107" t="str">
        <f>IF(H107="","",IFERROR(VLOOKUP(H107,Listas!$J$2:$K$1048576,2,FALSE),""))</f>
        <v/>
      </c>
      <c r="K107" s="5" t="str">
        <f>IF(OR(I107="",G107=""),"",IF(G107="Saída",-I107,I107))</f>
        <v/>
      </c>
      <c r="L107" t="str">
        <f>IF(E107="","",IFERROR(VLOOKUP(E107,Listas!$A$2:$C$1048576,3,FALSE),""))</f>
        <v/>
      </c>
    </row>
    <row r="108" spans="10:12" x14ac:dyDescent="0.25">
      <c r="J108" t="str">
        <f>IF(H108="","",IFERROR(VLOOKUP(H108,Listas!$J$2:$K$1048576,2,FALSE),""))</f>
        <v/>
      </c>
      <c r="K108" s="5" t="str">
        <f>IF(OR(I108="",G108=""),"",IF(G108="Saída",-I108,I108))</f>
        <v/>
      </c>
      <c r="L108" t="str">
        <f>IF(E108="","",IFERROR(VLOOKUP(E108,Listas!$A$2:$C$1048576,3,FALSE),""))</f>
        <v/>
      </c>
    </row>
    <row r="109" spans="10:12" x14ac:dyDescent="0.25">
      <c r="J109" t="str">
        <f>IF(H109="","",IFERROR(VLOOKUP(H109,Listas!$J$2:$K$1048576,2,FALSE),""))</f>
        <v/>
      </c>
      <c r="K109" s="5" t="str">
        <f>IF(OR(I109="",G109=""),"",IF(G109="Saída",-I109,I109))</f>
        <v/>
      </c>
      <c r="L109" t="str">
        <f>IF(E109="","",IFERROR(VLOOKUP(E109,Listas!$A$2:$C$1048576,3,FALSE),""))</f>
        <v/>
      </c>
    </row>
    <row r="110" spans="10:12" x14ac:dyDescent="0.25">
      <c r="J110" t="str">
        <f>IF(H110="","",IFERROR(VLOOKUP(H110,Listas!$J$2:$K$1048576,2,FALSE),""))</f>
        <v/>
      </c>
      <c r="K110" s="5" t="str">
        <f>IF(OR(I110="",G110=""),"",IF(G110="Saída",-I110,I110))</f>
        <v/>
      </c>
      <c r="L110" t="str">
        <f>IF(E110="","",IFERROR(VLOOKUP(E110,Listas!$A$2:$C$1048576,3,FALSE),""))</f>
        <v/>
      </c>
    </row>
    <row r="111" spans="10:12" x14ac:dyDescent="0.25">
      <c r="J111" t="str">
        <f>IF(H111="","",IFERROR(VLOOKUP(H111,Listas!$J$2:$K$1048576,2,FALSE),""))</f>
        <v/>
      </c>
      <c r="K111" s="5" t="str">
        <f>IF(OR(I111="",G111=""),"",IF(G111="Saída",-I111,I111))</f>
        <v/>
      </c>
      <c r="L111" t="str">
        <f>IF(E111="","",IFERROR(VLOOKUP(E111,Listas!$A$2:$C$1048576,3,FALSE),""))</f>
        <v/>
      </c>
    </row>
    <row r="112" spans="10:12" x14ac:dyDescent="0.25">
      <c r="J112" t="str">
        <f>IF(H112="","",IFERROR(VLOOKUP(H112,Listas!$J$2:$K$1048576,2,FALSE),""))</f>
        <v/>
      </c>
      <c r="K112" s="5" t="str">
        <f>IF(OR(I112="",G112=""),"",IF(G112="Saída",-I112,I112))</f>
        <v/>
      </c>
      <c r="L112" t="str">
        <f>IF(E112="","",IFERROR(VLOOKUP(E112,Listas!$A$2:$C$1048576,3,FALSE),""))</f>
        <v/>
      </c>
    </row>
    <row r="113" spans="10:12" x14ac:dyDescent="0.25">
      <c r="J113" t="str">
        <f>IF(H113="","",IFERROR(VLOOKUP(H113,Listas!$J$2:$K$1048576,2,FALSE),""))</f>
        <v/>
      </c>
      <c r="K113" s="5" t="str">
        <f>IF(OR(I113="",G113=""),"",IF(G113="Saída",-I113,I113))</f>
        <v/>
      </c>
      <c r="L113" t="str">
        <f>IF(E113="","",IFERROR(VLOOKUP(E113,Listas!$A$2:$C$1048576,3,FALSE),""))</f>
        <v/>
      </c>
    </row>
    <row r="114" spans="10:12" x14ac:dyDescent="0.25">
      <c r="J114" t="str">
        <f>IF(H114="","",IFERROR(VLOOKUP(H114,Listas!$J$2:$K$1048576,2,FALSE),""))</f>
        <v/>
      </c>
      <c r="K114" s="5" t="str">
        <f>IF(OR(I114="",G114=""),"",IF(G114="Saída",-I114,I114))</f>
        <v/>
      </c>
      <c r="L114" t="str">
        <f>IF(E114="","",IFERROR(VLOOKUP(E114,Listas!$A$2:$C$1048576,3,FALSE),""))</f>
        <v/>
      </c>
    </row>
    <row r="115" spans="10:12" x14ac:dyDescent="0.25">
      <c r="J115" t="str">
        <f>IF(H115="","",IFERROR(VLOOKUP(H115,Listas!$J$2:$K$1048576,2,FALSE),""))</f>
        <v/>
      </c>
      <c r="K115" s="5" t="str">
        <f>IF(OR(I115="",G115=""),"",IF(G115="Saída",-I115,I115))</f>
        <v/>
      </c>
      <c r="L115" t="str">
        <f>IF(E115="","",IFERROR(VLOOKUP(E115,Listas!$A$2:$C$1048576,3,FALSE),""))</f>
        <v/>
      </c>
    </row>
    <row r="116" spans="10:12" x14ac:dyDescent="0.25">
      <c r="J116" t="str">
        <f>IF(H116="","",IFERROR(VLOOKUP(H116,Listas!$J$2:$K$1048576,2,FALSE),""))</f>
        <v/>
      </c>
      <c r="K116" s="5" t="str">
        <f>IF(OR(I116="",G116=""),"",IF(G116="Saída",-I116,I116))</f>
        <v/>
      </c>
      <c r="L116" t="str">
        <f>IF(E116="","",IFERROR(VLOOKUP(E116,Listas!$A$2:$C$1048576,3,FALSE),""))</f>
        <v/>
      </c>
    </row>
    <row r="117" spans="10:12" x14ac:dyDescent="0.25">
      <c r="J117" t="str">
        <f>IF(H117="","",IFERROR(VLOOKUP(H117,Listas!$J$2:$K$1048576,2,FALSE),""))</f>
        <v/>
      </c>
      <c r="K117" s="5" t="str">
        <f>IF(OR(I117="",G117=""),"",IF(G117="Saída",-I117,I117))</f>
        <v/>
      </c>
      <c r="L117" t="str">
        <f>IF(E117="","",IFERROR(VLOOKUP(E117,Listas!$A$2:$C$1048576,3,FALSE),""))</f>
        <v/>
      </c>
    </row>
    <row r="118" spans="10:12" x14ac:dyDescent="0.25">
      <c r="J118" t="str">
        <f>IF(H118="","",IFERROR(VLOOKUP(H118,Listas!$J$2:$K$1048576,2,FALSE),""))</f>
        <v/>
      </c>
      <c r="K118" s="5" t="str">
        <f>IF(OR(I118="",G118=""),"",IF(G118="Saída",-I118,I118))</f>
        <v/>
      </c>
      <c r="L118" t="str">
        <f>IF(E118="","",IFERROR(VLOOKUP(E118,Listas!$A$2:$C$1048576,3,FALSE),""))</f>
        <v/>
      </c>
    </row>
    <row r="119" spans="10:12" x14ac:dyDescent="0.25">
      <c r="J119" t="str">
        <f>IF(H119="","",IFERROR(VLOOKUP(H119,Listas!$J$2:$K$1048576,2,FALSE),""))</f>
        <v/>
      </c>
      <c r="K119" s="5" t="str">
        <f>IF(OR(I119="",G119=""),"",IF(G119="Saída",-I119,I119))</f>
        <v/>
      </c>
      <c r="L119" t="str">
        <f>IF(E119="","",IFERROR(VLOOKUP(E119,Listas!$A$2:$C$1048576,3,FALSE),""))</f>
        <v/>
      </c>
    </row>
    <row r="120" spans="10:12" x14ac:dyDescent="0.25">
      <c r="J120" t="str">
        <f>IF(H120="","",IFERROR(VLOOKUP(H120,Listas!$J$2:$K$1048576,2,FALSE),""))</f>
        <v/>
      </c>
      <c r="K120" s="5" t="str">
        <f>IF(OR(I120="",G120=""),"",IF(G120="Saída",-I120,I120))</f>
        <v/>
      </c>
      <c r="L120" t="str">
        <f>IF(E120="","",IFERROR(VLOOKUP(E120,Listas!$A$2:$C$1048576,3,FALSE),""))</f>
        <v/>
      </c>
    </row>
    <row r="121" spans="10:12" x14ac:dyDescent="0.25">
      <c r="J121" t="str">
        <f>IF(H121="","",IFERROR(VLOOKUP(H121,Listas!$J$2:$K$1048576,2,FALSE),""))</f>
        <v/>
      </c>
      <c r="K121" s="5" t="str">
        <f>IF(OR(I121="",G121=""),"",IF(G121="Saída",-I121,I121))</f>
        <v/>
      </c>
      <c r="L121" t="str">
        <f>IF(E121="","",IFERROR(VLOOKUP(E121,Listas!$A$2:$C$1048576,3,FALSE),""))</f>
        <v/>
      </c>
    </row>
    <row r="122" spans="10:12" x14ac:dyDescent="0.25">
      <c r="J122" t="str">
        <f>IF(H122="","",IFERROR(VLOOKUP(H122,Listas!$J$2:$K$1048576,2,FALSE),""))</f>
        <v/>
      </c>
      <c r="K122" s="5" t="str">
        <f>IF(OR(I122="",G122=""),"",IF(G122="Saída",-I122,I122))</f>
        <v/>
      </c>
      <c r="L122" t="str">
        <f>IF(E122="","",IFERROR(VLOOKUP(E122,Listas!$A$2:$C$1048576,3,FALSE),""))</f>
        <v/>
      </c>
    </row>
    <row r="123" spans="10:12" x14ac:dyDescent="0.25">
      <c r="J123" t="str">
        <f>IF(H123="","",IFERROR(VLOOKUP(H123,Listas!$J$2:$K$1048576,2,FALSE),""))</f>
        <v/>
      </c>
      <c r="K123" s="5" t="str">
        <f>IF(OR(I123="",G123=""),"",IF(G123="Saída",-I123,I123))</f>
        <v/>
      </c>
      <c r="L123" t="str">
        <f>IF(E123="","",IFERROR(VLOOKUP(E123,Listas!$A$2:$C$1048576,3,FALSE),""))</f>
        <v/>
      </c>
    </row>
    <row r="124" spans="10:12" x14ac:dyDescent="0.25">
      <c r="J124" t="str">
        <f>IF(H124="","",IFERROR(VLOOKUP(H124,Listas!$J$2:$K$1048576,2,FALSE),""))</f>
        <v/>
      </c>
      <c r="K124" s="5" t="str">
        <f>IF(OR(I124="",G124=""),"",IF(G124="Saída",-I124,I124))</f>
        <v/>
      </c>
      <c r="L124" t="str">
        <f>IF(E124="","",IFERROR(VLOOKUP(E124,Listas!$A$2:$C$1048576,3,FALSE),""))</f>
        <v/>
      </c>
    </row>
    <row r="125" spans="10:12" x14ac:dyDescent="0.25">
      <c r="J125" t="str">
        <f>IF(H125="","",IFERROR(VLOOKUP(H125,Listas!$J$2:$K$1048576,2,FALSE),""))</f>
        <v/>
      </c>
      <c r="K125" s="5" t="str">
        <f>IF(OR(I125="",G125=""),"",IF(G125="Saída",-I125,I125))</f>
        <v/>
      </c>
      <c r="L125" t="str">
        <f>IF(E125="","",IFERROR(VLOOKUP(E125,Listas!$A$2:$C$1048576,3,FALSE),""))</f>
        <v/>
      </c>
    </row>
    <row r="126" spans="10:12" x14ac:dyDescent="0.25">
      <c r="J126" t="str">
        <f>IF(H126="","",IFERROR(VLOOKUP(H126,Listas!$J$2:$K$1048576,2,FALSE),""))</f>
        <v/>
      </c>
      <c r="K126" s="5" t="str">
        <f>IF(OR(I126="",G126=""),"",IF(G126="Saída",-I126,I126))</f>
        <v/>
      </c>
      <c r="L126" t="str">
        <f>IF(E126="","",IFERROR(VLOOKUP(E126,Listas!$A$2:$C$1048576,3,FALSE),""))</f>
        <v/>
      </c>
    </row>
    <row r="127" spans="10:12" x14ac:dyDescent="0.25">
      <c r="J127" t="str">
        <f>IF(H127="","",IFERROR(VLOOKUP(H127,Listas!$J$2:$K$1048576,2,FALSE),""))</f>
        <v/>
      </c>
      <c r="K127" s="5" t="str">
        <f>IF(OR(I127="",G127=""),"",IF(G127="Saída",-I127,I127))</f>
        <v/>
      </c>
      <c r="L127" t="str">
        <f>IF(E127="","",IFERROR(VLOOKUP(E127,Listas!$A$2:$C$1048576,3,FALSE),""))</f>
        <v/>
      </c>
    </row>
    <row r="128" spans="10:12" x14ac:dyDescent="0.25">
      <c r="J128" t="str">
        <f>IF(H128="","",IFERROR(VLOOKUP(H128,Listas!$J$2:$K$1048576,2,FALSE),""))</f>
        <v/>
      </c>
      <c r="K128" s="5" t="str">
        <f>IF(OR(I128="",G128=""),"",IF(G128="Saída",-I128,I128))</f>
        <v/>
      </c>
      <c r="L128" t="str">
        <f>IF(E128="","",IFERROR(VLOOKUP(E128,Listas!$A$2:$C$1048576,3,FALSE),""))</f>
        <v/>
      </c>
    </row>
    <row r="129" spans="10:12" x14ac:dyDescent="0.25">
      <c r="J129" t="str">
        <f>IF(H129="","",IFERROR(VLOOKUP(H129,Listas!$J$2:$K$1048576,2,FALSE),""))</f>
        <v/>
      </c>
      <c r="K129" s="5" t="str">
        <f>IF(OR(I129="",G129=""),"",IF(G129="Saída",-I129,I129))</f>
        <v/>
      </c>
      <c r="L129" t="str">
        <f>IF(E129="","",IFERROR(VLOOKUP(E129,Listas!$A$2:$C$1048576,3,FALSE),""))</f>
        <v/>
      </c>
    </row>
    <row r="130" spans="10:12" x14ac:dyDescent="0.25">
      <c r="J130" t="str">
        <f>IF(H130="","",IFERROR(VLOOKUP(H130,Listas!$J$2:$K$1048576,2,FALSE),""))</f>
        <v/>
      </c>
      <c r="K130" s="5" t="str">
        <f>IF(OR(I130="",G130=""),"",IF(G130="Saída",-I130,I130))</f>
        <v/>
      </c>
      <c r="L130" t="str">
        <f>IF(E130="","",IFERROR(VLOOKUP(E130,Listas!$A$2:$C$1048576,3,FALSE),""))</f>
        <v/>
      </c>
    </row>
    <row r="131" spans="10:12" x14ac:dyDescent="0.25">
      <c r="J131" t="str">
        <f>IF(H131="","",IFERROR(VLOOKUP(H131,Listas!$J$2:$K$1048576,2,FALSE),""))</f>
        <v/>
      </c>
      <c r="K131" s="5" t="str">
        <f>IF(OR(I131="",G131=""),"",IF(G131="Saída",-I131,I131))</f>
        <v/>
      </c>
      <c r="L131" t="str">
        <f>IF(E131="","",IFERROR(VLOOKUP(E131,Listas!$A$2:$C$1048576,3,FALSE),""))</f>
        <v/>
      </c>
    </row>
    <row r="132" spans="10:12" x14ac:dyDescent="0.25">
      <c r="J132" t="str">
        <f>IF(H132="","",IFERROR(VLOOKUP(H132,Listas!$J$2:$K$1048576,2,FALSE),""))</f>
        <v/>
      </c>
      <c r="K132" s="5" t="str">
        <f>IF(OR(I132="",G132=""),"",IF(G132="Saída",-I132,I132))</f>
        <v/>
      </c>
      <c r="L132" t="str">
        <f>IF(E132="","",IFERROR(VLOOKUP(E132,Listas!$A$2:$C$1048576,3,FALSE),""))</f>
        <v/>
      </c>
    </row>
    <row r="133" spans="10:12" x14ac:dyDescent="0.25">
      <c r="J133" t="str">
        <f>IF(H133="","",IFERROR(VLOOKUP(H133,Listas!$J$2:$K$1048576,2,FALSE),""))</f>
        <v/>
      </c>
      <c r="K133" s="5" t="str">
        <f>IF(OR(I133="",G133=""),"",IF(G133="Saída",-I133,I133))</f>
        <v/>
      </c>
      <c r="L133" t="str">
        <f>IF(E133="","",IFERROR(VLOOKUP(E133,Listas!$A$2:$C$1048576,3,FALSE),""))</f>
        <v/>
      </c>
    </row>
    <row r="134" spans="10:12" x14ac:dyDescent="0.25">
      <c r="J134" t="str">
        <f>IF(H134="","",IFERROR(VLOOKUP(H134,Listas!$J$2:$K$1048576,2,FALSE),""))</f>
        <v/>
      </c>
      <c r="K134" s="5" t="str">
        <f>IF(OR(I134="",G134=""),"",IF(G134="Saída",-I134,I134))</f>
        <v/>
      </c>
      <c r="L134" t="str">
        <f>IF(E134="","",IFERROR(VLOOKUP(E134,Listas!$A$2:$C$1048576,3,FALSE),""))</f>
        <v/>
      </c>
    </row>
    <row r="135" spans="10:12" x14ac:dyDescent="0.25">
      <c r="J135" t="str">
        <f>IF(H135="","",IFERROR(VLOOKUP(H135,Listas!$J$2:$K$1048576,2,FALSE),""))</f>
        <v/>
      </c>
      <c r="K135" s="5" t="str">
        <f>IF(OR(I135="",G135=""),"",IF(G135="Saída",-I135,I135))</f>
        <v/>
      </c>
      <c r="L135" t="str">
        <f>IF(E135="","",IFERROR(VLOOKUP(E135,Listas!$A$2:$C$1048576,3,FALSE),""))</f>
        <v/>
      </c>
    </row>
    <row r="136" spans="10:12" x14ac:dyDescent="0.25">
      <c r="J136" t="str">
        <f>IF(H136="","",IFERROR(VLOOKUP(H136,Listas!$J$2:$K$1048576,2,FALSE),""))</f>
        <v/>
      </c>
      <c r="K136" s="5" t="str">
        <f>IF(OR(I136="",G136=""),"",IF(G136="Saída",-I136,I136))</f>
        <v/>
      </c>
      <c r="L136" t="str">
        <f>IF(E136="","",IFERROR(VLOOKUP(E136,Listas!$A$2:$C$1048576,3,FALSE),""))</f>
        <v/>
      </c>
    </row>
    <row r="137" spans="10:12" x14ac:dyDescent="0.25">
      <c r="J137" t="str">
        <f>IF(H137="","",IFERROR(VLOOKUP(H137,Listas!$J$2:$K$1048576,2,FALSE),""))</f>
        <v/>
      </c>
      <c r="K137" s="5" t="str">
        <f>IF(OR(I137="",G137=""),"",IF(G137="Saída",-I137,I137))</f>
        <v/>
      </c>
      <c r="L137" t="str">
        <f>IF(E137="","",IFERROR(VLOOKUP(E137,Listas!$A$2:$C$1048576,3,FALSE),""))</f>
        <v/>
      </c>
    </row>
    <row r="138" spans="10:12" x14ac:dyDescent="0.25">
      <c r="J138" t="str">
        <f>IF(H138="","",IFERROR(VLOOKUP(H138,Listas!$J$2:$K$1048576,2,FALSE),""))</f>
        <v/>
      </c>
      <c r="K138" s="5" t="str">
        <f>IF(OR(I138="",G138=""),"",IF(G138="Saída",-I138,I138))</f>
        <v/>
      </c>
      <c r="L138" t="str">
        <f>IF(E138="","",IFERROR(VLOOKUP(E138,Listas!$A$2:$C$1048576,3,FALSE),""))</f>
        <v/>
      </c>
    </row>
    <row r="139" spans="10:12" x14ac:dyDescent="0.25">
      <c r="J139" t="str">
        <f>IF(H139="","",IFERROR(VLOOKUP(H139,Listas!$J$2:$K$1048576,2,FALSE),""))</f>
        <v/>
      </c>
      <c r="K139" s="5" t="str">
        <f>IF(OR(I139="",G139=""),"",IF(G139="Saída",-I139,I139))</f>
        <v/>
      </c>
      <c r="L139" t="str">
        <f>IF(E139="","",IFERROR(VLOOKUP(E139,Listas!$A$2:$C$1048576,3,FALSE),""))</f>
        <v/>
      </c>
    </row>
    <row r="140" spans="10:12" x14ac:dyDescent="0.25">
      <c r="J140" t="str">
        <f>IF(H140="","",IFERROR(VLOOKUP(H140,Listas!$J$2:$K$1048576,2,FALSE),""))</f>
        <v/>
      </c>
      <c r="K140" s="5" t="str">
        <f>IF(OR(I140="",G140=""),"",IF(G140="Saída",-I140,I140))</f>
        <v/>
      </c>
      <c r="L140" t="str">
        <f>IF(E140="","",IFERROR(VLOOKUP(E140,Listas!$A$2:$C$1048576,3,FALSE),""))</f>
        <v/>
      </c>
    </row>
    <row r="141" spans="10:12" x14ac:dyDescent="0.25">
      <c r="J141" t="str">
        <f>IF(H141="","",IFERROR(VLOOKUP(H141,Listas!$J$2:$K$1048576,2,FALSE),""))</f>
        <v/>
      </c>
      <c r="K141" s="5" t="str">
        <f>IF(OR(I141="",G141=""),"",IF(G141="Saída",-I141,I141))</f>
        <v/>
      </c>
      <c r="L141" t="str">
        <f>IF(E141="","",IFERROR(VLOOKUP(E141,Listas!$A$2:$C$1048576,3,FALSE),""))</f>
        <v/>
      </c>
    </row>
    <row r="142" spans="10:12" x14ac:dyDescent="0.25">
      <c r="J142" t="str">
        <f>IF(H142="","",IFERROR(VLOOKUP(H142,Listas!$J$2:$K$1048576,2,FALSE),""))</f>
        <v/>
      </c>
      <c r="K142" s="5" t="str">
        <f>IF(OR(I142="",G142=""),"",IF(G142="Saída",-I142,I142))</f>
        <v/>
      </c>
      <c r="L142" t="str">
        <f>IF(E142="","",IFERROR(VLOOKUP(E142,Listas!$A$2:$C$1048576,3,FALSE),""))</f>
        <v/>
      </c>
    </row>
    <row r="143" spans="10:12" x14ac:dyDescent="0.25">
      <c r="J143" t="str">
        <f>IF(H143="","",IFERROR(VLOOKUP(H143,Listas!$J$2:$K$1048576,2,FALSE),""))</f>
        <v/>
      </c>
      <c r="K143" s="5" t="str">
        <f>IF(OR(I143="",G143=""),"",IF(G143="Saída",-I143,I143))</f>
        <v/>
      </c>
      <c r="L143" t="str">
        <f>IF(E143="","",IFERROR(VLOOKUP(E143,Listas!$A$2:$C$1048576,3,FALSE),""))</f>
        <v/>
      </c>
    </row>
    <row r="144" spans="10:12" x14ac:dyDescent="0.25">
      <c r="J144" t="str">
        <f>IF(H144="","",IFERROR(VLOOKUP(H144,Listas!$J$2:$K$1048576,2,FALSE),""))</f>
        <v/>
      </c>
      <c r="K144" s="5" t="str">
        <f>IF(OR(I144="",G144=""),"",IF(G144="Saída",-I144,I144))</f>
        <v/>
      </c>
      <c r="L144" t="str">
        <f>IF(E144="","",IFERROR(VLOOKUP(E144,Listas!$A$2:$C$1048576,3,FALSE),""))</f>
        <v/>
      </c>
    </row>
    <row r="145" spans="10:12" x14ac:dyDescent="0.25">
      <c r="J145" t="str">
        <f>IF(H145="","",IFERROR(VLOOKUP(H145,Listas!$J$2:$K$1048576,2,FALSE),""))</f>
        <v/>
      </c>
      <c r="K145" s="5" t="str">
        <f>IF(OR(I145="",G145=""),"",IF(G145="Saída",-I145,I145))</f>
        <v/>
      </c>
      <c r="L145" t="str">
        <f>IF(E145="","",IFERROR(VLOOKUP(E145,Listas!$A$2:$C$1048576,3,FALSE),""))</f>
        <v/>
      </c>
    </row>
    <row r="146" spans="10:12" x14ac:dyDescent="0.25">
      <c r="J146" t="str">
        <f>IF(H146="","",IFERROR(VLOOKUP(H146,Listas!$J$2:$K$1048576,2,FALSE),""))</f>
        <v/>
      </c>
      <c r="K146" s="5" t="str">
        <f>IF(OR(I146="",G146=""),"",IF(G146="Saída",-I146,I146))</f>
        <v/>
      </c>
      <c r="L146" t="str">
        <f>IF(E146="","",IFERROR(VLOOKUP(E146,Listas!$A$2:$C$1048576,3,FALSE),""))</f>
        <v/>
      </c>
    </row>
    <row r="147" spans="10:12" x14ac:dyDescent="0.25">
      <c r="J147" t="str">
        <f>IF(H147="","",IFERROR(VLOOKUP(H147,Listas!$J$2:$K$1048576,2,FALSE),""))</f>
        <v/>
      </c>
      <c r="K147" s="5" t="str">
        <f>IF(OR(I147="",G147=""),"",IF(G147="Saída",-I147,I147))</f>
        <v/>
      </c>
      <c r="L147" t="str">
        <f>IF(E147="","",IFERROR(VLOOKUP(E147,Listas!$A$2:$C$1048576,3,FALSE),""))</f>
        <v/>
      </c>
    </row>
    <row r="148" spans="10:12" x14ac:dyDescent="0.25">
      <c r="J148" t="str">
        <f>IF(H148="","",IFERROR(VLOOKUP(H148,Listas!$J$2:$K$1048576,2,FALSE),""))</f>
        <v/>
      </c>
      <c r="K148" s="5" t="str">
        <f>IF(OR(I148="",G148=""),"",IF(G148="Saída",-I148,I148))</f>
        <v/>
      </c>
      <c r="L148" t="str">
        <f>IF(E148="","",IFERROR(VLOOKUP(E148,Listas!$A$2:$C$1048576,3,FALSE),""))</f>
        <v/>
      </c>
    </row>
    <row r="149" spans="10:12" x14ac:dyDescent="0.25">
      <c r="J149" t="str">
        <f>IF(H149="","",IFERROR(VLOOKUP(H149,Listas!$J$2:$K$1048576,2,FALSE),""))</f>
        <v/>
      </c>
      <c r="K149" s="5" t="str">
        <f>IF(OR(I149="",G149=""),"",IF(G149="Saída",-I149,I149))</f>
        <v/>
      </c>
      <c r="L149" t="str">
        <f>IF(E149="","",IFERROR(VLOOKUP(E149,Listas!$A$2:$C$1048576,3,FALSE),""))</f>
        <v/>
      </c>
    </row>
    <row r="150" spans="10:12" x14ac:dyDescent="0.25">
      <c r="J150" t="str">
        <f>IF(H150="","",IFERROR(VLOOKUP(H150,Listas!$J$2:$K$1048576,2,FALSE),""))</f>
        <v/>
      </c>
      <c r="K150" s="5" t="str">
        <f>IF(OR(I150="",G150=""),"",IF(G150="Saída",-I150,I150))</f>
        <v/>
      </c>
      <c r="L150" t="str">
        <f>IF(E150="","",IFERROR(VLOOKUP(E150,Listas!$A$2:$C$1048576,3,FALSE),""))</f>
        <v/>
      </c>
    </row>
    <row r="151" spans="10:12" x14ac:dyDescent="0.25">
      <c r="J151" t="str">
        <f>IF(H151="","",IFERROR(VLOOKUP(H151,Listas!$J$2:$K$1048576,2,FALSE),""))</f>
        <v/>
      </c>
      <c r="K151" s="5" t="str">
        <f>IF(OR(I151="",G151=""),"",IF(G151="Saída",-I151,I151))</f>
        <v/>
      </c>
      <c r="L151" t="str">
        <f>IF(E151="","",IFERROR(VLOOKUP(E151,Listas!$A$2:$C$1048576,3,FALSE),""))</f>
        <v/>
      </c>
    </row>
    <row r="152" spans="10:12" x14ac:dyDescent="0.25">
      <c r="J152" t="str">
        <f>IF(H152="","",IFERROR(VLOOKUP(H152,Listas!$J$2:$K$1048576,2,FALSE),""))</f>
        <v/>
      </c>
      <c r="K152" s="5" t="str">
        <f>IF(OR(I152="",G152=""),"",IF(G152="Saída",-I152,I152))</f>
        <v/>
      </c>
      <c r="L152" t="str">
        <f>IF(E152="","",IFERROR(VLOOKUP(E152,Listas!$A$2:$C$1048576,3,FALSE),""))</f>
        <v/>
      </c>
    </row>
    <row r="153" spans="10:12" x14ac:dyDescent="0.25">
      <c r="J153" t="str">
        <f>IF(H153="","",IFERROR(VLOOKUP(H153,Listas!$J$2:$K$1048576,2,FALSE),""))</f>
        <v/>
      </c>
      <c r="K153" s="5" t="str">
        <f>IF(OR(I153="",G153=""),"",IF(G153="Saída",-I153,I153))</f>
        <v/>
      </c>
      <c r="L153" t="str">
        <f>IF(E153="","",IFERROR(VLOOKUP(E153,Listas!$A$2:$C$1048576,3,FALSE),""))</f>
        <v/>
      </c>
    </row>
    <row r="154" spans="10:12" x14ac:dyDescent="0.25">
      <c r="J154" t="str">
        <f>IF(H154="","",IFERROR(VLOOKUP(H154,Listas!$J$2:$K$1048576,2,FALSE),""))</f>
        <v/>
      </c>
      <c r="K154" s="5" t="str">
        <f>IF(OR(I154="",G154=""),"",IF(G154="Saída",-I154,I154))</f>
        <v/>
      </c>
      <c r="L154" t="str">
        <f>IF(E154="","",IFERROR(VLOOKUP(E154,Listas!$A$2:$C$1048576,3,FALSE),""))</f>
        <v/>
      </c>
    </row>
    <row r="155" spans="10:12" x14ac:dyDescent="0.25">
      <c r="J155" t="str">
        <f>IF(H155="","",IFERROR(VLOOKUP(H155,Listas!$J$2:$K$1048576,2,FALSE),""))</f>
        <v/>
      </c>
      <c r="K155" s="5" t="str">
        <f>IF(OR(I155="",G155=""),"",IF(G155="Saída",-I155,I155))</f>
        <v/>
      </c>
      <c r="L155" t="str">
        <f>IF(E155="","",IFERROR(VLOOKUP(E155,Listas!$A$2:$C$1048576,3,FALSE),""))</f>
        <v/>
      </c>
    </row>
    <row r="156" spans="10:12" x14ac:dyDescent="0.25">
      <c r="J156" t="str">
        <f>IF(H156="","",IFERROR(VLOOKUP(H156,Listas!$J$2:$K$1048576,2,FALSE),""))</f>
        <v/>
      </c>
      <c r="K156" s="5" t="str">
        <f>IF(OR(I156="",G156=""),"",IF(G156="Saída",-I156,I156))</f>
        <v/>
      </c>
      <c r="L156" t="str">
        <f>IF(E156="","",IFERROR(VLOOKUP(E156,Listas!$A$2:$C$1048576,3,FALSE),""))</f>
        <v/>
      </c>
    </row>
    <row r="157" spans="10:12" x14ac:dyDescent="0.25">
      <c r="J157" t="str">
        <f>IF(H157="","",IFERROR(VLOOKUP(H157,Listas!$J$2:$K$1048576,2,FALSE),""))</f>
        <v/>
      </c>
      <c r="K157" s="5" t="str">
        <f>IF(OR(I157="",G157=""),"",IF(G157="Saída",-I157,I157))</f>
        <v/>
      </c>
      <c r="L157" t="str">
        <f>IF(E157="","",IFERROR(VLOOKUP(E157,Listas!$A$2:$C$1048576,3,FALSE),""))</f>
        <v/>
      </c>
    </row>
    <row r="158" spans="10:12" x14ac:dyDescent="0.25">
      <c r="J158" t="str">
        <f>IF(H158="","",IFERROR(VLOOKUP(H158,Listas!$J$2:$K$1048576,2,FALSE),""))</f>
        <v/>
      </c>
      <c r="K158" s="5" t="str">
        <f>IF(OR(I158="",G158=""),"",IF(G158="Saída",-I158,I158))</f>
        <v/>
      </c>
      <c r="L158" t="str">
        <f>IF(E158="","",IFERROR(VLOOKUP(E158,Listas!$A$2:$C$1048576,3,FALSE),""))</f>
        <v/>
      </c>
    </row>
    <row r="159" spans="10:12" x14ac:dyDescent="0.25">
      <c r="J159" t="str">
        <f>IF(H159="","",IFERROR(VLOOKUP(H159,Listas!$J$2:$K$1048576,2,FALSE),""))</f>
        <v/>
      </c>
      <c r="K159" s="5" t="str">
        <f>IF(OR(I159="",G159=""),"",IF(G159="Saída",-I159,I159))</f>
        <v/>
      </c>
      <c r="L159" t="str">
        <f>IF(E159="","",IFERROR(VLOOKUP(E159,Listas!$A$2:$C$1048576,3,FALSE),""))</f>
        <v/>
      </c>
    </row>
    <row r="160" spans="10:12" x14ac:dyDescent="0.25">
      <c r="J160" t="str">
        <f>IF(H160="","",IFERROR(VLOOKUP(H160,Listas!$J$2:$K$1048576,2,FALSE),""))</f>
        <v/>
      </c>
      <c r="K160" s="5" t="str">
        <f>IF(OR(I160="",G160=""),"",IF(G160="Saída",-I160,I160))</f>
        <v/>
      </c>
      <c r="L160" t="str">
        <f>IF(E160="","",IFERROR(VLOOKUP(E160,Listas!$A$2:$C$1048576,3,FALSE),""))</f>
        <v/>
      </c>
    </row>
    <row r="161" spans="10:12" x14ac:dyDescent="0.25">
      <c r="J161" t="str">
        <f>IF(H161="","",IFERROR(VLOOKUP(H161,Listas!$J$2:$K$1048576,2,FALSE),""))</f>
        <v/>
      </c>
      <c r="K161" s="5" t="str">
        <f>IF(OR(I161="",G161=""),"",IF(G161="Saída",-I161,I161))</f>
        <v/>
      </c>
      <c r="L161" t="str">
        <f>IF(E161="","",IFERROR(VLOOKUP(E161,Listas!$A$2:$C$1048576,3,FALSE),""))</f>
        <v/>
      </c>
    </row>
    <row r="162" spans="10:12" x14ac:dyDescent="0.25">
      <c r="J162" t="str">
        <f>IF(H162="","",IFERROR(VLOOKUP(H162,Listas!$J$2:$K$1048576,2,FALSE),""))</f>
        <v/>
      </c>
      <c r="K162" s="5" t="str">
        <f>IF(OR(I162="",G162=""),"",IF(G162="Saída",-I162,I162))</f>
        <v/>
      </c>
      <c r="L162" t="str">
        <f>IF(E162="","",IFERROR(VLOOKUP(E162,Listas!$A$2:$C$1048576,3,FALSE),""))</f>
        <v/>
      </c>
    </row>
    <row r="163" spans="10:12" x14ac:dyDescent="0.25">
      <c r="J163" t="str">
        <f>IF(H163="","",IFERROR(VLOOKUP(H163,Listas!$J$2:$K$1048576,2,FALSE),""))</f>
        <v/>
      </c>
      <c r="K163" s="5" t="str">
        <f>IF(OR(I163="",G163=""),"",IF(G163="Saída",-I163,I163))</f>
        <v/>
      </c>
      <c r="L163" t="str">
        <f>IF(E163="","",IFERROR(VLOOKUP(E163,Listas!$A$2:$C$1048576,3,FALSE),""))</f>
        <v/>
      </c>
    </row>
    <row r="164" spans="10:12" x14ac:dyDescent="0.25">
      <c r="J164" t="str">
        <f>IF(H164="","",IFERROR(VLOOKUP(H164,Listas!$J$2:$K$1048576,2,FALSE),""))</f>
        <v/>
      </c>
      <c r="K164" s="5" t="str">
        <f>IF(OR(I164="",G164=""),"",IF(G164="Saída",-I164,I164))</f>
        <v/>
      </c>
      <c r="L164" t="str">
        <f>IF(E164="","",IFERROR(VLOOKUP(E164,Listas!$A$2:$C$1048576,3,FALSE),""))</f>
        <v/>
      </c>
    </row>
    <row r="165" spans="10:12" x14ac:dyDescent="0.25">
      <c r="J165" t="str">
        <f>IF(H165="","",IFERROR(VLOOKUP(H165,Listas!$J$2:$K$1048576,2,FALSE),""))</f>
        <v/>
      </c>
      <c r="K165" s="5" t="str">
        <f>IF(OR(I165="",G165=""),"",IF(G165="Saída",-I165,I165))</f>
        <v/>
      </c>
      <c r="L165" t="str">
        <f>IF(E165="","",IFERROR(VLOOKUP(E165,Listas!$A$2:$C$1048576,3,FALSE),""))</f>
        <v/>
      </c>
    </row>
    <row r="166" spans="10:12" x14ac:dyDescent="0.25">
      <c r="J166" t="str">
        <f>IF(H166="","",IFERROR(VLOOKUP(H166,Listas!$J$2:$K$1048576,2,FALSE),""))</f>
        <v/>
      </c>
      <c r="K166" s="5" t="str">
        <f>IF(OR(I166="",G166=""),"",IF(G166="Saída",-I166,I166))</f>
        <v/>
      </c>
      <c r="L166" t="str">
        <f>IF(E166="","",IFERROR(VLOOKUP(E166,Listas!$A$2:$C$1048576,3,FALSE),""))</f>
        <v/>
      </c>
    </row>
    <row r="167" spans="10:12" x14ac:dyDescent="0.25">
      <c r="J167" t="str">
        <f>IF(H167="","",IFERROR(VLOOKUP(H167,Listas!$J$2:$K$1048576,2,FALSE),""))</f>
        <v/>
      </c>
      <c r="K167" s="5" t="str">
        <f>IF(OR(I167="",G167=""),"",IF(G167="Saída",-I167,I167))</f>
        <v/>
      </c>
      <c r="L167" t="str">
        <f>IF(E167="","",IFERROR(VLOOKUP(E167,Listas!$A$2:$C$1048576,3,FALSE),""))</f>
        <v/>
      </c>
    </row>
    <row r="168" spans="10:12" x14ac:dyDescent="0.25">
      <c r="J168" t="str">
        <f>IF(H168="","",IFERROR(VLOOKUP(H168,Listas!$J$2:$K$1048576,2,FALSE),""))</f>
        <v/>
      </c>
      <c r="K168" s="5" t="str">
        <f>IF(OR(I168="",G168=""),"",IF(G168="Saída",-I168,I168))</f>
        <v/>
      </c>
      <c r="L168" t="str">
        <f>IF(E168="","",IFERROR(VLOOKUP(E168,Listas!$A$2:$C$1048576,3,FALSE),""))</f>
        <v/>
      </c>
    </row>
    <row r="169" spans="10:12" x14ac:dyDescent="0.25">
      <c r="J169" t="str">
        <f>IF(H169="","",IFERROR(VLOOKUP(H169,Listas!$J$2:$K$1048576,2,FALSE),""))</f>
        <v/>
      </c>
      <c r="K169" s="5" t="str">
        <f>IF(OR(I169="",G169=""),"",IF(G169="Saída",-I169,I169))</f>
        <v/>
      </c>
      <c r="L169" t="str">
        <f>IF(E169="","",IFERROR(VLOOKUP(E169,Listas!$A$2:$C$1048576,3,FALSE),""))</f>
        <v/>
      </c>
    </row>
    <row r="170" spans="10:12" x14ac:dyDescent="0.25">
      <c r="J170" t="str">
        <f>IF(H170="","",IFERROR(VLOOKUP(H170,Listas!$J$2:$K$1048576,2,FALSE),""))</f>
        <v/>
      </c>
      <c r="K170" s="5" t="str">
        <f>IF(OR(I170="",G170=""),"",IF(G170="Saída",-I170,I170))</f>
        <v/>
      </c>
      <c r="L170" t="str">
        <f>IF(E170="","",IFERROR(VLOOKUP(E170,Listas!$A$2:$C$1048576,3,FALSE),""))</f>
        <v/>
      </c>
    </row>
    <row r="171" spans="10:12" x14ac:dyDescent="0.25">
      <c r="J171" t="str">
        <f>IF(H171="","",IFERROR(VLOOKUP(H171,Listas!$J$2:$K$1048576,2,FALSE),""))</f>
        <v/>
      </c>
      <c r="K171" s="5" t="str">
        <f>IF(OR(I171="",G171=""),"",IF(G171="Saída",-I171,I171))</f>
        <v/>
      </c>
      <c r="L171" t="str">
        <f>IF(E171="","",IFERROR(VLOOKUP(E171,Listas!$A$2:$C$1048576,3,FALSE),""))</f>
        <v/>
      </c>
    </row>
    <row r="172" spans="10:12" x14ac:dyDescent="0.25">
      <c r="J172" t="str">
        <f>IF(H172="","",IFERROR(VLOOKUP(H172,Listas!$J$2:$K$1048576,2,FALSE),""))</f>
        <v/>
      </c>
      <c r="K172" s="5" t="str">
        <f>IF(OR(I172="",G172=""),"",IF(G172="Saída",-I172,I172))</f>
        <v/>
      </c>
      <c r="L172" t="str">
        <f>IF(E172="","",IFERROR(VLOOKUP(E172,Listas!$A$2:$C$1048576,3,FALSE),""))</f>
        <v/>
      </c>
    </row>
    <row r="173" spans="10:12" x14ac:dyDescent="0.25">
      <c r="J173" t="str">
        <f>IF(H173="","",IFERROR(VLOOKUP(H173,Listas!$J$2:$K$1048576,2,FALSE),""))</f>
        <v/>
      </c>
      <c r="K173" s="5" t="str">
        <f>IF(OR(I173="",G173=""),"",IF(G173="Saída",-I173,I173))</f>
        <v/>
      </c>
      <c r="L173" t="str">
        <f>IF(E173="","",IFERROR(VLOOKUP(E173,Listas!$A$2:$C$1048576,3,FALSE),""))</f>
        <v/>
      </c>
    </row>
    <row r="174" spans="10:12" x14ac:dyDescent="0.25">
      <c r="J174" t="str">
        <f>IF(H174="","",IFERROR(VLOOKUP(H174,Listas!$J$2:$K$1048576,2,FALSE),""))</f>
        <v/>
      </c>
      <c r="K174" s="5" t="str">
        <f>IF(OR(I174="",G174=""),"",IF(G174="Saída",-I174,I174))</f>
        <v/>
      </c>
      <c r="L174" t="str">
        <f>IF(E174="","",IFERROR(VLOOKUP(E174,Listas!$A$2:$C$1048576,3,FALSE),""))</f>
        <v/>
      </c>
    </row>
    <row r="175" spans="10:12" x14ac:dyDescent="0.25">
      <c r="J175" t="str">
        <f>IF(H175="","",IFERROR(VLOOKUP(H175,Listas!$J$2:$K$1048576,2,FALSE),""))</f>
        <v/>
      </c>
      <c r="K175" s="5" t="str">
        <f>IF(OR(I175="",G175=""),"",IF(G175="Saída",-I175,I175))</f>
        <v/>
      </c>
      <c r="L175" t="str">
        <f>IF(E175="","",IFERROR(VLOOKUP(E175,Listas!$A$2:$C$1048576,3,FALSE),""))</f>
        <v/>
      </c>
    </row>
    <row r="176" spans="10:12" x14ac:dyDescent="0.25">
      <c r="J176" t="str">
        <f>IF(H176="","",IFERROR(VLOOKUP(H176,Listas!$J$2:$K$1048576,2,FALSE),""))</f>
        <v/>
      </c>
      <c r="K176" s="5" t="str">
        <f>IF(OR(I176="",G176=""),"",IF(G176="Saída",-I176,I176))</f>
        <v/>
      </c>
      <c r="L176" t="str">
        <f>IF(E176="","",IFERROR(VLOOKUP(E176,Listas!$A$2:$C$1048576,3,FALSE),""))</f>
        <v/>
      </c>
    </row>
    <row r="177" spans="10:12" x14ac:dyDescent="0.25">
      <c r="J177" t="str">
        <f>IF(H177="","",IFERROR(VLOOKUP(H177,Listas!$J$2:$K$1048576,2,FALSE),""))</f>
        <v/>
      </c>
      <c r="K177" s="5" t="str">
        <f>IF(OR(I177="",G177=""),"",IF(G177="Saída",-I177,I177))</f>
        <v/>
      </c>
      <c r="L177" t="str">
        <f>IF(E177="","",IFERROR(VLOOKUP(E177,Listas!$A$2:$C$1048576,3,FALSE),""))</f>
        <v/>
      </c>
    </row>
    <row r="178" spans="10:12" x14ac:dyDescent="0.25">
      <c r="J178" t="str">
        <f>IF(H178="","",IFERROR(VLOOKUP(H178,Listas!$J$2:$K$1048576,2,FALSE),""))</f>
        <v/>
      </c>
      <c r="K178" s="5" t="str">
        <f>IF(OR(I178="",G178=""),"",IF(G178="Saída",-I178,I178))</f>
        <v/>
      </c>
      <c r="L178" t="str">
        <f>IF(E178="","",IFERROR(VLOOKUP(E178,Listas!$A$2:$C$1048576,3,FALSE),""))</f>
        <v/>
      </c>
    </row>
    <row r="179" spans="10:12" x14ac:dyDescent="0.25">
      <c r="J179" t="str">
        <f>IF(H179="","",IFERROR(VLOOKUP(H179,Listas!$J$2:$K$1048576,2,FALSE),""))</f>
        <v/>
      </c>
      <c r="K179" s="5" t="str">
        <f>IF(OR(I179="",G179=""),"",IF(G179="Saída",-I179,I179))</f>
        <v/>
      </c>
      <c r="L179" t="str">
        <f>IF(E179="","",IFERROR(VLOOKUP(E179,Listas!$A$2:$C$1048576,3,FALSE),""))</f>
        <v/>
      </c>
    </row>
    <row r="180" spans="10:12" x14ac:dyDescent="0.25">
      <c r="J180" t="str">
        <f>IF(H180="","",IFERROR(VLOOKUP(H180,Listas!$J$2:$K$1048576,2,FALSE),""))</f>
        <v/>
      </c>
      <c r="K180" s="5" t="str">
        <f>IF(OR(I180="",G180=""),"",IF(G180="Saída",-I180,I180))</f>
        <v/>
      </c>
      <c r="L180" t="str">
        <f>IF(E180="","",IFERROR(VLOOKUP(E180,Listas!$A$2:$C$1048576,3,FALSE),""))</f>
        <v/>
      </c>
    </row>
    <row r="181" spans="10:12" x14ac:dyDescent="0.25">
      <c r="J181" t="str">
        <f>IF(H181="","",IFERROR(VLOOKUP(H181,Listas!$J$2:$K$1048576,2,FALSE),""))</f>
        <v/>
      </c>
      <c r="K181" s="5" t="str">
        <f>IF(OR(I181="",G181=""),"",IF(G181="Saída",-I181,I181))</f>
        <v/>
      </c>
      <c r="L181" t="str">
        <f>IF(E181="","",IFERROR(VLOOKUP(E181,Listas!$A$2:$C$1048576,3,FALSE),""))</f>
        <v/>
      </c>
    </row>
    <row r="182" spans="10:12" x14ac:dyDescent="0.25">
      <c r="J182" t="str">
        <f>IF(H182="","",IFERROR(VLOOKUP(H182,Listas!$J$2:$K$1048576,2,FALSE),""))</f>
        <v/>
      </c>
      <c r="K182" s="5" t="str">
        <f>IF(OR(I182="",G182=""),"",IF(G182="Saída",-I182,I182))</f>
        <v/>
      </c>
      <c r="L182" t="str">
        <f>IF(E182="","",IFERROR(VLOOKUP(E182,Listas!$A$2:$C$1048576,3,FALSE),""))</f>
        <v/>
      </c>
    </row>
    <row r="183" spans="10:12" x14ac:dyDescent="0.25">
      <c r="J183" t="str">
        <f>IF(H183="","",IFERROR(VLOOKUP(H183,Listas!$J$2:$K$1048576,2,FALSE),""))</f>
        <v/>
      </c>
      <c r="K183" s="5" t="str">
        <f>IF(OR(I183="",G183=""),"",IF(G183="Saída",-I183,I183))</f>
        <v/>
      </c>
      <c r="L183" t="str">
        <f>IF(E183="","",IFERROR(VLOOKUP(E183,Listas!$A$2:$C$1048576,3,FALSE),""))</f>
        <v/>
      </c>
    </row>
    <row r="184" spans="10:12" x14ac:dyDescent="0.25">
      <c r="J184" t="str">
        <f>IF(H184="","",IFERROR(VLOOKUP(H184,Listas!$J$2:$K$1048576,2,FALSE),""))</f>
        <v/>
      </c>
      <c r="K184" s="5" t="str">
        <f>IF(OR(I184="",G184=""),"",IF(G184="Saída",-I184,I184))</f>
        <v/>
      </c>
      <c r="L184" t="str">
        <f>IF(E184="","",IFERROR(VLOOKUP(E184,Listas!$A$2:$C$1048576,3,FALSE),""))</f>
        <v/>
      </c>
    </row>
    <row r="185" spans="10:12" x14ac:dyDescent="0.25">
      <c r="J185" t="str">
        <f>IF(H185="","",IFERROR(VLOOKUP(H185,Listas!$J$2:$K$1048576,2,FALSE),""))</f>
        <v/>
      </c>
      <c r="K185" s="5" t="str">
        <f>IF(OR(I185="",G185=""),"",IF(G185="Saída",-I185,I185))</f>
        <v/>
      </c>
      <c r="L185" t="str">
        <f>IF(E185="","",IFERROR(VLOOKUP(E185,Listas!$A$2:$C$1048576,3,FALSE),""))</f>
        <v/>
      </c>
    </row>
    <row r="186" spans="10:12" x14ac:dyDescent="0.25">
      <c r="J186" t="str">
        <f>IF(H186="","",IFERROR(VLOOKUP(H186,Listas!$J$2:$K$1048576,2,FALSE),""))</f>
        <v/>
      </c>
      <c r="K186" s="5" t="str">
        <f>IF(OR(I186="",G186=""),"",IF(G186="Saída",-I186,I186))</f>
        <v/>
      </c>
      <c r="L186" t="str">
        <f>IF(E186="","",IFERROR(VLOOKUP(E186,Listas!$A$2:$C$1048576,3,FALSE),""))</f>
        <v/>
      </c>
    </row>
    <row r="187" spans="10:12" x14ac:dyDescent="0.25">
      <c r="J187" t="str">
        <f>IF(H187="","",IFERROR(VLOOKUP(H187,Listas!$J$2:$K$1048576,2,FALSE),""))</f>
        <v/>
      </c>
      <c r="K187" s="5" t="str">
        <f>IF(OR(I187="",G187=""),"",IF(G187="Saída",-I187,I187))</f>
        <v/>
      </c>
      <c r="L187" t="str">
        <f>IF(E187="","",IFERROR(VLOOKUP(E187,Listas!$A$2:$C$1048576,3,FALSE),""))</f>
        <v/>
      </c>
    </row>
    <row r="188" spans="10:12" x14ac:dyDescent="0.25">
      <c r="J188" t="str">
        <f>IF(H188="","",IFERROR(VLOOKUP(H188,Listas!$J$2:$K$1048576,2,FALSE),""))</f>
        <v/>
      </c>
      <c r="K188" s="5" t="str">
        <f>IF(OR(I188="",G188=""),"",IF(G188="Saída",-I188,I188))</f>
        <v/>
      </c>
      <c r="L188" t="str">
        <f>IF(E188="","",IFERROR(VLOOKUP(E188,Listas!$A$2:$C$1048576,3,FALSE),""))</f>
        <v/>
      </c>
    </row>
    <row r="189" spans="10:12" x14ac:dyDescent="0.25">
      <c r="J189" t="str">
        <f>IF(H189="","",IFERROR(VLOOKUP(H189,Listas!$J$2:$K$1048576,2,FALSE),""))</f>
        <v/>
      </c>
      <c r="K189" s="5" t="str">
        <f>IF(OR(I189="",G189=""),"",IF(G189="Saída",-I189,I189))</f>
        <v/>
      </c>
      <c r="L189" t="str">
        <f>IF(E189="","",IFERROR(VLOOKUP(E189,Listas!$A$2:$C$1048576,3,FALSE),""))</f>
        <v/>
      </c>
    </row>
    <row r="190" spans="10:12" x14ac:dyDescent="0.25">
      <c r="J190" t="str">
        <f>IF(H190="","",IFERROR(VLOOKUP(H190,Listas!$J$2:$K$1048576,2,FALSE),""))</f>
        <v/>
      </c>
      <c r="K190" s="5" t="str">
        <f>IF(OR(I190="",G190=""),"",IF(G190="Saída",-I190,I190))</f>
        <v/>
      </c>
      <c r="L190" t="str">
        <f>IF(E190="","",IFERROR(VLOOKUP(E190,Listas!$A$2:$C$1048576,3,FALSE),""))</f>
        <v/>
      </c>
    </row>
    <row r="191" spans="10:12" x14ac:dyDescent="0.25">
      <c r="J191" t="str">
        <f>IF(H191="","",IFERROR(VLOOKUP(H191,Listas!$J$2:$K$1048576,2,FALSE),""))</f>
        <v/>
      </c>
      <c r="K191" s="5" t="str">
        <f>IF(OR(I191="",G191=""),"",IF(G191="Saída",-I191,I191))</f>
        <v/>
      </c>
      <c r="L191" t="str">
        <f>IF(E191="","",IFERROR(VLOOKUP(E191,Listas!$A$2:$C$1048576,3,FALSE),""))</f>
        <v/>
      </c>
    </row>
    <row r="192" spans="10:12" x14ac:dyDescent="0.25">
      <c r="J192" t="str">
        <f>IF(H192="","",IFERROR(VLOOKUP(H192,Listas!$J$2:$K$1048576,2,FALSE),""))</f>
        <v/>
      </c>
      <c r="K192" s="5" t="str">
        <f>IF(OR(I192="",G192=""),"",IF(G192="Saída",-I192,I192))</f>
        <v/>
      </c>
      <c r="L192" t="str">
        <f>IF(E192="","",IFERROR(VLOOKUP(E192,Listas!$A$2:$C$1048576,3,FALSE),""))</f>
        <v/>
      </c>
    </row>
    <row r="193" spans="10:12" x14ac:dyDescent="0.25">
      <c r="J193" t="str">
        <f>IF(H193="","",IFERROR(VLOOKUP(H193,Listas!$J$2:$K$1048576,2,FALSE),""))</f>
        <v/>
      </c>
      <c r="K193" s="5" t="str">
        <f>IF(OR(I193="",G193=""),"",IF(G193="Saída",-I193,I193))</f>
        <v/>
      </c>
      <c r="L193" t="str">
        <f>IF(E193="","",IFERROR(VLOOKUP(E193,Listas!$A$2:$C$1048576,3,FALSE),""))</f>
        <v/>
      </c>
    </row>
    <row r="194" spans="10:12" x14ac:dyDescent="0.25">
      <c r="J194" t="str">
        <f>IF(H194="","",IFERROR(VLOOKUP(H194,Listas!$J$2:$K$1048576,2,FALSE),""))</f>
        <v/>
      </c>
      <c r="K194" s="5" t="str">
        <f>IF(OR(I194="",G194=""),"",IF(G194="Saída",-I194,I194))</f>
        <v/>
      </c>
      <c r="L194" t="str">
        <f>IF(E194="","",IFERROR(VLOOKUP(E194,Listas!$A$2:$C$1048576,3,FALSE),""))</f>
        <v/>
      </c>
    </row>
    <row r="195" spans="10:12" x14ac:dyDescent="0.25">
      <c r="J195" t="str">
        <f>IF(H195="","",IFERROR(VLOOKUP(H195,Listas!$J$2:$K$1048576,2,FALSE),""))</f>
        <v/>
      </c>
      <c r="K195" s="5" t="str">
        <f>IF(OR(I195="",G195=""),"",IF(G195="Saída",-I195,I195))</f>
        <v/>
      </c>
      <c r="L195" t="str">
        <f>IF(E195="","",IFERROR(VLOOKUP(E195,Listas!$A$2:$C$1048576,3,FALSE),""))</f>
        <v/>
      </c>
    </row>
    <row r="196" spans="10:12" x14ac:dyDescent="0.25">
      <c r="J196" t="str">
        <f>IF(H196="","",IFERROR(VLOOKUP(H196,Listas!$J$2:$K$1048576,2,FALSE),""))</f>
        <v/>
      </c>
      <c r="K196" s="5" t="str">
        <f>IF(OR(I196="",G196=""),"",IF(G196="Saída",-I196,I196))</f>
        <v/>
      </c>
      <c r="L196" t="str">
        <f>IF(E196="","",IFERROR(VLOOKUP(E196,Listas!$A$2:$C$1048576,3,FALSE),""))</f>
        <v/>
      </c>
    </row>
    <row r="197" spans="10:12" x14ac:dyDescent="0.25">
      <c r="J197" t="str">
        <f>IF(H197="","",IFERROR(VLOOKUP(H197,Listas!$J$2:$K$1048576,2,FALSE),""))</f>
        <v/>
      </c>
      <c r="K197" s="5" t="str">
        <f>IF(OR(I197="",G197=""),"",IF(G197="Saída",-I197,I197))</f>
        <v/>
      </c>
      <c r="L197" t="str">
        <f>IF(E197="","",IFERROR(VLOOKUP(E197,Listas!$A$2:$C$1048576,3,FALSE),""))</f>
        <v/>
      </c>
    </row>
    <row r="198" spans="10:12" x14ac:dyDescent="0.25">
      <c r="J198" t="str">
        <f>IF(H198="","",IFERROR(VLOOKUP(H198,Listas!$J$2:$K$1048576,2,FALSE),""))</f>
        <v/>
      </c>
      <c r="K198" s="5" t="str">
        <f>IF(OR(I198="",G198=""),"",IF(G198="Saída",-I198,I198))</f>
        <v/>
      </c>
      <c r="L198" t="str">
        <f>IF(E198="","",IFERROR(VLOOKUP(E198,Listas!$A$2:$C$1048576,3,FALSE),""))</f>
        <v/>
      </c>
    </row>
    <row r="199" spans="10:12" x14ac:dyDescent="0.25">
      <c r="J199" t="str">
        <f>IF(H199="","",IFERROR(VLOOKUP(H199,Listas!$J$2:$K$1048576,2,FALSE),""))</f>
        <v/>
      </c>
      <c r="K199" s="5" t="str">
        <f>IF(OR(I199="",G199=""),"",IF(G199="Saída",-I199,I199))</f>
        <v/>
      </c>
      <c r="L199" t="str">
        <f>IF(E199="","",IFERROR(VLOOKUP(E199,Listas!$A$2:$C$1048576,3,FALSE),""))</f>
        <v/>
      </c>
    </row>
    <row r="200" spans="10:12" x14ac:dyDescent="0.25">
      <c r="J200" t="str">
        <f>IF(H200="","",IFERROR(VLOOKUP(H200,Listas!$J$2:$K$1048576,2,FALSE),""))</f>
        <v/>
      </c>
      <c r="K200" s="5" t="str">
        <f>IF(OR(I200="",G200=""),"",IF(G200="Saída",-I200,I200))</f>
        <v/>
      </c>
      <c r="L200" t="str">
        <f>IF(E200="","",IFERROR(VLOOKUP(E200,Listas!$A$2:$C$1048576,3,FALSE),""))</f>
        <v/>
      </c>
    </row>
    <row r="201" spans="10:12" x14ac:dyDescent="0.25">
      <c r="J201" t="str">
        <f>IF(H201="","",IFERROR(VLOOKUP(H201,Listas!$J$2:$K$1048576,2,FALSE),""))</f>
        <v/>
      </c>
      <c r="K201" s="5" t="str">
        <f>IF(OR(I201="",G201=""),"",IF(G201="Saída",-I201,I201))</f>
        <v/>
      </c>
      <c r="L201" t="str">
        <f>IF(E201="","",IFERROR(VLOOKUP(E201,Listas!$A$2:$C$1048576,3,FALSE),""))</f>
        <v/>
      </c>
    </row>
    <row r="202" spans="10:12" x14ac:dyDescent="0.25">
      <c r="J202" t="str">
        <f>IF(H202="","",IFERROR(VLOOKUP(H202,Listas!$J$2:$K$1048576,2,FALSE),""))</f>
        <v/>
      </c>
      <c r="K202" s="5" t="str">
        <f>IF(OR(I202="",G202=""),"",IF(G202="Saída",-I202,I202))</f>
        <v/>
      </c>
      <c r="L202" t="str">
        <f>IF(E202="","",IFERROR(VLOOKUP(E202,Listas!$A$2:$C$1048576,3,FALSE),""))</f>
        <v/>
      </c>
    </row>
    <row r="203" spans="10:12" x14ac:dyDescent="0.25">
      <c r="J203" t="str">
        <f>IF(H203="","",IFERROR(VLOOKUP(H203,Listas!$J$2:$K$1048576,2,FALSE),""))</f>
        <v/>
      </c>
      <c r="K203" s="5" t="str">
        <f>IF(OR(I203="",G203=""),"",IF(G203="Saída",-I203,I203))</f>
        <v/>
      </c>
      <c r="L203" t="str">
        <f>IF(E203="","",IFERROR(VLOOKUP(E203,Listas!$A$2:$C$1048576,3,FALSE),""))</f>
        <v/>
      </c>
    </row>
    <row r="204" spans="10:12" x14ac:dyDescent="0.25">
      <c r="J204" t="str">
        <f>IF(H204="","",IFERROR(VLOOKUP(H204,Listas!$J$2:$K$1048576,2,FALSE),""))</f>
        <v/>
      </c>
      <c r="K204" s="5" t="str">
        <f>IF(OR(I204="",G204=""),"",IF(G204="Saída",-I204,I204))</f>
        <v/>
      </c>
      <c r="L204" t="str">
        <f>IF(E204="","",IFERROR(VLOOKUP(E204,Listas!$A$2:$C$1048576,3,FALSE),""))</f>
        <v/>
      </c>
    </row>
    <row r="205" spans="10:12" x14ac:dyDescent="0.25">
      <c r="J205" t="str">
        <f>IF(H205="","",IFERROR(VLOOKUP(H205,Listas!$J$2:$K$1048576,2,FALSE),""))</f>
        <v/>
      </c>
      <c r="K205" s="5" t="str">
        <f>IF(OR(I205="",G205=""),"",IF(G205="Saída",-I205,I205))</f>
        <v/>
      </c>
      <c r="L205" t="str">
        <f>IF(E205="","",IFERROR(VLOOKUP(E205,Listas!$A$2:$C$1048576,3,FALSE),""))</f>
        <v/>
      </c>
    </row>
    <row r="206" spans="10:12" x14ac:dyDescent="0.25">
      <c r="J206" t="str">
        <f>IF(H206="","",IFERROR(VLOOKUP(H206,Listas!$J$2:$K$1048576,2,FALSE),""))</f>
        <v/>
      </c>
      <c r="K206" s="5" t="str">
        <f>IF(OR(I206="",G206=""),"",IF(G206="Saída",-I206,I206))</f>
        <v/>
      </c>
      <c r="L206" t="str">
        <f>IF(E206="","",IFERROR(VLOOKUP(E206,Listas!$A$2:$C$1048576,3,FALSE),""))</f>
        <v/>
      </c>
    </row>
    <row r="207" spans="10:12" x14ac:dyDescent="0.25">
      <c r="J207" t="str">
        <f>IF(H207="","",IFERROR(VLOOKUP(H207,Listas!$J$2:$K$1048576,2,FALSE),""))</f>
        <v/>
      </c>
      <c r="K207" s="5" t="str">
        <f>IF(OR(I207="",G207=""),"",IF(G207="Saída",-I207,I207))</f>
        <v/>
      </c>
      <c r="L207" t="str">
        <f>IF(E207="","",IFERROR(VLOOKUP(E207,Listas!$A$2:$C$1048576,3,FALSE),""))</f>
        <v/>
      </c>
    </row>
    <row r="208" spans="10:12" x14ac:dyDescent="0.25">
      <c r="J208" t="str">
        <f>IF(H208="","",IFERROR(VLOOKUP(H208,Listas!$J$2:$K$1048576,2,FALSE),""))</f>
        <v/>
      </c>
      <c r="K208" s="5" t="str">
        <f>IF(OR(I208="",G208=""),"",IF(G208="Saída",-I208,I208))</f>
        <v/>
      </c>
      <c r="L208" t="str">
        <f>IF(E208="","",IFERROR(VLOOKUP(E208,Listas!$A$2:$C$1048576,3,FALSE),""))</f>
        <v/>
      </c>
    </row>
    <row r="209" spans="10:12" x14ac:dyDescent="0.25">
      <c r="J209" t="str">
        <f>IF(H209="","",IFERROR(VLOOKUP(H209,Listas!$J$2:$K$1048576,2,FALSE),""))</f>
        <v/>
      </c>
      <c r="K209" s="5" t="str">
        <f>IF(OR(I209="",G209=""),"",IF(G209="Saída",-I209,I209))</f>
        <v/>
      </c>
      <c r="L209" t="str">
        <f>IF(E209="","",IFERROR(VLOOKUP(E209,Listas!$A$2:$C$1048576,3,FALSE),""))</f>
        <v/>
      </c>
    </row>
    <row r="210" spans="10:12" x14ac:dyDescent="0.25">
      <c r="J210" t="str">
        <f>IF(H210="","",IFERROR(VLOOKUP(H210,Listas!$J$2:$K$1048576,2,FALSE),""))</f>
        <v/>
      </c>
      <c r="K210" s="5" t="str">
        <f>IF(OR(I210="",G210=""),"",IF(G210="Saída",-I210,I210))</f>
        <v/>
      </c>
      <c r="L210" t="str">
        <f>IF(E210="","",IFERROR(VLOOKUP(E210,Listas!$A$2:$C$1048576,3,FALSE),""))</f>
        <v/>
      </c>
    </row>
    <row r="211" spans="10:12" x14ac:dyDescent="0.25">
      <c r="J211" t="str">
        <f>IF(H211="","",IFERROR(VLOOKUP(H211,Listas!$J$2:$K$1048576,2,FALSE),""))</f>
        <v/>
      </c>
      <c r="K211" s="5" t="str">
        <f>IF(OR(I211="",G211=""),"",IF(G211="Saída",-I211,I211))</f>
        <v/>
      </c>
      <c r="L211" t="str">
        <f>IF(E211="","",IFERROR(VLOOKUP(E211,Listas!$A$2:$C$1048576,3,FALSE),""))</f>
        <v/>
      </c>
    </row>
    <row r="212" spans="10:12" x14ac:dyDescent="0.25">
      <c r="J212" t="str">
        <f>IF(H212="","",IFERROR(VLOOKUP(H212,Listas!$J$2:$K$1048576,2,FALSE),""))</f>
        <v/>
      </c>
      <c r="K212" s="5" t="str">
        <f>IF(OR(I212="",G212=""),"",IF(G212="Saída",-I212,I212))</f>
        <v/>
      </c>
      <c r="L212" t="str">
        <f>IF(E212="","",IFERROR(VLOOKUP(E212,Listas!$A$2:$C$1048576,3,FALSE),""))</f>
        <v/>
      </c>
    </row>
    <row r="213" spans="10:12" x14ac:dyDescent="0.25">
      <c r="J213" t="str">
        <f>IF(H213="","",IFERROR(VLOOKUP(H213,Listas!$J$2:$K$1048576,2,FALSE),""))</f>
        <v/>
      </c>
      <c r="K213" s="5" t="str">
        <f>IF(OR(I213="",G213=""),"",IF(G213="Saída",-I213,I213))</f>
        <v/>
      </c>
      <c r="L213" t="str">
        <f>IF(E213="","",IFERROR(VLOOKUP(E213,Listas!$A$2:$C$1048576,3,FALSE),""))</f>
        <v/>
      </c>
    </row>
    <row r="214" spans="10:12" x14ac:dyDescent="0.25">
      <c r="J214" t="str">
        <f>IF(H214="","",IFERROR(VLOOKUP(H214,Listas!$J$2:$K$1048576,2,FALSE),""))</f>
        <v/>
      </c>
      <c r="K214" s="5" t="str">
        <f>IF(OR(I214="",G214=""),"",IF(G214="Saída",-I214,I214))</f>
        <v/>
      </c>
      <c r="L214" t="str">
        <f>IF(E214="","",IFERROR(VLOOKUP(E214,Listas!$A$2:$C$1048576,3,FALSE),""))</f>
        <v/>
      </c>
    </row>
    <row r="215" spans="10:12" x14ac:dyDescent="0.25">
      <c r="J215" t="str">
        <f>IF(H215="","",IFERROR(VLOOKUP(H215,Listas!$J$2:$K$1048576,2,FALSE),""))</f>
        <v/>
      </c>
      <c r="K215" s="5" t="str">
        <f>IF(OR(I215="",G215=""),"",IF(G215="Saída",-I215,I215))</f>
        <v/>
      </c>
      <c r="L215" t="str">
        <f>IF(E215="","",IFERROR(VLOOKUP(E215,Listas!$A$2:$C$1048576,3,FALSE),""))</f>
        <v/>
      </c>
    </row>
    <row r="216" spans="10:12" x14ac:dyDescent="0.25">
      <c r="J216" t="str">
        <f>IF(H216="","",IFERROR(VLOOKUP(H216,Listas!$J$2:$K$1048576,2,FALSE),""))</f>
        <v/>
      </c>
      <c r="K216" s="5" t="str">
        <f>IF(OR(I216="",G216=""),"",IF(G216="Saída",-I216,I216))</f>
        <v/>
      </c>
      <c r="L216" t="str">
        <f>IF(E216="","",IFERROR(VLOOKUP(E216,Listas!$A$2:$C$1048576,3,FALSE),""))</f>
        <v/>
      </c>
    </row>
    <row r="217" spans="10:12" x14ac:dyDescent="0.25">
      <c r="J217" t="str">
        <f>IF(H217="","",IFERROR(VLOOKUP(H217,Listas!$J$2:$K$1048576,2,FALSE),""))</f>
        <v/>
      </c>
      <c r="K217" s="5" t="str">
        <f>IF(OR(I217="",G217=""),"",IF(G217="Saída",-I217,I217))</f>
        <v/>
      </c>
      <c r="L217" t="str">
        <f>IF(E217="","",IFERROR(VLOOKUP(E217,Listas!$A$2:$C$1048576,3,FALSE),""))</f>
        <v/>
      </c>
    </row>
    <row r="218" spans="10:12" x14ac:dyDescent="0.25">
      <c r="J218" t="str">
        <f>IF(H218="","",IFERROR(VLOOKUP(H218,Listas!$J$2:$K$1048576,2,FALSE),""))</f>
        <v/>
      </c>
      <c r="K218" s="5" t="str">
        <f>IF(OR(I218="",G218=""),"",IF(G218="Saída",-I218,I218))</f>
        <v/>
      </c>
      <c r="L218" t="str">
        <f>IF(E218="","",IFERROR(VLOOKUP(E218,Listas!$A$2:$C$1048576,3,FALSE),""))</f>
        <v/>
      </c>
    </row>
    <row r="219" spans="10:12" x14ac:dyDescent="0.25">
      <c r="J219" t="str">
        <f>IF(H219="","",IFERROR(VLOOKUP(H219,Listas!$J$2:$K$1048576,2,FALSE),""))</f>
        <v/>
      </c>
      <c r="K219" s="5" t="str">
        <f>IF(OR(I219="",G219=""),"",IF(G219="Saída",-I219,I219))</f>
        <v/>
      </c>
      <c r="L219" t="str">
        <f>IF(E219="","",IFERROR(VLOOKUP(E219,Listas!$A$2:$C$1048576,3,FALSE),""))</f>
        <v/>
      </c>
    </row>
    <row r="220" spans="10:12" x14ac:dyDescent="0.25">
      <c r="J220" t="str">
        <f>IF(H220="","",IFERROR(VLOOKUP(H220,Listas!$J$2:$K$1048576,2,FALSE),""))</f>
        <v/>
      </c>
      <c r="K220" s="5" t="str">
        <f>IF(OR(I220="",G220=""),"",IF(G220="Saída",-I220,I220))</f>
        <v/>
      </c>
      <c r="L220" t="str">
        <f>IF(E220="","",IFERROR(VLOOKUP(E220,Listas!$A$2:$C$1048576,3,FALSE),""))</f>
        <v/>
      </c>
    </row>
    <row r="221" spans="10:12" x14ac:dyDescent="0.25">
      <c r="J221" t="str">
        <f>IF(H221="","",IFERROR(VLOOKUP(H221,Listas!$J$2:$K$1048576,2,FALSE),""))</f>
        <v/>
      </c>
      <c r="K221" s="5" t="str">
        <f>IF(OR(I221="",G221=""),"",IF(G221="Saída",-I221,I221))</f>
        <v/>
      </c>
      <c r="L221" t="str">
        <f>IF(E221="","",IFERROR(VLOOKUP(E221,Listas!$A$2:$C$1048576,3,FALSE),""))</f>
        <v/>
      </c>
    </row>
    <row r="222" spans="10:12" x14ac:dyDescent="0.25">
      <c r="J222" t="str">
        <f>IF(H222="","",IFERROR(VLOOKUP(H222,Listas!$J$2:$K$1048576,2,FALSE),""))</f>
        <v/>
      </c>
      <c r="K222" s="5" t="str">
        <f>IF(OR(I222="",G222=""),"",IF(G222="Saída",-I222,I222))</f>
        <v/>
      </c>
      <c r="L222" t="str">
        <f>IF(E222="","",IFERROR(VLOOKUP(E222,Listas!$A$2:$C$1048576,3,FALSE),""))</f>
        <v/>
      </c>
    </row>
    <row r="223" spans="10:12" x14ac:dyDescent="0.25">
      <c r="J223" t="str">
        <f>IF(H223="","",IFERROR(VLOOKUP(H223,Listas!$J$2:$K$1048576,2,FALSE),""))</f>
        <v/>
      </c>
      <c r="K223" s="5" t="str">
        <f>IF(OR(I223="",G223=""),"",IF(G223="Saída",-I223,I223))</f>
        <v/>
      </c>
      <c r="L223" t="str">
        <f>IF(E223="","",IFERROR(VLOOKUP(E223,Listas!$A$2:$C$1048576,3,FALSE),""))</f>
        <v/>
      </c>
    </row>
    <row r="224" spans="10:12" x14ac:dyDescent="0.25">
      <c r="J224" t="str">
        <f>IF(H224="","",IFERROR(VLOOKUP(H224,Listas!$J$2:$K$1048576,2,FALSE),""))</f>
        <v/>
      </c>
      <c r="K224" s="5" t="str">
        <f>IF(OR(I224="",G224=""),"",IF(G224="Saída",-I224,I224))</f>
        <v/>
      </c>
      <c r="L224" t="str">
        <f>IF(E224="","",IFERROR(VLOOKUP(E224,Listas!$A$2:$C$1048576,3,FALSE),""))</f>
        <v/>
      </c>
    </row>
    <row r="225" spans="10:12" x14ac:dyDescent="0.25">
      <c r="J225" t="str">
        <f>IF(H225="","",IFERROR(VLOOKUP(H225,Listas!$J$2:$K$1048576,2,FALSE),""))</f>
        <v/>
      </c>
      <c r="K225" s="5" t="str">
        <f>IF(OR(I225="",G225=""),"",IF(G225="Saída",-I225,I225))</f>
        <v/>
      </c>
      <c r="L225" t="str">
        <f>IF(E225="","",IFERROR(VLOOKUP(E225,Listas!$A$2:$C$1048576,3,FALSE),""))</f>
        <v/>
      </c>
    </row>
    <row r="226" spans="10:12" x14ac:dyDescent="0.25">
      <c r="J226" t="str">
        <f>IF(H226="","",IFERROR(VLOOKUP(H226,Listas!$J$2:$K$1048576,2,FALSE),""))</f>
        <v/>
      </c>
      <c r="K226" s="5" t="str">
        <f>IF(OR(I226="",G226=""),"",IF(G226="Saída",-I226,I226))</f>
        <v/>
      </c>
      <c r="L226" t="str">
        <f>IF(E226="","",IFERROR(VLOOKUP(E226,Listas!$A$2:$C$1048576,3,FALSE),""))</f>
        <v/>
      </c>
    </row>
    <row r="227" spans="10:12" x14ac:dyDescent="0.25">
      <c r="J227" t="str">
        <f>IF(H227="","",IFERROR(VLOOKUP(H227,Listas!$J$2:$K$1048576,2,FALSE),""))</f>
        <v/>
      </c>
      <c r="K227" s="5" t="str">
        <f>IF(OR(I227="",G227=""),"",IF(G227="Saída",-I227,I227))</f>
        <v/>
      </c>
      <c r="L227" t="str">
        <f>IF(E227="","",IFERROR(VLOOKUP(E227,Listas!$A$2:$C$1048576,3,FALSE),""))</f>
        <v/>
      </c>
    </row>
    <row r="228" spans="10:12" x14ac:dyDescent="0.25">
      <c r="J228" t="str">
        <f>IF(H228="","",IFERROR(VLOOKUP(H228,Listas!$J$2:$K$1048576,2,FALSE),""))</f>
        <v/>
      </c>
      <c r="K228" s="5" t="str">
        <f>IF(OR(I228="",G228=""),"",IF(G228="Saída",-I228,I228))</f>
        <v/>
      </c>
      <c r="L228" t="str">
        <f>IF(E228="","",IFERROR(VLOOKUP(E228,Listas!$A$2:$C$1048576,3,FALSE),""))</f>
        <v/>
      </c>
    </row>
    <row r="229" spans="10:12" x14ac:dyDescent="0.25">
      <c r="J229" t="str">
        <f>IF(H229="","",IFERROR(VLOOKUP(H229,Listas!$J$2:$K$1048576,2,FALSE),""))</f>
        <v/>
      </c>
      <c r="K229" s="5" t="str">
        <f>IF(OR(I229="",G229=""),"",IF(G229="Saída",-I229,I229))</f>
        <v/>
      </c>
      <c r="L229" t="str">
        <f>IF(E229="","",IFERROR(VLOOKUP(E229,Listas!$A$2:$C$1048576,3,FALSE),""))</f>
        <v/>
      </c>
    </row>
    <row r="230" spans="10:12" x14ac:dyDescent="0.25">
      <c r="J230" t="str">
        <f>IF(H230="","",IFERROR(VLOOKUP(H230,Listas!$J$2:$K$1048576,2,FALSE),""))</f>
        <v/>
      </c>
      <c r="K230" s="5" t="str">
        <f>IF(OR(I230="",G230=""),"",IF(G230="Saída",-I230,I230))</f>
        <v/>
      </c>
      <c r="L230" t="str">
        <f>IF(E230="","",IFERROR(VLOOKUP(E230,Listas!$A$2:$C$1048576,3,FALSE),""))</f>
        <v/>
      </c>
    </row>
    <row r="231" spans="10:12" x14ac:dyDescent="0.25">
      <c r="J231" t="str">
        <f>IF(H231="","",IFERROR(VLOOKUP(H231,Listas!$J$2:$K$1048576,2,FALSE),""))</f>
        <v/>
      </c>
      <c r="K231" s="5" t="str">
        <f>IF(OR(I231="",G231=""),"",IF(G231="Saída",-I231,I231))</f>
        <v/>
      </c>
      <c r="L231" t="str">
        <f>IF(E231="","",IFERROR(VLOOKUP(E231,Listas!$A$2:$C$1048576,3,FALSE),""))</f>
        <v/>
      </c>
    </row>
    <row r="232" spans="10:12" x14ac:dyDescent="0.25">
      <c r="J232" t="str">
        <f>IF(H232="","",IFERROR(VLOOKUP(H232,Listas!$J$2:$K$1048576,2,FALSE),""))</f>
        <v/>
      </c>
      <c r="K232" s="5" t="str">
        <f>IF(OR(I232="",G232=""),"",IF(G232="Saída",-I232,I232))</f>
        <v/>
      </c>
      <c r="L232" t="str">
        <f>IF(E232="","",IFERROR(VLOOKUP(E232,Listas!$A$2:$C$1048576,3,FALSE),""))</f>
        <v/>
      </c>
    </row>
    <row r="233" spans="10:12" x14ac:dyDescent="0.25">
      <c r="J233" t="str">
        <f>IF(H233="","",IFERROR(VLOOKUP(H233,Listas!$J$2:$K$1048576,2,FALSE),""))</f>
        <v/>
      </c>
      <c r="K233" s="5" t="str">
        <f>IF(OR(I233="",G233=""),"",IF(G233="Saída",-I233,I233))</f>
        <v/>
      </c>
      <c r="L233" t="str">
        <f>IF(E233="","",IFERROR(VLOOKUP(E233,Listas!$A$2:$C$1048576,3,FALSE),""))</f>
        <v/>
      </c>
    </row>
    <row r="234" spans="10:12" x14ac:dyDescent="0.25">
      <c r="J234" t="str">
        <f>IF(H234="","",IFERROR(VLOOKUP(H234,Listas!$J$2:$K$1048576,2,FALSE),""))</f>
        <v/>
      </c>
      <c r="K234" s="5" t="str">
        <f>IF(OR(I234="",G234=""),"",IF(G234="Saída",-I234,I234))</f>
        <v/>
      </c>
      <c r="L234" t="str">
        <f>IF(E234="","",IFERROR(VLOOKUP(E234,Listas!$A$2:$C$1048576,3,FALSE),""))</f>
        <v/>
      </c>
    </row>
    <row r="235" spans="10:12" x14ac:dyDescent="0.25">
      <c r="J235" t="str">
        <f>IF(H235="","",IFERROR(VLOOKUP(H235,Listas!$J$2:$K$1048576,2,FALSE),""))</f>
        <v/>
      </c>
      <c r="K235" s="5" t="str">
        <f>IF(OR(I235="",G235=""),"",IF(G235="Saída",-I235,I235))</f>
        <v/>
      </c>
      <c r="L235" t="str">
        <f>IF(E235="","",IFERROR(VLOOKUP(E235,Listas!$A$2:$C$1048576,3,FALSE),""))</f>
        <v/>
      </c>
    </row>
    <row r="236" spans="10:12" x14ac:dyDescent="0.25">
      <c r="J236" t="str">
        <f>IF(H236="","",IFERROR(VLOOKUP(H236,Listas!$J$2:$K$1048576,2,FALSE),""))</f>
        <v/>
      </c>
      <c r="K236" s="5" t="str">
        <f>IF(OR(I236="",G236=""),"",IF(G236="Saída",-I236,I236))</f>
        <v/>
      </c>
      <c r="L236" t="str">
        <f>IF(E236="","",IFERROR(VLOOKUP(E236,Listas!$A$2:$C$1048576,3,FALSE),""))</f>
        <v/>
      </c>
    </row>
    <row r="237" spans="10:12" x14ac:dyDescent="0.25">
      <c r="J237" t="str">
        <f>IF(H237="","",IFERROR(VLOOKUP(H237,Listas!$J$2:$K$1048576,2,FALSE),""))</f>
        <v/>
      </c>
      <c r="K237" s="5" t="str">
        <f>IF(OR(I237="",G237=""),"",IF(G237="Saída",-I237,I237))</f>
        <v/>
      </c>
      <c r="L237" t="str">
        <f>IF(E237="","",IFERROR(VLOOKUP(E237,Listas!$A$2:$C$1048576,3,FALSE),""))</f>
        <v/>
      </c>
    </row>
    <row r="238" spans="10:12" x14ac:dyDescent="0.25">
      <c r="J238" t="str">
        <f>IF(H238="","",IFERROR(VLOOKUP(H238,Listas!$J$2:$K$1048576,2,FALSE),""))</f>
        <v/>
      </c>
      <c r="K238" s="5" t="str">
        <f>IF(OR(I238="",G238=""),"",IF(G238="Saída",-I238,I238))</f>
        <v/>
      </c>
      <c r="L238" t="str">
        <f>IF(E238="","",IFERROR(VLOOKUP(E238,Listas!$A$2:$C$1048576,3,FALSE),""))</f>
        <v/>
      </c>
    </row>
    <row r="239" spans="10:12" x14ac:dyDescent="0.25">
      <c r="J239" t="str">
        <f>IF(H239="","",IFERROR(VLOOKUP(H239,Listas!$J$2:$K$1048576,2,FALSE),""))</f>
        <v/>
      </c>
      <c r="K239" s="5" t="str">
        <f>IF(OR(I239="",G239=""),"",IF(G239="Saída",-I239,I239))</f>
        <v/>
      </c>
      <c r="L239" t="str">
        <f>IF(E239="","",IFERROR(VLOOKUP(E239,Listas!$A$2:$C$1048576,3,FALSE),""))</f>
        <v/>
      </c>
    </row>
    <row r="240" spans="10:12" x14ac:dyDescent="0.25">
      <c r="J240" t="str">
        <f>IF(H240="","",IFERROR(VLOOKUP(H240,Listas!$J$2:$K$1048576,2,FALSE),""))</f>
        <v/>
      </c>
      <c r="K240" s="5" t="str">
        <f>IF(OR(I240="",G240=""),"",IF(G240="Saída",-I240,I240))</f>
        <v/>
      </c>
      <c r="L240" t="str">
        <f>IF(E240="","",IFERROR(VLOOKUP(E240,Listas!$A$2:$C$1048576,3,FALSE),""))</f>
        <v/>
      </c>
    </row>
    <row r="241" spans="10:12" x14ac:dyDescent="0.25">
      <c r="J241" t="str">
        <f>IF(H241="","",IFERROR(VLOOKUP(H241,Listas!$J$2:$K$1048576,2,FALSE),""))</f>
        <v/>
      </c>
      <c r="K241" s="5" t="str">
        <f>IF(OR(I241="",G241=""),"",IF(G241="Saída",-I241,I241))</f>
        <v/>
      </c>
      <c r="L241" t="str">
        <f>IF(E241="","",IFERROR(VLOOKUP(E241,Listas!$A$2:$C$1048576,3,FALSE),""))</f>
        <v/>
      </c>
    </row>
    <row r="242" spans="10:12" x14ac:dyDescent="0.25">
      <c r="J242" t="str">
        <f>IF(H242="","",IFERROR(VLOOKUP(H242,Listas!$J$2:$K$1048576,2,FALSE),""))</f>
        <v/>
      </c>
      <c r="K242" s="5" t="str">
        <f>IF(OR(I242="",G242=""),"",IF(G242="Saída",-I242,I242))</f>
        <v/>
      </c>
      <c r="L242" t="str">
        <f>IF(E242="","",IFERROR(VLOOKUP(E242,Listas!$A$2:$C$1048576,3,FALSE),""))</f>
        <v/>
      </c>
    </row>
    <row r="243" spans="10:12" x14ac:dyDescent="0.25">
      <c r="J243" t="str">
        <f>IF(H243="","",IFERROR(VLOOKUP(H243,Listas!$J$2:$K$1048576,2,FALSE),""))</f>
        <v/>
      </c>
      <c r="K243" s="5" t="str">
        <f>IF(OR(I243="",G243=""),"",IF(G243="Saída",-I243,I243))</f>
        <v/>
      </c>
      <c r="L243" t="str">
        <f>IF(E243="","",IFERROR(VLOOKUP(E243,Listas!$A$2:$C$1048576,3,FALSE),""))</f>
        <v/>
      </c>
    </row>
    <row r="244" spans="10:12" x14ac:dyDescent="0.25">
      <c r="J244" t="str">
        <f>IF(H244="","",IFERROR(VLOOKUP(H244,Listas!$J$2:$K$1048576,2,FALSE),""))</f>
        <v/>
      </c>
      <c r="K244" s="5" t="str">
        <f>IF(OR(I244="",G244=""),"",IF(G244="Saída",-I244,I244))</f>
        <v/>
      </c>
      <c r="L244" t="str">
        <f>IF(E244="","",IFERROR(VLOOKUP(E244,Listas!$A$2:$C$1048576,3,FALSE),""))</f>
        <v/>
      </c>
    </row>
    <row r="245" spans="10:12" x14ac:dyDescent="0.25">
      <c r="J245" t="str">
        <f>IF(H245="","",IFERROR(VLOOKUP(H245,Listas!$J$2:$K$1048576,2,FALSE),""))</f>
        <v/>
      </c>
      <c r="K245" s="5" t="str">
        <f>IF(OR(I245="",G245=""),"",IF(G245="Saída",-I245,I245))</f>
        <v/>
      </c>
      <c r="L245" t="str">
        <f>IF(E245="","",IFERROR(VLOOKUP(E245,Listas!$A$2:$C$1048576,3,FALSE),""))</f>
        <v/>
      </c>
    </row>
    <row r="246" spans="10:12" x14ac:dyDescent="0.25">
      <c r="J246" t="str">
        <f>IF(H246="","",IFERROR(VLOOKUP(H246,Listas!$J$2:$K$1048576,2,FALSE),""))</f>
        <v/>
      </c>
      <c r="K246" s="5" t="str">
        <f>IF(OR(I246="",G246=""),"",IF(G246="Saída",-I246,I246))</f>
        <v/>
      </c>
      <c r="L246" t="str">
        <f>IF(E246="","",IFERROR(VLOOKUP(E246,Listas!$A$2:$C$1048576,3,FALSE),""))</f>
        <v/>
      </c>
    </row>
    <row r="247" spans="10:12" x14ac:dyDescent="0.25">
      <c r="J247" t="str">
        <f>IF(H247="","",IFERROR(VLOOKUP(H247,Listas!$J$2:$K$1048576,2,FALSE),""))</f>
        <v/>
      </c>
      <c r="K247" s="5" t="str">
        <f>IF(OR(I247="",G247=""),"",IF(G247="Saída",-I247,I247))</f>
        <v/>
      </c>
      <c r="L247" t="str">
        <f>IF(E247="","",IFERROR(VLOOKUP(E247,Listas!$A$2:$C$1048576,3,FALSE),""))</f>
        <v/>
      </c>
    </row>
    <row r="248" spans="10:12" x14ac:dyDescent="0.25">
      <c r="J248" t="str">
        <f>IF(H248="","",IFERROR(VLOOKUP(H248,Listas!$J$2:$K$1048576,2,FALSE),""))</f>
        <v/>
      </c>
      <c r="K248" s="5" t="str">
        <f>IF(OR(I248="",G248=""),"",IF(G248="Saída",-I248,I248))</f>
        <v/>
      </c>
      <c r="L248" t="str">
        <f>IF(E248="","",IFERROR(VLOOKUP(E248,Listas!$A$2:$C$1048576,3,FALSE),""))</f>
        <v/>
      </c>
    </row>
    <row r="249" spans="10:12" x14ac:dyDescent="0.25">
      <c r="J249" t="str">
        <f>IF(H249="","",IFERROR(VLOOKUP(H249,Listas!$J$2:$K$1048576,2,FALSE),""))</f>
        <v/>
      </c>
      <c r="K249" s="5" t="str">
        <f>IF(OR(I249="",G249=""),"",IF(G249="Saída",-I249,I249))</f>
        <v/>
      </c>
      <c r="L249" t="str">
        <f>IF(E249="","",IFERROR(VLOOKUP(E249,Listas!$A$2:$C$1048576,3,FALSE),""))</f>
        <v/>
      </c>
    </row>
    <row r="250" spans="10:12" x14ac:dyDescent="0.25">
      <c r="J250" t="str">
        <f>IF(H250="","",IFERROR(VLOOKUP(H250,Listas!$J$2:$K$1048576,2,FALSE),""))</f>
        <v/>
      </c>
      <c r="K250" s="5" t="str">
        <f>IF(OR(I250="",G250=""),"",IF(G250="Saída",-I250,I250))</f>
        <v/>
      </c>
      <c r="L250" t="str">
        <f>IF(E250="","",IFERROR(VLOOKUP(E250,Listas!$A$2:$C$1048576,3,FALSE),""))</f>
        <v/>
      </c>
    </row>
    <row r="251" spans="10:12" x14ac:dyDescent="0.25">
      <c r="J251" t="str">
        <f>IF(H251="","",IFERROR(VLOOKUP(H251,Listas!$J$2:$K$1048576,2,FALSE),""))</f>
        <v/>
      </c>
      <c r="K251" s="5" t="str">
        <f>IF(OR(I251="",G251=""),"",IF(G251="Saída",-I251,I251))</f>
        <v/>
      </c>
      <c r="L251" t="str">
        <f>IF(E251="","",IFERROR(VLOOKUP(E251,Listas!$A$2:$C$1048576,3,FALSE),""))</f>
        <v/>
      </c>
    </row>
    <row r="252" spans="10:12" x14ac:dyDescent="0.25">
      <c r="J252" t="str">
        <f>IF(H252="","",IFERROR(VLOOKUP(H252,Listas!$J$2:$K$1048576,2,FALSE),""))</f>
        <v/>
      </c>
      <c r="K252" s="5" t="str">
        <f>IF(OR(I252="",G252=""),"",IF(G252="Saída",-I252,I252))</f>
        <v/>
      </c>
      <c r="L252" t="str">
        <f>IF(E252="","",IFERROR(VLOOKUP(E252,Listas!$A$2:$C$1048576,3,FALSE),""))</f>
        <v/>
      </c>
    </row>
    <row r="253" spans="10:12" x14ac:dyDescent="0.25">
      <c r="J253" t="str">
        <f>IF(H253="","",IFERROR(VLOOKUP(H253,Listas!$J$2:$K$1048576,2,FALSE),""))</f>
        <v/>
      </c>
      <c r="K253" s="5" t="str">
        <f>IF(OR(I253="",G253=""),"",IF(G253="Saída",-I253,I253))</f>
        <v/>
      </c>
      <c r="L253" t="str">
        <f>IF(E253="","",IFERROR(VLOOKUP(E253,Listas!$A$2:$C$1048576,3,FALSE),""))</f>
        <v/>
      </c>
    </row>
    <row r="254" spans="10:12" x14ac:dyDescent="0.25">
      <c r="J254" t="str">
        <f>IF(H254="","",IFERROR(VLOOKUP(H254,Listas!$J$2:$K$1048576,2,FALSE),""))</f>
        <v/>
      </c>
      <c r="K254" s="5" t="str">
        <f>IF(OR(I254="",G254=""),"",IF(G254="Saída",-I254,I254))</f>
        <v/>
      </c>
      <c r="L254" t="str">
        <f>IF(E254="","",IFERROR(VLOOKUP(E254,Listas!$A$2:$C$1048576,3,FALSE),""))</f>
        <v/>
      </c>
    </row>
    <row r="255" spans="10:12" x14ac:dyDescent="0.25">
      <c r="J255" t="str">
        <f>IF(H255="","",IFERROR(VLOOKUP(H255,Listas!$J$2:$K$1048576,2,FALSE),""))</f>
        <v/>
      </c>
      <c r="K255" s="5" t="str">
        <f>IF(OR(I255="",G255=""),"",IF(G255="Saída",-I255,I255))</f>
        <v/>
      </c>
      <c r="L255" t="str">
        <f>IF(E255="","",IFERROR(VLOOKUP(E255,Listas!$A$2:$C$1048576,3,FALSE),""))</f>
        <v/>
      </c>
    </row>
    <row r="256" spans="10:12" x14ac:dyDescent="0.25">
      <c r="J256" t="str">
        <f>IF(H256="","",IFERROR(VLOOKUP(H256,Listas!$J$2:$K$1048576,2,FALSE),""))</f>
        <v/>
      </c>
      <c r="K256" s="5" t="str">
        <f>IF(OR(I256="",G256=""),"",IF(G256="Saída",-I256,I256))</f>
        <v/>
      </c>
      <c r="L256" t="str">
        <f>IF(E256="","",IFERROR(VLOOKUP(E256,Listas!$A$2:$C$1048576,3,FALSE),""))</f>
        <v/>
      </c>
    </row>
    <row r="257" spans="10:12" x14ac:dyDescent="0.25">
      <c r="J257" t="str">
        <f>IF(H257="","",IFERROR(VLOOKUP(H257,Listas!$J$2:$K$1048576,2,FALSE),""))</f>
        <v/>
      </c>
      <c r="K257" s="5" t="str">
        <f>IF(OR(I257="",G257=""),"",IF(G257="Saída",-I257,I257))</f>
        <v/>
      </c>
      <c r="L257" t="str">
        <f>IF(E257="","",IFERROR(VLOOKUP(E257,Listas!$A$2:$C$1048576,3,FALSE),""))</f>
        <v/>
      </c>
    </row>
    <row r="258" spans="10:12" x14ac:dyDescent="0.25">
      <c r="J258" t="str">
        <f>IF(H258="","",IFERROR(VLOOKUP(H258,Listas!$J$2:$K$1048576,2,FALSE),""))</f>
        <v/>
      </c>
      <c r="K258" s="5" t="str">
        <f>IF(OR(I258="",G258=""),"",IF(G258="Saída",-I258,I258))</f>
        <v/>
      </c>
      <c r="L258" t="str">
        <f>IF(E258="","",IFERROR(VLOOKUP(E258,Listas!$A$2:$C$1048576,3,FALSE),""))</f>
        <v/>
      </c>
    </row>
    <row r="259" spans="10:12" x14ac:dyDescent="0.25">
      <c r="J259" t="str">
        <f>IF(H259="","",IFERROR(VLOOKUP(H259,Listas!$J$2:$K$1048576,2,FALSE),""))</f>
        <v/>
      </c>
      <c r="K259" s="5" t="str">
        <f>IF(OR(I259="",G259=""),"",IF(G259="Saída",-I259,I259))</f>
        <v/>
      </c>
      <c r="L259" t="str">
        <f>IF(E259="","",IFERROR(VLOOKUP(E259,Listas!$A$2:$C$1048576,3,FALSE),""))</f>
        <v/>
      </c>
    </row>
    <row r="260" spans="10:12" x14ac:dyDescent="0.25">
      <c r="J260" t="str">
        <f>IF(H260="","",IFERROR(VLOOKUP(H260,Listas!$J$2:$K$1048576,2,FALSE),""))</f>
        <v/>
      </c>
      <c r="K260" s="5" t="str">
        <f>IF(OR(I260="",G260=""),"",IF(G260="Saída",-I260,I260))</f>
        <v/>
      </c>
      <c r="L260" t="str">
        <f>IF(E260="","",IFERROR(VLOOKUP(E260,Listas!$A$2:$C$1048576,3,FALSE),""))</f>
        <v/>
      </c>
    </row>
    <row r="261" spans="10:12" x14ac:dyDescent="0.25">
      <c r="J261" t="str">
        <f>IF(H261="","",IFERROR(VLOOKUP(H261,Listas!$J$2:$K$1048576,2,FALSE),""))</f>
        <v/>
      </c>
      <c r="K261" s="5" t="str">
        <f>IF(OR(I261="",G261=""),"",IF(G261="Saída",-I261,I261))</f>
        <v/>
      </c>
      <c r="L261" t="str">
        <f>IF(E261="","",IFERROR(VLOOKUP(E261,Listas!$A$2:$C$1048576,3,FALSE),""))</f>
        <v/>
      </c>
    </row>
    <row r="262" spans="10:12" x14ac:dyDescent="0.25">
      <c r="J262" t="str">
        <f>IF(H262="","",IFERROR(VLOOKUP(H262,Listas!$J$2:$K$1048576,2,FALSE),""))</f>
        <v/>
      </c>
      <c r="K262" s="5" t="str">
        <f>IF(OR(I262="",G262=""),"",IF(G262="Saída",-I262,I262))</f>
        <v/>
      </c>
      <c r="L262" t="str">
        <f>IF(E262="","",IFERROR(VLOOKUP(E262,Listas!$A$2:$C$1048576,3,FALSE),""))</f>
        <v/>
      </c>
    </row>
    <row r="263" spans="10:12" x14ac:dyDescent="0.25">
      <c r="J263" t="str">
        <f>IF(H263="","",IFERROR(VLOOKUP(H263,Listas!$J$2:$K$1048576,2,FALSE),""))</f>
        <v/>
      </c>
      <c r="K263" s="5" t="str">
        <f>IF(OR(I263="",G263=""),"",IF(G263="Saída",-I263,I263))</f>
        <v/>
      </c>
      <c r="L263" t="str">
        <f>IF(E263="","",IFERROR(VLOOKUP(E263,Listas!$A$2:$C$1048576,3,FALSE),""))</f>
        <v/>
      </c>
    </row>
    <row r="264" spans="10:12" x14ac:dyDescent="0.25">
      <c r="J264" t="str">
        <f>IF(H264="","",IFERROR(VLOOKUP(H264,Listas!$J$2:$K$1048576,2,FALSE),""))</f>
        <v/>
      </c>
      <c r="K264" s="5" t="str">
        <f>IF(OR(I264="",G264=""),"",IF(G264="Saída",-I264,I264))</f>
        <v/>
      </c>
      <c r="L264" t="str">
        <f>IF(E264="","",IFERROR(VLOOKUP(E264,Listas!$A$2:$C$1048576,3,FALSE),""))</f>
        <v/>
      </c>
    </row>
    <row r="265" spans="10:12" x14ac:dyDescent="0.25">
      <c r="J265" t="str">
        <f>IF(H265="","",IFERROR(VLOOKUP(H265,Listas!$J$2:$K$1048576,2,FALSE),""))</f>
        <v/>
      </c>
      <c r="K265" s="5" t="str">
        <f>IF(OR(I265="",G265=""),"",IF(G265="Saída",-I265,I265))</f>
        <v/>
      </c>
      <c r="L265" t="str">
        <f>IF(E265="","",IFERROR(VLOOKUP(E265,Listas!$A$2:$C$1048576,3,FALSE),""))</f>
        <v/>
      </c>
    </row>
    <row r="266" spans="10:12" x14ac:dyDescent="0.25">
      <c r="J266" t="str">
        <f>IF(H266="","",IFERROR(VLOOKUP(H266,Listas!$J$2:$K$1048576,2,FALSE),""))</f>
        <v/>
      </c>
      <c r="K266" s="5" t="str">
        <f>IF(OR(I266="",G266=""),"",IF(G266="Saída",-I266,I266))</f>
        <v/>
      </c>
      <c r="L266" t="str">
        <f>IF(E266="","",IFERROR(VLOOKUP(E266,Listas!$A$2:$C$1048576,3,FALSE),""))</f>
        <v/>
      </c>
    </row>
    <row r="267" spans="10:12" x14ac:dyDescent="0.25">
      <c r="J267" t="str">
        <f>IF(H267="","",IFERROR(VLOOKUP(H267,Listas!$J$2:$K$1048576,2,FALSE),""))</f>
        <v/>
      </c>
      <c r="K267" s="5" t="str">
        <f>IF(OR(I267="",G267=""),"",IF(G267="Saída",-I267,I267))</f>
        <v/>
      </c>
      <c r="L267" t="str">
        <f>IF(E267="","",IFERROR(VLOOKUP(E267,Listas!$A$2:$C$1048576,3,FALSE),""))</f>
        <v/>
      </c>
    </row>
    <row r="268" spans="10:12" x14ac:dyDescent="0.25">
      <c r="J268" t="str">
        <f>IF(H268="","",IFERROR(VLOOKUP(H268,Listas!$J$2:$K$1048576,2,FALSE),""))</f>
        <v/>
      </c>
      <c r="K268" s="5" t="str">
        <f>IF(OR(I268="",G268=""),"",IF(G268="Saída",-I268,I268))</f>
        <v/>
      </c>
      <c r="L268" t="str">
        <f>IF(E268="","",IFERROR(VLOOKUP(E268,Listas!$A$2:$C$1048576,3,FALSE),""))</f>
        <v/>
      </c>
    </row>
    <row r="269" spans="10:12" x14ac:dyDescent="0.25">
      <c r="J269" t="str">
        <f>IF(H269="","",IFERROR(VLOOKUP(H269,Listas!$J$2:$K$1048576,2,FALSE),""))</f>
        <v/>
      </c>
      <c r="K269" s="5" t="str">
        <f>IF(OR(I269="",G269=""),"",IF(G269="Saída",-I269,I269))</f>
        <v/>
      </c>
      <c r="L269" t="str">
        <f>IF(E269="","",IFERROR(VLOOKUP(E269,Listas!$A$2:$C$1048576,3,FALSE),""))</f>
        <v/>
      </c>
    </row>
    <row r="270" spans="10:12" x14ac:dyDescent="0.25">
      <c r="J270" t="str">
        <f>IF(H270="","",IFERROR(VLOOKUP(H270,Listas!$J$2:$K$1048576,2,FALSE),""))</f>
        <v/>
      </c>
      <c r="K270" s="5" t="str">
        <f>IF(OR(I270="",G270=""),"",IF(G270="Saída",-I270,I270))</f>
        <v/>
      </c>
      <c r="L270" t="str">
        <f>IF(E270="","",IFERROR(VLOOKUP(E270,Listas!$A$2:$C$1048576,3,FALSE),""))</f>
        <v/>
      </c>
    </row>
    <row r="271" spans="10:12" x14ac:dyDescent="0.25">
      <c r="J271" t="str">
        <f>IF(H271="","",IFERROR(VLOOKUP(H271,Listas!$J$2:$K$1048576,2,FALSE),""))</f>
        <v/>
      </c>
      <c r="K271" s="5" t="str">
        <f>IF(OR(I271="",G271=""),"",IF(G271="Saída",-I271,I271))</f>
        <v/>
      </c>
      <c r="L271" t="str">
        <f>IF(E271="","",IFERROR(VLOOKUP(E271,Listas!$A$2:$C$1048576,3,FALSE),""))</f>
        <v/>
      </c>
    </row>
    <row r="272" spans="10:12" x14ac:dyDescent="0.25">
      <c r="J272" t="str">
        <f>IF(H272="","",IFERROR(VLOOKUP(H272,Listas!$J$2:$K$1048576,2,FALSE),""))</f>
        <v/>
      </c>
      <c r="K272" s="5" t="str">
        <f>IF(OR(I272="",G272=""),"",IF(G272="Saída",-I272,I272))</f>
        <v/>
      </c>
      <c r="L272" t="str">
        <f>IF(E272="","",IFERROR(VLOOKUP(E272,Listas!$A$2:$C$1048576,3,FALSE),""))</f>
        <v/>
      </c>
    </row>
    <row r="273" spans="10:12" x14ac:dyDescent="0.25">
      <c r="J273" t="str">
        <f>IF(H273="","",IFERROR(VLOOKUP(H273,Listas!$J$2:$K$1048576,2,FALSE),""))</f>
        <v/>
      </c>
      <c r="K273" s="5" t="str">
        <f>IF(OR(I273="",G273=""),"",IF(G273="Saída",-I273,I273))</f>
        <v/>
      </c>
      <c r="L273" t="str">
        <f>IF(E273="","",IFERROR(VLOOKUP(E273,Listas!$A$2:$C$1048576,3,FALSE),""))</f>
        <v/>
      </c>
    </row>
    <row r="274" spans="10:12" x14ac:dyDescent="0.25">
      <c r="J274" t="str">
        <f>IF(H274="","",IFERROR(VLOOKUP(H274,Listas!$J$2:$K$1048576,2,FALSE),""))</f>
        <v/>
      </c>
      <c r="K274" s="5" t="str">
        <f>IF(OR(I274="",G274=""),"",IF(G274="Saída",-I274,I274))</f>
        <v/>
      </c>
      <c r="L274" t="str">
        <f>IF(E274="","",IFERROR(VLOOKUP(E274,Listas!$A$2:$C$1048576,3,FALSE),""))</f>
        <v/>
      </c>
    </row>
    <row r="275" spans="10:12" x14ac:dyDescent="0.25">
      <c r="J275" t="str">
        <f>IF(H275="","",IFERROR(VLOOKUP(H275,Listas!$J$2:$K$1048576,2,FALSE),""))</f>
        <v/>
      </c>
      <c r="K275" s="5" t="str">
        <f>IF(OR(I275="",G275=""),"",IF(G275="Saída",-I275,I275))</f>
        <v/>
      </c>
      <c r="L275" t="str">
        <f>IF(E275="","",IFERROR(VLOOKUP(E275,Listas!$A$2:$C$1048576,3,FALSE),""))</f>
        <v/>
      </c>
    </row>
    <row r="276" spans="10:12" x14ac:dyDescent="0.25">
      <c r="J276" t="str">
        <f>IF(H276="","",IFERROR(VLOOKUP(H276,Listas!$J$2:$K$1048576,2,FALSE),""))</f>
        <v/>
      </c>
      <c r="K276" s="5" t="str">
        <f>IF(OR(I276="",G276=""),"",IF(G276="Saída",-I276,I276))</f>
        <v/>
      </c>
      <c r="L276" t="str">
        <f>IF(E276="","",IFERROR(VLOOKUP(E276,Listas!$A$2:$C$1048576,3,FALSE),""))</f>
        <v/>
      </c>
    </row>
    <row r="277" spans="10:12" x14ac:dyDescent="0.25">
      <c r="J277" t="str">
        <f>IF(H277="","",IFERROR(VLOOKUP(H277,Listas!$J$2:$K$1048576,2,FALSE),""))</f>
        <v/>
      </c>
      <c r="K277" s="5" t="str">
        <f>IF(OR(I277="",G277=""),"",IF(G277="Saída",-I277,I277))</f>
        <v/>
      </c>
      <c r="L277" t="str">
        <f>IF(E277="","",IFERROR(VLOOKUP(E277,Listas!$A$2:$C$1048576,3,FALSE),""))</f>
        <v/>
      </c>
    </row>
    <row r="278" spans="10:12" x14ac:dyDescent="0.25">
      <c r="J278" t="str">
        <f>IF(H278="","",IFERROR(VLOOKUP(H278,Listas!$J$2:$K$1048576,2,FALSE),""))</f>
        <v/>
      </c>
      <c r="K278" s="5" t="str">
        <f>IF(OR(I278="",G278=""),"",IF(G278="Saída",-I278,I278))</f>
        <v/>
      </c>
      <c r="L278" t="str">
        <f>IF(E278="","",IFERROR(VLOOKUP(E278,Listas!$A$2:$C$1048576,3,FALSE),""))</f>
        <v/>
      </c>
    </row>
    <row r="279" spans="10:12" x14ac:dyDescent="0.25">
      <c r="J279" t="str">
        <f>IF(H279="","",IFERROR(VLOOKUP(H279,Listas!$J$2:$K$1048576,2,FALSE),""))</f>
        <v/>
      </c>
      <c r="K279" s="5" t="str">
        <f>IF(OR(I279="",G279=""),"",IF(G279="Saída",-I279,I279))</f>
        <v/>
      </c>
      <c r="L279" t="str">
        <f>IF(E279="","",IFERROR(VLOOKUP(E279,Listas!$A$2:$C$1048576,3,FALSE),""))</f>
        <v/>
      </c>
    </row>
    <row r="280" spans="10:12" x14ac:dyDescent="0.25">
      <c r="J280" t="str">
        <f>IF(H280="","",IFERROR(VLOOKUP(H280,Listas!$J$2:$K$1048576,2,FALSE),""))</f>
        <v/>
      </c>
      <c r="K280" s="5" t="str">
        <f>IF(OR(I280="",G280=""),"",IF(G280="Saída",-I280,I280))</f>
        <v/>
      </c>
      <c r="L280" t="str">
        <f>IF(E280="","",IFERROR(VLOOKUP(E280,Listas!$A$2:$C$1048576,3,FALSE),""))</f>
        <v/>
      </c>
    </row>
    <row r="281" spans="10:12" x14ac:dyDescent="0.25">
      <c r="J281" t="str">
        <f>IF(H281="","",IFERROR(VLOOKUP(H281,Listas!$J$2:$K$1048576,2,FALSE),""))</f>
        <v/>
      </c>
      <c r="K281" s="5" t="str">
        <f>IF(OR(I281="",G281=""),"",IF(G281="Saída",-I281,I281))</f>
        <v/>
      </c>
      <c r="L281" t="str">
        <f>IF(E281="","",IFERROR(VLOOKUP(E281,Listas!$A$2:$C$1048576,3,FALSE),""))</f>
        <v/>
      </c>
    </row>
    <row r="282" spans="10:12" x14ac:dyDescent="0.25">
      <c r="J282" t="str">
        <f>IF(H282="","",IFERROR(VLOOKUP(H282,Listas!$J$2:$K$1048576,2,FALSE),""))</f>
        <v/>
      </c>
      <c r="K282" s="5" t="str">
        <f>IF(OR(I282="",G282=""),"",IF(G282="Saída",-I282,I282))</f>
        <v/>
      </c>
      <c r="L282" t="str">
        <f>IF(E282="","",IFERROR(VLOOKUP(E282,Listas!$A$2:$C$1048576,3,FALSE),""))</f>
        <v/>
      </c>
    </row>
    <row r="283" spans="10:12" x14ac:dyDescent="0.25">
      <c r="J283" t="str">
        <f>IF(H283="","",IFERROR(VLOOKUP(H283,Listas!$J$2:$K$1048576,2,FALSE),""))</f>
        <v/>
      </c>
      <c r="K283" s="5" t="str">
        <f>IF(OR(I283="",G283=""),"",IF(G283="Saída",-I283,I283))</f>
        <v/>
      </c>
      <c r="L283" t="str">
        <f>IF(E283="","",IFERROR(VLOOKUP(E283,Listas!$A$2:$C$1048576,3,FALSE),""))</f>
        <v/>
      </c>
    </row>
    <row r="284" spans="10:12" x14ac:dyDescent="0.25">
      <c r="J284" t="str">
        <f>IF(H284="","",IFERROR(VLOOKUP(H284,Listas!$J$2:$K$1048576,2,FALSE),""))</f>
        <v/>
      </c>
      <c r="K284" s="5" t="str">
        <f>IF(OR(I284="",G284=""),"",IF(G284="Saída",-I284,I284))</f>
        <v/>
      </c>
      <c r="L284" t="str">
        <f>IF(E284="","",IFERROR(VLOOKUP(E284,Listas!$A$2:$C$1048576,3,FALSE),""))</f>
        <v/>
      </c>
    </row>
    <row r="285" spans="10:12" x14ac:dyDescent="0.25">
      <c r="J285" t="str">
        <f>IF(H285="","",IFERROR(VLOOKUP(H285,Listas!$J$2:$K$1048576,2,FALSE),""))</f>
        <v/>
      </c>
      <c r="K285" s="5" t="str">
        <f>IF(OR(I285="",G285=""),"",IF(G285="Saída",-I285,I285))</f>
        <v/>
      </c>
      <c r="L285" t="str">
        <f>IF(E285="","",IFERROR(VLOOKUP(E285,Listas!$A$2:$C$1048576,3,FALSE),""))</f>
        <v/>
      </c>
    </row>
    <row r="286" spans="10:12" x14ac:dyDescent="0.25">
      <c r="J286" t="str">
        <f>IF(H286="","",IFERROR(VLOOKUP(H286,Listas!$J$2:$K$1048576,2,FALSE),""))</f>
        <v/>
      </c>
      <c r="K286" s="5" t="str">
        <f>IF(OR(I286="",G286=""),"",IF(G286="Saída",-I286,I286))</f>
        <v/>
      </c>
      <c r="L286" t="str">
        <f>IF(E286="","",IFERROR(VLOOKUP(E286,Listas!$A$2:$C$1048576,3,FALSE),""))</f>
        <v/>
      </c>
    </row>
    <row r="287" spans="10:12" x14ac:dyDescent="0.25">
      <c r="J287" t="str">
        <f>IF(H287="","",IFERROR(VLOOKUP(H287,Listas!$J$2:$K$1048576,2,FALSE),""))</f>
        <v/>
      </c>
      <c r="K287" s="5" t="str">
        <f>IF(OR(I287="",G287=""),"",IF(G287="Saída",-I287,I287))</f>
        <v/>
      </c>
      <c r="L287" t="str">
        <f>IF(E287="","",IFERROR(VLOOKUP(E287,Listas!$A$2:$C$1048576,3,FALSE),""))</f>
        <v/>
      </c>
    </row>
    <row r="288" spans="10:12" x14ac:dyDescent="0.25">
      <c r="J288" t="str">
        <f>IF(H288="","",IFERROR(VLOOKUP(H288,Listas!$J$2:$K$1048576,2,FALSE),""))</f>
        <v/>
      </c>
      <c r="K288" s="5" t="str">
        <f>IF(OR(I288="",G288=""),"",IF(G288="Saída",-I288,I288))</f>
        <v/>
      </c>
      <c r="L288" t="str">
        <f>IF(E288="","",IFERROR(VLOOKUP(E288,Listas!$A$2:$C$1048576,3,FALSE),""))</f>
        <v/>
      </c>
    </row>
    <row r="289" spans="10:12" x14ac:dyDescent="0.25">
      <c r="J289" t="str">
        <f>IF(H289="","",IFERROR(VLOOKUP(H289,Listas!$J$2:$K$1048576,2,FALSE),""))</f>
        <v/>
      </c>
      <c r="K289" s="5" t="str">
        <f>IF(OR(I289="",G289=""),"",IF(G289="Saída",-I289,I289))</f>
        <v/>
      </c>
      <c r="L289" t="str">
        <f>IF(E289="","",IFERROR(VLOOKUP(E289,Listas!$A$2:$C$1048576,3,FALSE),""))</f>
        <v/>
      </c>
    </row>
    <row r="290" spans="10:12" x14ac:dyDescent="0.25">
      <c r="J290" t="str">
        <f>IF(H290="","",IFERROR(VLOOKUP(H290,Listas!$J$2:$K$1048576,2,FALSE),""))</f>
        <v/>
      </c>
      <c r="K290" s="5" t="str">
        <f>IF(OR(I290="",G290=""),"",IF(G290="Saída",-I290,I290))</f>
        <v/>
      </c>
      <c r="L290" t="str">
        <f>IF(E290="","",IFERROR(VLOOKUP(E290,Listas!$A$2:$C$1048576,3,FALSE),""))</f>
        <v/>
      </c>
    </row>
    <row r="291" spans="10:12" x14ac:dyDescent="0.25">
      <c r="J291" t="str">
        <f>IF(H291="","",IFERROR(VLOOKUP(H291,Listas!$J$2:$K$1048576,2,FALSE),""))</f>
        <v/>
      </c>
      <c r="K291" s="5" t="str">
        <f>IF(OR(I291="",G291=""),"",IF(G291="Saída",-I291,I291))</f>
        <v/>
      </c>
      <c r="L291" t="str">
        <f>IF(E291="","",IFERROR(VLOOKUP(E291,Listas!$A$2:$C$1048576,3,FALSE),""))</f>
        <v/>
      </c>
    </row>
    <row r="292" spans="10:12" x14ac:dyDescent="0.25">
      <c r="J292" t="str">
        <f>IF(H292="","",IFERROR(VLOOKUP(H292,Listas!$J$2:$K$1048576,2,FALSE),""))</f>
        <v/>
      </c>
      <c r="K292" s="5" t="str">
        <f>IF(OR(I292="",G292=""),"",IF(G292="Saída",-I292,I292))</f>
        <v/>
      </c>
      <c r="L292" t="str">
        <f>IF(E292="","",IFERROR(VLOOKUP(E292,Listas!$A$2:$C$1048576,3,FALSE),""))</f>
        <v/>
      </c>
    </row>
    <row r="293" spans="10:12" x14ac:dyDescent="0.25">
      <c r="J293" t="str">
        <f>IF(H293="","",IFERROR(VLOOKUP(H293,Listas!$J$2:$K$1048576,2,FALSE),""))</f>
        <v/>
      </c>
      <c r="K293" s="5" t="str">
        <f>IF(OR(I293="",G293=""),"",IF(G293="Saída",-I293,I293))</f>
        <v/>
      </c>
      <c r="L293" t="str">
        <f>IF(E293="","",IFERROR(VLOOKUP(E293,Listas!$A$2:$C$1048576,3,FALSE),""))</f>
        <v/>
      </c>
    </row>
    <row r="294" spans="10:12" x14ac:dyDescent="0.25">
      <c r="J294" t="str">
        <f>IF(H294="","",IFERROR(VLOOKUP(H294,Listas!$J$2:$K$1048576,2,FALSE),""))</f>
        <v/>
      </c>
      <c r="K294" s="5" t="str">
        <f>IF(OR(I294="",G294=""),"",IF(G294="Saída",-I294,I294))</f>
        <v/>
      </c>
      <c r="L294" t="str">
        <f>IF(E294="","",IFERROR(VLOOKUP(E294,Listas!$A$2:$C$1048576,3,FALSE),""))</f>
        <v/>
      </c>
    </row>
    <row r="295" spans="10:12" x14ac:dyDescent="0.25">
      <c r="J295" t="str">
        <f>IF(H295="","",IFERROR(VLOOKUP(H295,Listas!$J$2:$K$1048576,2,FALSE),""))</f>
        <v/>
      </c>
      <c r="K295" s="5" t="str">
        <f>IF(OR(I295="",G295=""),"",IF(G295="Saída",-I295,I295))</f>
        <v/>
      </c>
      <c r="L295" t="str">
        <f>IF(E295="","",IFERROR(VLOOKUP(E295,Listas!$A$2:$C$1048576,3,FALSE),""))</f>
        <v/>
      </c>
    </row>
    <row r="296" spans="10:12" x14ac:dyDescent="0.25">
      <c r="J296" t="str">
        <f>IF(H296="","",IFERROR(VLOOKUP(H296,Listas!$J$2:$K$1048576,2,FALSE),""))</f>
        <v/>
      </c>
      <c r="K296" s="5" t="str">
        <f>IF(OR(I296="",G296=""),"",IF(G296="Saída",-I296,I296))</f>
        <v/>
      </c>
      <c r="L296" t="str">
        <f>IF(E296="","",IFERROR(VLOOKUP(E296,Listas!$A$2:$C$1048576,3,FALSE),""))</f>
        <v/>
      </c>
    </row>
    <row r="297" spans="10:12" x14ac:dyDescent="0.25">
      <c r="J297" t="str">
        <f>IF(H297="","",IFERROR(VLOOKUP(H297,Listas!$J$2:$K$1048576,2,FALSE),""))</f>
        <v/>
      </c>
      <c r="K297" s="5" t="str">
        <f>IF(OR(I297="",G297=""),"",IF(G297="Saída",-I297,I297))</f>
        <v/>
      </c>
      <c r="L297" t="str">
        <f>IF(E297="","",IFERROR(VLOOKUP(E297,Listas!$A$2:$C$1048576,3,FALSE),""))</f>
        <v/>
      </c>
    </row>
    <row r="298" spans="10:12" x14ac:dyDescent="0.25">
      <c r="J298" t="str">
        <f>IF(H298="","",IFERROR(VLOOKUP(H298,Listas!$J$2:$K$1048576,2,FALSE),""))</f>
        <v/>
      </c>
      <c r="K298" s="5" t="str">
        <f>IF(OR(I298="",G298=""),"",IF(G298="Saída",-I298,I298))</f>
        <v/>
      </c>
      <c r="L298" t="str">
        <f>IF(E298="","",IFERROR(VLOOKUP(E298,Listas!$A$2:$C$1048576,3,FALSE),""))</f>
        <v/>
      </c>
    </row>
    <row r="299" spans="10:12" x14ac:dyDescent="0.25">
      <c r="J299" t="str">
        <f>IF(H299="","",IFERROR(VLOOKUP(H299,Listas!$J$2:$K$1048576,2,FALSE),""))</f>
        <v/>
      </c>
      <c r="K299" s="5" t="str">
        <f>IF(OR(I299="",G299=""),"",IF(G299="Saída",-I299,I299))</f>
        <v/>
      </c>
      <c r="L299" t="str">
        <f>IF(E299="","",IFERROR(VLOOKUP(E299,Listas!$A$2:$C$1048576,3,FALSE),""))</f>
        <v/>
      </c>
    </row>
    <row r="300" spans="10:12" x14ac:dyDescent="0.25">
      <c r="J300" t="str">
        <f>IF(H300="","",IFERROR(VLOOKUP(H300,Listas!$J$2:$K$1048576,2,FALSE),""))</f>
        <v/>
      </c>
      <c r="K300" s="5" t="str">
        <f>IF(OR(I300="",G300=""),"",IF(G300="Saída",-I300,I300))</f>
        <v/>
      </c>
      <c r="L300" t="str">
        <f>IF(E300="","",IFERROR(VLOOKUP(E300,Listas!$A$2:$C$1048576,3,FALSE),""))</f>
        <v/>
      </c>
    </row>
    <row r="301" spans="10:12" x14ac:dyDescent="0.25">
      <c r="J301" t="str">
        <f>IF(H301="","",IFERROR(VLOOKUP(H301,Listas!$J$2:$K$1048576,2,FALSE),""))</f>
        <v/>
      </c>
      <c r="K301" s="5" t="str">
        <f>IF(OR(I301="",G301=""),"",IF(G301="Saída",-I301,I301))</f>
        <v/>
      </c>
      <c r="L301" t="str">
        <f>IF(E301="","",IFERROR(VLOOKUP(E301,Listas!$A$2:$C$1048576,3,FALSE),""))</f>
        <v/>
      </c>
    </row>
    <row r="302" spans="10:12" x14ac:dyDescent="0.25">
      <c r="J302" t="str">
        <f>IF(H302="","",IFERROR(VLOOKUP(H302,Listas!$J$2:$K$1048576,2,FALSE),""))</f>
        <v/>
      </c>
      <c r="K302" s="5" t="str">
        <f>IF(OR(I302="",G302=""),"",IF(G302="Saída",-I302,I302))</f>
        <v/>
      </c>
      <c r="L302" t="str">
        <f>IF(E302="","",IFERROR(VLOOKUP(E302,Listas!$A$2:$C$1048576,3,FALSE),""))</f>
        <v/>
      </c>
    </row>
    <row r="303" spans="10:12" x14ac:dyDescent="0.25">
      <c r="J303" t="str">
        <f>IF(H303="","",IFERROR(VLOOKUP(H303,Listas!$J$2:$K$1048576,2,FALSE),""))</f>
        <v/>
      </c>
      <c r="K303" s="5" t="str">
        <f>IF(OR(I303="",G303=""),"",IF(G303="Saída",-I303,I303))</f>
        <v/>
      </c>
      <c r="L303" t="str">
        <f>IF(E303="","",IFERROR(VLOOKUP(E303,Listas!$A$2:$C$1048576,3,FALSE),""))</f>
        <v/>
      </c>
    </row>
    <row r="304" spans="10:12" x14ac:dyDescent="0.25">
      <c r="J304" t="str">
        <f>IF(H304="","",IFERROR(VLOOKUP(H304,Listas!$J$2:$K$1048576,2,FALSE),""))</f>
        <v/>
      </c>
      <c r="K304" s="5" t="str">
        <f>IF(OR(I304="",G304=""),"",IF(G304="Saída",-I304,I304))</f>
        <v/>
      </c>
      <c r="L304" t="str">
        <f>IF(E304="","",IFERROR(VLOOKUP(E304,Listas!$A$2:$C$1048576,3,FALSE),""))</f>
        <v/>
      </c>
    </row>
    <row r="305" spans="10:12" x14ac:dyDescent="0.25">
      <c r="J305" t="str">
        <f>IF(H305="","",IFERROR(VLOOKUP(H305,Listas!$J$2:$K$1048576,2,FALSE),""))</f>
        <v/>
      </c>
      <c r="K305" s="5" t="str">
        <f>IF(OR(I305="",G305=""),"",IF(G305="Saída",-I305,I305))</f>
        <v/>
      </c>
      <c r="L305" t="str">
        <f>IF(E305="","",IFERROR(VLOOKUP(E305,Listas!$A$2:$C$1048576,3,FALSE),""))</f>
        <v/>
      </c>
    </row>
    <row r="306" spans="10:12" x14ac:dyDescent="0.25">
      <c r="J306" t="str">
        <f>IF(H306="","",IFERROR(VLOOKUP(H306,Listas!$J$2:$K$1048576,2,FALSE),""))</f>
        <v/>
      </c>
      <c r="K306" s="5" t="str">
        <f>IF(OR(I306="",G306=""),"",IF(G306="Saída",-I306,I306))</f>
        <v/>
      </c>
      <c r="L306" t="str">
        <f>IF(E306="","",IFERROR(VLOOKUP(E306,Listas!$A$2:$C$1048576,3,FALSE),""))</f>
        <v/>
      </c>
    </row>
    <row r="307" spans="10:12" x14ac:dyDescent="0.25">
      <c r="J307" t="str">
        <f>IF(H307="","",IFERROR(VLOOKUP(H307,Listas!$J$2:$K$1048576,2,FALSE),""))</f>
        <v/>
      </c>
      <c r="K307" s="5" t="str">
        <f>IF(OR(I307="",G307=""),"",IF(G307="Saída",-I307,I307))</f>
        <v/>
      </c>
      <c r="L307" t="str">
        <f>IF(E307="","",IFERROR(VLOOKUP(E307,Listas!$A$2:$C$1048576,3,FALSE),""))</f>
        <v/>
      </c>
    </row>
    <row r="308" spans="10:12" x14ac:dyDescent="0.25">
      <c r="J308" t="str">
        <f>IF(H308="","",IFERROR(VLOOKUP(H308,Listas!$J$2:$K$1048576,2,FALSE),""))</f>
        <v/>
      </c>
      <c r="K308" s="5" t="str">
        <f>IF(OR(I308="",G308=""),"",IF(G308="Saída",-I308,I308))</f>
        <v/>
      </c>
      <c r="L308" t="str">
        <f>IF(E308="","",IFERROR(VLOOKUP(E308,Listas!$A$2:$C$1048576,3,FALSE),""))</f>
        <v/>
      </c>
    </row>
    <row r="309" spans="10:12" x14ac:dyDescent="0.25">
      <c r="J309" t="str">
        <f>IF(H309="","",IFERROR(VLOOKUP(H309,Listas!$J$2:$K$1048576,2,FALSE),""))</f>
        <v/>
      </c>
      <c r="K309" s="5" t="str">
        <f>IF(OR(I309="",G309=""),"",IF(G309="Saída",-I309,I309))</f>
        <v/>
      </c>
      <c r="L309" t="str">
        <f>IF(E309="","",IFERROR(VLOOKUP(E309,Listas!$A$2:$C$1048576,3,FALSE),""))</f>
        <v/>
      </c>
    </row>
    <row r="310" spans="10:12" x14ac:dyDescent="0.25">
      <c r="J310" t="str">
        <f>IF(H310="","",IFERROR(VLOOKUP(H310,Listas!$J$2:$K$1048576,2,FALSE),""))</f>
        <v/>
      </c>
      <c r="K310" s="5" t="str">
        <f>IF(OR(I310="",G310=""),"",IF(G310="Saída",-I310,I310))</f>
        <v/>
      </c>
      <c r="L310" t="str">
        <f>IF(E310="","",IFERROR(VLOOKUP(E310,Listas!$A$2:$C$1048576,3,FALSE),""))</f>
        <v/>
      </c>
    </row>
    <row r="311" spans="10:12" x14ac:dyDescent="0.25">
      <c r="J311" t="str">
        <f>IF(H311="","",IFERROR(VLOOKUP(H311,Listas!$J$2:$K$1048576,2,FALSE),""))</f>
        <v/>
      </c>
      <c r="K311" s="5" t="str">
        <f>IF(OR(I311="",G311=""),"",IF(G311="Saída",-I311,I311))</f>
        <v/>
      </c>
      <c r="L311" t="str">
        <f>IF(E311="","",IFERROR(VLOOKUP(E311,Listas!$A$2:$C$1048576,3,FALSE),""))</f>
        <v/>
      </c>
    </row>
    <row r="312" spans="10:12" x14ac:dyDescent="0.25">
      <c r="J312" t="str">
        <f>IF(H312="","",IFERROR(VLOOKUP(H312,Listas!$J$2:$K$1048576,2,FALSE),""))</f>
        <v/>
      </c>
      <c r="K312" s="5" t="str">
        <f>IF(OR(I312="",G312=""),"",IF(G312="Saída",-I312,I312))</f>
        <v/>
      </c>
      <c r="L312" t="str">
        <f>IF(E312="","",IFERROR(VLOOKUP(E312,Listas!$A$2:$C$1048576,3,FALSE),""))</f>
        <v/>
      </c>
    </row>
    <row r="313" spans="10:12" x14ac:dyDescent="0.25">
      <c r="J313" t="str">
        <f>IF(H313="","",IFERROR(VLOOKUP(H313,Listas!$J$2:$K$1048576,2,FALSE),""))</f>
        <v/>
      </c>
      <c r="K313" s="5" t="str">
        <f>IF(OR(I313="",G313=""),"",IF(G313="Saída",-I313,I313))</f>
        <v/>
      </c>
      <c r="L313" t="str">
        <f>IF(E313="","",IFERROR(VLOOKUP(E313,Listas!$A$2:$C$1048576,3,FALSE),""))</f>
        <v/>
      </c>
    </row>
    <row r="314" spans="10:12" x14ac:dyDescent="0.25">
      <c r="J314" t="str">
        <f>IF(H314="","",IFERROR(VLOOKUP(H314,Listas!$J$2:$K$1048576,2,FALSE),""))</f>
        <v/>
      </c>
      <c r="K314" s="5" t="str">
        <f>IF(OR(I314="",G314=""),"",IF(G314="Saída",-I314,I314))</f>
        <v/>
      </c>
      <c r="L314" t="str">
        <f>IF(E314="","",IFERROR(VLOOKUP(E314,Listas!$A$2:$C$1048576,3,FALSE),""))</f>
        <v/>
      </c>
    </row>
    <row r="315" spans="10:12" x14ac:dyDescent="0.25">
      <c r="J315" t="str">
        <f>IF(H315="","",IFERROR(VLOOKUP(H315,Listas!$J$2:$K$1048576,2,FALSE),""))</f>
        <v/>
      </c>
      <c r="K315" s="5" t="str">
        <f>IF(OR(I315="",G315=""),"",IF(G315="Saída",-I315,I315))</f>
        <v/>
      </c>
      <c r="L315" t="str">
        <f>IF(E315="","",IFERROR(VLOOKUP(E315,Listas!$A$2:$C$1048576,3,FALSE),""))</f>
        <v/>
      </c>
    </row>
    <row r="316" spans="10:12" x14ac:dyDescent="0.25">
      <c r="J316" t="str">
        <f>IF(H316="","",IFERROR(VLOOKUP(H316,Listas!$J$2:$K$1048576,2,FALSE),""))</f>
        <v/>
      </c>
      <c r="K316" s="5" t="str">
        <f>IF(OR(I316="",G316=""),"",IF(G316="Saída",-I316,I316))</f>
        <v/>
      </c>
      <c r="L316" t="str">
        <f>IF(E316="","",IFERROR(VLOOKUP(E316,Listas!$A$2:$C$1048576,3,FALSE),""))</f>
        <v/>
      </c>
    </row>
    <row r="317" spans="10:12" x14ac:dyDescent="0.25">
      <c r="J317" t="str">
        <f>IF(H317="","",IFERROR(VLOOKUP(H317,Listas!$J$2:$K$1048576,2,FALSE),""))</f>
        <v/>
      </c>
      <c r="K317" s="5" t="str">
        <f>IF(OR(I317="",G317=""),"",IF(G317="Saída",-I317,I317))</f>
        <v/>
      </c>
      <c r="L317" t="str">
        <f>IF(E317="","",IFERROR(VLOOKUP(E317,Listas!$A$2:$C$1048576,3,FALSE),""))</f>
        <v/>
      </c>
    </row>
    <row r="318" spans="10:12" x14ac:dyDescent="0.25">
      <c r="J318" t="str">
        <f>IF(H318="","",IFERROR(VLOOKUP(H318,Listas!$J$2:$K$1048576,2,FALSE),""))</f>
        <v/>
      </c>
      <c r="K318" s="5" t="str">
        <f>IF(OR(I318="",G318=""),"",IF(G318="Saída",-I318,I318))</f>
        <v/>
      </c>
      <c r="L318" t="str">
        <f>IF(E318="","",IFERROR(VLOOKUP(E318,Listas!$A$2:$C$1048576,3,FALSE),""))</f>
        <v/>
      </c>
    </row>
    <row r="319" spans="10:12" x14ac:dyDescent="0.25">
      <c r="J319" t="str">
        <f>IF(H319="","",IFERROR(VLOOKUP(H319,Listas!$J$2:$K$1048576,2,FALSE),""))</f>
        <v/>
      </c>
      <c r="K319" s="5" t="str">
        <f>IF(OR(I319="",G319=""),"",IF(G319="Saída",-I319,I319))</f>
        <v/>
      </c>
      <c r="L319" t="str">
        <f>IF(E319="","",IFERROR(VLOOKUP(E319,Listas!$A$2:$C$1048576,3,FALSE),""))</f>
        <v/>
      </c>
    </row>
    <row r="320" spans="10:12" x14ac:dyDescent="0.25">
      <c r="J320" t="str">
        <f>IF(H320="","",IFERROR(VLOOKUP(H320,Listas!$J$2:$K$1048576,2,FALSE),""))</f>
        <v/>
      </c>
      <c r="K320" s="5" t="str">
        <f>IF(OR(I320="",G320=""),"",IF(G320="Saída",-I320,I320))</f>
        <v/>
      </c>
      <c r="L320" t="str">
        <f>IF(E320="","",IFERROR(VLOOKUP(E320,Listas!$A$2:$C$1048576,3,FALSE),""))</f>
        <v/>
      </c>
    </row>
    <row r="321" spans="10:12" x14ac:dyDescent="0.25">
      <c r="J321" t="str">
        <f>IF(H321="","",IFERROR(VLOOKUP(H321,Listas!$J$2:$K$1048576,2,FALSE),""))</f>
        <v/>
      </c>
      <c r="K321" s="5" t="str">
        <f>IF(OR(I321="",G321=""),"",IF(G321="Saída",-I321,I321))</f>
        <v/>
      </c>
      <c r="L321" t="str">
        <f>IF(E321="","",IFERROR(VLOOKUP(E321,Listas!$A$2:$C$1048576,3,FALSE),""))</f>
        <v/>
      </c>
    </row>
    <row r="322" spans="10:12" x14ac:dyDescent="0.25">
      <c r="J322" t="str">
        <f>IF(H322="","",IFERROR(VLOOKUP(H322,Listas!$J$2:$K$1048576,2,FALSE),""))</f>
        <v/>
      </c>
      <c r="K322" s="5" t="str">
        <f>IF(OR(I322="",G322=""),"",IF(G322="Saída",-I322,I322))</f>
        <v/>
      </c>
      <c r="L322" t="str">
        <f>IF(E322="","",IFERROR(VLOOKUP(E322,Listas!$A$2:$C$1048576,3,FALSE),""))</f>
        <v/>
      </c>
    </row>
    <row r="323" spans="10:12" x14ac:dyDescent="0.25">
      <c r="J323" t="str">
        <f>IF(H323="","",IFERROR(VLOOKUP(H323,Listas!$J$2:$K$1048576,2,FALSE),""))</f>
        <v/>
      </c>
      <c r="K323" s="5" t="str">
        <f>IF(OR(I323="",G323=""),"",IF(G323="Saída",-I323,I323))</f>
        <v/>
      </c>
      <c r="L323" t="str">
        <f>IF(E323="","",IFERROR(VLOOKUP(E323,Listas!$A$2:$C$1048576,3,FALSE),""))</f>
        <v/>
      </c>
    </row>
    <row r="324" spans="10:12" x14ac:dyDescent="0.25">
      <c r="J324" t="str">
        <f>IF(H324="","",IFERROR(VLOOKUP(H324,Listas!$J$2:$K$1048576,2,FALSE),""))</f>
        <v/>
      </c>
      <c r="K324" s="5" t="str">
        <f>IF(OR(I324="",G324=""),"",IF(G324="Saída",-I324,I324))</f>
        <v/>
      </c>
      <c r="L324" t="str">
        <f>IF(E324="","",IFERROR(VLOOKUP(E324,Listas!$A$2:$C$1048576,3,FALSE),""))</f>
        <v/>
      </c>
    </row>
    <row r="325" spans="10:12" x14ac:dyDescent="0.25">
      <c r="J325" t="str">
        <f>IF(H325="","",IFERROR(VLOOKUP(H325,Listas!$J$2:$K$1048576,2,FALSE),""))</f>
        <v/>
      </c>
      <c r="K325" s="5" t="str">
        <f>IF(OR(I325="",G325=""),"",IF(G325="Saída",-I325,I325))</f>
        <v/>
      </c>
      <c r="L325" t="str">
        <f>IF(E325="","",IFERROR(VLOOKUP(E325,Listas!$A$2:$C$1048576,3,FALSE),""))</f>
        <v/>
      </c>
    </row>
    <row r="326" spans="10:12" x14ac:dyDescent="0.25">
      <c r="J326" t="str">
        <f>IF(H326="","",IFERROR(VLOOKUP(H326,Listas!$J$2:$K$1048576,2,FALSE),""))</f>
        <v/>
      </c>
      <c r="K326" s="5" t="str">
        <f>IF(OR(I326="",G326=""),"",IF(G326="Saída",-I326,I326))</f>
        <v/>
      </c>
      <c r="L326" t="str">
        <f>IF(E326="","",IFERROR(VLOOKUP(E326,Listas!$A$2:$C$1048576,3,FALSE),""))</f>
        <v/>
      </c>
    </row>
    <row r="327" spans="10:12" x14ac:dyDescent="0.25">
      <c r="J327" t="str">
        <f>IF(H327="","",IFERROR(VLOOKUP(H327,Listas!$J$2:$K$1048576,2,FALSE),""))</f>
        <v/>
      </c>
      <c r="K327" s="5" t="str">
        <f>IF(OR(I327="",G327=""),"",IF(G327="Saída",-I327,I327))</f>
        <v/>
      </c>
      <c r="L327" t="str">
        <f>IF(E327="","",IFERROR(VLOOKUP(E327,Listas!$A$2:$C$1048576,3,FALSE),""))</f>
        <v/>
      </c>
    </row>
    <row r="328" spans="10:12" x14ac:dyDescent="0.25">
      <c r="J328" t="str">
        <f>IF(H328="","",IFERROR(VLOOKUP(H328,Listas!$J$2:$K$1048576,2,FALSE),""))</f>
        <v/>
      </c>
      <c r="K328" s="5" t="str">
        <f>IF(OR(I328="",G328=""),"",IF(G328="Saída",-I328,I328))</f>
        <v/>
      </c>
      <c r="L328" t="str">
        <f>IF(E328="","",IFERROR(VLOOKUP(E328,Listas!$A$2:$C$1048576,3,FALSE),""))</f>
        <v/>
      </c>
    </row>
    <row r="329" spans="10:12" x14ac:dyDescent="0.25">
      <c r="J329" t="str">
        <f>IF(H329="","",IFERROR(VLOOKUP(H329,Listas!$J$2:$K$1048576,2,FALSE),""))</f>
        <v/>
      </c>
      <c r="K329" s="5" t="str">
        <f>IF(OR(I329="",G329=""),"",IF(G329="Saída",-I329,I329))</f>
        <v/>
      </c>
      <c r="L329" t="str">
        <f>IF(E329="","",IFERROR(VLOOKUP(E329,Listas!$A$2:$C$1048576,3,FALSE),""))</f>
        <v/>
      </c>
    </row>
    <row r="330" spans="10:12" x14ac:dyDescent="0.25">
      <c r="J330" t="str">
        <f>IF(H330="","",IFERROR(VLOOKUP(H330,Listas!$J$2:$K$1048576,2,FALSE),""))</f>
        <v/>
      </c>
      <c r="K330" s="5" t="str">
        <f>IF(OR(I330="",G330=""),"",IF(G330="Saída",-I330,I330))</f>
        <v/>
      </c>
      <c r="L330" t="str">
        <f>IF(E330="","",IFERROR(VLOOKUP(E330,Listas!$A$2:$C$1048576,3,FALSE),""))</f>
        <v/>
      </c>
    </row>
    <row r="331" spans="10:12" x14ac:dyDescent="0.25">
      <c r="J331" t="str">
        <f>IF(H331="","",IFERROR(VLOOKUP(H331,Listas!$J$2:$K$1048576,2,FALSE),""))</f>
        <v/>
      </c>
      <c r="K331" s="5" t="str">
        <f>IF(OR(I331="",G331=""),"",IF(G331="Saída",-I331,I331))</f>
        <v/>
      </c>
      <c r="L331" t="str">
        <f>IF(E331="","",IFERROR(VLOOKUP(E331,Listas!$A$2:$C$1048576,3,FALSE),""))</f>
        <v/>
      </c>
    </row>
    <row r="332" spans="10:12" x14ac:dyDescent="0.25">
      <c r="J332" t="str">
        <f>IF(H332="","",IFERROR(VLOOKUP(H332,Listas!$J$2:$K$1048576,2,FALSE),""))</f>
        <v/>
      </c>
      <c r="K332" s="5" t="str">
        <f>IF(OR(I332="",G332=""),"",IF(G332="Saída",-I332,I332))</f>
        <v/>
      </c>
      <c r="L332" t="str">
        <f>IF(E332="","",IFERROR(VLOOKUP(E332,Listas!$A$2:$C$1048576,3,FALSE),""))</f>
        <v/>
      </c>
    </row>
    <row r="333" spans="10:12" x14ac:dyDescent="0.25">
      <c r="J333" t="str">
        <f>IF(H333="","",IFERROR(VLOOKUP(H333,Listas!$J$2:$K$1048576,2,FALSE),""))</f>
        <v/>
      </c>
      <c r="K333" s="5" t="str">
        <f>IF(OR(I333="",G333=""),"",IF(G333="Saída",-I333,I333))</f>
        <v/>
      </c>
      <c r="L333" t="str">
        <f>IF(E333="","",IFERROR(VLOOKUP(E333,Listas!$A$2:$C$1048576,3,FALSE),""))</f>
        <v/>
      </c>
    </row>
    <row r="334" spans="10:12" x14ac:dyDescent="0.25">
      <c r="J334" t="str">
        <f>IF(H334="","",IFERROR(VLOOKUP(H334,Listas!$J$2:$K$1048576,2,FALSE),""))</f>
        <v/>
      </c>
      <c r="K334" s="5" t="str">
        <f>IF(OR(I334="",G334=""),"",IF(G334="Saída",-I334,I334))</f>
        <v/>
      </c>
      <c r="L334" t="str">
        <f>IF(E334="","",IFERROR(VLOOKUP(E334,Listas!$A$2:$C$1048576,3,FALSE),""))</f>
        <v/>
      </c>
    </row>
    <row r="335" spans="10:12" x14ac:dyDescent="0.25">
      <c r="J335" t="str">
        <f>IF(H335="","",IFERROR(VLOOKUP(H335,Listas!$J$2:$K$1048576,2,FALSE),""))</f>
        <v/>
      </c>
      <c r="K335" s="5" t="str">
        <f>IF(OR(I335="",G335=""),"",IF(G335="Saída",-I335,I335))</f>
        <v/>
      </c>
      <c r="L335" t="str">
        <f>IF(E335="","",IFERROR(VLOOKUP(E335,Listas!$A$2:$C$1048576,3,FALSE),""))</f>
        <v/>
      </c>
    </row>
    <row r="336" spans="10:12" x14ac:dyDescent="0.25">
      <c r="J336" t="str">
        <f>IF(H336="","",IFERROR(VLOOKUP(H336,Listas!$J$2:$K$1048576,2,FALSE),""))</f>
        <v/>
      </c>
      <c r="K336" s="5" t="str">
        <f>IF(OR(I336="",G336=""),"",IF(G336="Saída",-I336,I336))</f>
        <v/>
      </c>
      <c r="L336" t="str">
        <f>IF(E336="","",IFERROR(VLOOKUP(E336,Listas!$A$2:$C$1048576,3,FALSE),""))</f>
        <v/>
      </c>
    </row>
    <row r="337" spans="10:12" x14ac:dyDescent="0.25">
      <c r="J337" t="str">
        <f>IF(H337="","",IFERROR(VLOOKUP(H337,Listas!$J$2:$K$1048576,2,FALSE),""))</f>
        <v/>
      </c>
      <c r="K337" s="5" t="str">
        <f>IF(OR(I337="",G337=""),"",IF(G337="Saída",-I337,I337))</f>
        <v/>
      </c>
      <c r="L337" t="str">
        <f>IF(E337="","",IFERROR(VLOOKUP(E337,Listas!$A$2:$C$1048576,3,FALSE),""))</f>
        <v/>
      </c>
    </row>
    <row r="338" spans="10:12" x14ac:dyDescent="0.25">
      <c r="J338" t="str">
        <f>IF(H338="","",IFERROR(VLOOKUP(H338,Listas!$J$2:$K$1048576,2,FALSE),""))</f>
        <v/>
      </c>
      <c r="K338" s="5" t="str">
        <f>IF(OR(I338="",G338=""),"",IF(G338="Saída",-I338,I338))</f>
        <v/>
      </c>
      <c r="L338" t="str">
        <f>IF(E338="","",IFERROR(VLOOKUP(E338,Listas!$A$2:$C$1048576,3,FALSE),""))</f>
        <v/>
      </c>
    </row>
    <row r="339" spans="10:12" x14ac:dyDescent="0.25">
      <c r="J339" t="str">
        <f>IF(H339="","",IFERROR(VLOOKUP(H339,Listas!$J$2:$K$1048576,2,FALSE),""))</f>
        <v/>
      </c>
      <c r="K339" s="5" t="str">
        <f>IF(OR(I339="",G339=""),"",IF(G339="Saída",-I339,I339))</f>
        <v/>
      </c>
      <c r="L339" t="str">
        <f>IF(E339="","",IFERROR(VLOOKUP(E339,Listas!$A$2:$C$1048576,3,FALSE),""))</f>
        <v/>
      </c>
    </row>
    <row r="340" spans="10:12" x14ac:dyDescent="0.25">
      <c r="J340" t="str">
        <f>IF(H340="","",IFERROR(VLOOKUP(H340,Listas!$J$2:$K$1048576,2,FALSE),""))</f>
        <v/>
      </c>
      <c r="K340" s="5" t="str">
        <f>IF(OR(I340="",G340=""),"",IF(G340="Saída",-I340,I340))</f>
        <v/>
      </c>
      <c r="L340" t="str">
        <f>IF(E340="","",IFERROR(VLOOKUP(E340,Listas!$A$2:$C$1048576,3,FALSE),""))</f>
        <v/>
      </c>
    </row>
    <row r="341" spans="10:12" x14ac:dyDescent="0.25">
      <c r="J341" t="str">
        <f>IF(H341="","",IFERROR(VLOOKUP(H341,Listas!$J$2:$K$1048576,2,FALSE),""))</f>
        <v/>
      </c>
      <c r="K341" s="5" t="str">
        <f>IF(OR(I341="",G341=""),"",IF(G341="Saída",-I341,I341))</f>
        <v/>
      </c>
      <c r="L341" t="str">
        <f>IF(E341="","",IFERROR(VLOOKUP(E341,Listas!$A$2:$C$1048576,3,FALSE),""))</f>
        <v/>
      </c>
    </row>
    <row r="342" spans="10:12" x14ac:dyDescent="0.25">
      <c r="J342" t="str">
        <f>IF(H342="","",IFERROR(VLOOKUP(H342,Listas!$J$2:$K$1048576,2,FALSE),""))</f>
        <v/>
      </c>
      <c r="K342" s="5" t="str">
        <f>IF(OR(I342="",G342=""),"",IF(G342="Saída",-I342,I342))</f>
        <v/>
      </c>
      <c r="L342" t="str">
        <f>IF(E342="","",IFERROR(VLOOKUP(E342,Listas!$A$2:$C$1048576,3,FALSE),""))</f>
        <v/>
      </c>
    </row>
    <row r="343" spans="10:12" x14ac:dyDescent="0.25">
      <c r="J343" t="str">
        <f>IF(H343="","",IFERROR(VLOOKUP(H343,Listas!$J$2:$K$1048576,2,FALSE),""))</f>
        <v/>
      </c>
      <c r="K343" s="5" t="str">
        <f>IF(OR(I343="",G343=""),"",IF(G343="Saída",-I343,I343))</f>
        <v/>
      </c>
      <c r="L343" t="str">
        <f>IF(E343="","",IFERROR(VLOOKUP(E343,Listas!$A$2:$C$1048576,3,FALSE),""))</f>
        <v/>
      </c>
    </row>
    <row r="344" spans="10:12" x14ac:dyDescent="0.25">
      <c r="J344" t="str">
        <f>IF(H344="","",IFERROR(VLOOKUP(H344,Listas!$J$2:$K$1048576,2,FALSE),""))</f>
        <v/>
      </c>
      <c r="K344" s="5" t="str">
        <f>IF(OR(I344="",G344=""),"",IF(G344="Saída",-I344,I344))</f>
        <v/>
      </c>
      <c r="L344" t="str">
        <f>IF(E344="","",IFERROR(VLOOKUP(E344,Listas!$A$2:$C$1048576,3,FALSE),""))</f>
        <v/>
      </c>
    </row>
    <row r="345" spans="10:12" x14ac:dyDescent="0.25">
      <c r="J345" t="str">
        <f>IF(H345="","",IFERROR(VLOOKUP(H345,Listas!$J$2:$K$1048576,2,FALSE),""))</f>
        <v/>
      </c>
      <c r="K345" s="5" t="str">
        <f>IF(OR(I345="",G345=""),"",IF(G345="Saída",-I345,I345))</f>
        <v/>
      </c>
      <c r="L345" t="str">
        <f>IF(E345="","",IFERROR(VLOOKUP(E345,Listas!$A$2:$C$1048576,3,FALSE),""))</f>
        <v/>
      </c>
    </row>
    <row r="346" spans="10:12" x14ac:dyDescent="0.25">
      <c r="J346" t="str">
        <f>IF(H346="","",IFERROR(VLOOKUP(H346,Listas!$J$2:$K$1048576,2,FALSE),""))</f>
        <v/>
      </c>
      <c r="K346" s="5" t="str">
        <f>IF(OR(I346="",G346=""),"",IF(G346="Saída",-I346,I346))</f>
        <v/>
      </c>
      <c r="L346" t="str">
        <f>IF(E346="","",IFERROR(VLOOKUP(E346,Listas!$A$2:$C$1048576,3,FALSE),""))</f>
        <v/>
      </c>
    </row>
    <row r="347" spans="10:12" x14ac:dyDescent="0.25">
      <c r="J347" t="str">
        <f>IF(H347="","",IFERROR(VLOOKUP(H347,Listas!$J$2:$K$1048576,2,FALSE),""))</f>
        <v/>
      </c>
      <c r="K347" s="5" t="str">
        <f>IF(OR(I347="",G347=""),"",IF(G347="Saída",-I347,I347))</f>
        <v/>
      </c>
      <c r="L347" t="str">
        <f>IF(E347="","",IFERROR(VLOOKUP(E347,Listas!$A$2:$C$1048576,3,FALSE),""))</f>
        <v/>
      </c>
    </row>
    <row r="348" spans="10:12" x14ac:dyDescent="0.25">
      <c r="J348" t="str">
        <f>IF(H348="","",IFERROR(VLOOKUP(H348,Listas!$J$2:$K$1048576,2,FALSE),""))</f>
        <v/>
      </c>
      <c r="K348" s="5" t="str">
        <f>IF(OR(I348="",G348=""),"",IF(G348="Saída",-I348,I348))</f>
        <v/>
      </c>
      <c r="L348" t="str">
        <f>IF(E348="","",IFERROR(VLOOKUP(E348,Listas!$A$2:$C$1048576,3,FALSE),""))</f>
        <v/>
      </c>
    </row>
    <row r="349" spans="10:12" x14ac:dyDescent="0.25">
      <c r="J349" t="str">
        <f>IF(H349="","",IFERROR(VLOOKUP(H349,Listas!$J$2:$K$1048576,2,FALSE),""))</f>
        <v/>
      </c>
      <c r="K349" s="5" t="str">
        <f>IF(OR(I349="",G349=""),"",IF(G349="Saída",-I349,I349))</f>
        <v/>
      </c>
      <c r="L349" t="str">
        <f>IF(E349="","",IFERROR(VLOOKUP(E349,Listas!$A$2:$C$1048576,3,FALSE),""))</f>
        <v/>
      </c>
    </row>
    <row r="350" spans="10:12" x14ac:dyDescent="0.25">
      <c r="J350" t="str">
        <f>IF(H350="","",IFERROR(VLOOKUP(H350,Listas!$J$2:$K$1048576,2,FALSE),""))</f>
        <v/>
      </c>
      <c r="K350" s="5" t="str">
        <f>IF(OR(I350="",G350=""),"",IF(G350="Saída",-I350,I350))</f>
        <v/>
      </c>
      <c r="L350" t="str">
        <f>IF(E350="","",IFERROR(VLOOKUP(E350,Listas!$A$2:$C$1048576,3,FALSE),""))</f>
        <v/>
      </c>
    </row>
    <row r="351" spans="10:12" x14ac:dyDescent="0.25">
      <c r="J351" t="str">
        <f>IF(H351="","",IFERROR(VLOOKUP(H351,Listas!$J$2:$K$1048576,2,FALSE),""))</f>
        <v/>
      </c>
      <c r="K351" s="5" t="str">
        <f>IF(OR(I351="",G351=""),"",IF(G351="Saída",-I351,I351))</f>
        <v/>
      </c>
      <c r="L351" t="str">
        <f>IF(E351="","",IFERROR(VLOOKUP(E351,Listas!$A$2:$C$1048576,3,FALSE),""))</f>
        <v/>
      </c>
    </row>
    <row r="352" spans="10:12" x14ac:dyDescent="0.25">
      <c r="J352" t="str">
        <f>IF(H352="","",IFERROR(VLOOKUP(H352,Listas!$J$2:$K$1048576,2,FALSE),""))</f>
        <v/>
      </c>
      <c r="K352" s="5" t="str">
        <f>IF(OR(I352="",G352=""),"",IF(G352="Saída",-I352,I352))</f>
        <v/>
      </c>
      <c r="L352" t="str">
        <f>IF(E352="","",IFERROR(VLOOKUP(E352,Listas!$A$2:$C$1048576,3,FALSE),""))</f>
        <v/>
      </c>
    </row>
    <row r="353" spans="10:12" x14ac:dyDescent="0.25">
      <c r="J353" t="str">
        <f>IF(H353="","",IFERROR(VLOOKUP(H353,Listas!$J$2:$K$1048576,2,FALSE),""))</f>
        <v/>
      </c>
      <c r="K353" s="5" t="str">
        <f>IF(OR(I353="",G353=""),"",IF(G353="Saída",-I353,I353))</f>
        <v/>
      </c>
      <c r="L353" t="str">
        <f>IF(E353="","",IFERROR(VLOOKUP(E353,Listas!$A$2:$C$1048576,3,FALSE),""))</f>
        <v/>
      </c>
    </row>
    <row r="354" spans="10:12" x14ac:dyDescent="0.25">
      <c r="J354" t="str">
        <f>IF(H354="","",IFERROR(VLOOKUP(H354,Listas!$J$2:$K$1048576,2,FALSE),""))</f>
        <v/>
      </c>
      <c r="K354" s="5" t="str">
        <f>IF(OR(I354="",G354=""),"",IF(G354="Saída",-I354,I354))</f>
        <v/>
      </c>
      <c r="L354" t="str">
        <f>IF(E354="","",IFERROR(VLOOKUP(E354,Listas!$A$2:$C$1048576,3,FALSE),""))</f>
        <v/>
      </c>
    </row>
    <row r="355" spans="10:12" x14ac:dyDescent="0.25">
      <c r="J355" t="str">
        <f>IF(H355="","",IFERROR(VLOOKUP(H355,Listas!$J$2:$K$1048576,2,FALSE),""))</f>
        <v/>
      </c>
      <c r="K355" s="5" t="str">
        <f>IF(OR(I355="",G355=""),"",IF(G355="Saída",-I355,I355))</f>
        <v/>
      </c>
      <c r="L355" t="str">
        <f>IF(E355="","",IFERROR(VLOOKUP(E355,Listas!$A$2:$C$1048576,3,FALSE),""))</f>
        <v/>
      </c>
    </row>
    <row r="356" spans="10:12" x14ac:dyDescent="0.25">
      <c r="J356" t="str">
        <f>IF(H356="","",IFERROR(VLOOKUP(H356,Listas!$J$2:$K$1048576,2,FALSE),""))</f>
        <v/>
      </c>
      <c r="K356" s="5" t="str">
        <f>IF(OR(I356="",G356=""),"",IF(G356="Saída",-I356,I356))</f>
        <v/>
      </c>
      <c r="L356" t="str">
        <f>IF(E356="","",IFERROR(VLOOKUP(E356,Listas!$A$2:$C$1048576,3,FALSE),""))</f>
        <v/>
      </c>
    </row>
    <row r="357" spans="10:12" x14ac:dyDescent="0.25">
      <c r="J357" t="str">
        <f>IF(H357="","",IFERROR(VLOOKUP(H357,Listas!$J$2:$K$1048576,2,FALSE),""))</f>
        <v/>
      </c>
      <c r="K357" s="5" t="str">
        <f>IF(OR(I357="",G357=""),"",IF(G357="Saída",-I357,I357))</f>
        <v/>
      </c>
      <c r="L357" t="str">
        <f>IF(E357="","",IFERROR(VLOOKUP(E357,Listas!$A$2:$C$1048576,3,FALSE),""))</f>
        <v/>
      </c>
    </row>
    <row r="358" spans="10:12" x14ac:dyDescent="0.25">
      <c r="J358" t="str">
        <f>IF(H358="","",IFERROR(VLOOKUP(H358,Listas!$J$2:$K$1048576,2,FALSE),""))</f>
        <v/>
      </c>
      <c r="K358" s="5" t="str">
        <f>IF(OR(I358="",G358=""),"",IF(G358="Saída",-I358,I358))</f>
        <v/>
      </c>
      <c r="L358" t="str">
        <f>IF(E358="","",IFERROR(VLOOKUP(E358,Listas!$A$2:$C$1048576,3,FALSE),""))</f>
        <v/>
      </c>
    </row>
    <row r="359" spans="10:12" x14ac:dyDescent="0.25">
      <c r="J359" t="str">
        <f>IF(H359="","",IFERROR(VLOOKUP(H359,Listas!$J$2:$K$1048576,2,FALSE),""))</f>
        <v/>
      </c>
      <c r="K359" s="5" t="str">
        <f>IF(OR(I359="",G359=""),"",IF(G359="Saída",-I359,I359))</f>
        <v/>
      </c>
      <c r="L359" t="str">
        <f>IF(E359="","",IFERROR(VLOOKUP(E359,Listas!$A$2:$C$1048576,3,FALSE),""))</f>
        <v/>
      </c>
    </row>
    <row r="360" spans="10:12" x14ac:dyDescent="0.25">
      <c r="J360" t="str">
        <f>IF(H360="","",IFERROR(VLOOKUP(H360,Listas!$J$2:$K$1048576,2,FALSE),""))</f>
        <v/>
      </c>
      <c r="K360" s="5" t="str">
        <f>IF(OR(I360="",G360=""),"",IF(G360="Saída",-I360,I360))</f>
        <v/>
      </c>
      <c r="L360" t="str">
        <f>IF(E360="","",IFERROR(VLOOKUP(E360,Listas!$A$2:$C$1048576,3,FALSE),""))</f>
        <v/>
      </c>
    </row>
    <row r="361" spans="10:12" x14ac:dyDescent="0.25">
      <c r="J361" t="str">
        <f>IF(H361="","",IFERROR(VLOOKUP(H361,Listas!$J$2:$K$1048576,2,FALSE),""))</f>
        <v/>
      </c>
      <c r="K361" s="5" t="str">
        <f>IF(OR(I361="",G361=""),"",IF(G361="Saída",-I361,I361))</f>
        <v/>
      </c>
      <c r="L361" t="str">
        <f>IF(E361="","",IFERROR(VLOOKUP(E361,Listas!$A$2:$C$1048576,3,FALSE),""))</f>
        <v/>
      </c>
    </row>
    <row r="362" spans="10:12" x14ac:dyDescent="0.25">
      <c r="J362" t="str">
        <f>IF(H362="","",IFERROR(VLOOKUP(H362,Listas!$J$2:$K$1048576,2,FALSE),""))</f>
        <v/>
      </c>
      <c r="K362" s="5" t="str">
        <f>IF(OR(I362="",G362=""),"",IF(G362="Saída",-I362,I362))</f>
        <v/>
      </c>
      <c r="L362" t="str">
        <f>IF(E362="","",IFERROR(VLOOKUP(E362,Listas!$A$2:$C$1048576,3,FALSE),""))</f>
        <v/>
      </c>
    </row>
    <row r="363" spans="10:12" x14ac:dyDescent="0.25">
      <c r="J363" t="str">
        <f>IF(H363="","",IFERROR(VLOOKUP(H363,Listas!$J$2:$K$1048576,2,FALSE),""))</f>
        <v/>
      </c>
      <c r="K363" s="5" t="str">
        <f>IF(OR(I363="",G363=""),"",IF(G363="Saída",-I363,I363))</f>
        <v/>
      </c>
      <c r="L363" t="str">
        <f>IF(E363="","",IFERROR(VLOOKUP(E363,Listas!$A$2:$C$1048576,3,FALSE),""))</f>
        <v/>
      </c>
    </row>
    <row r="364" spans="10:12" x14ac:dyDescent="0.25">
      <c r="J364" t="str">
        <f>IF(H364="","",IFERROR(VLOOKUP(H364,Listas!$J$2:$K$1048576,2,FALSE),""))</f>
        <v/>
      </c>
      <c r="K364" s="5" t="str">
        <f>IF(OR(I364="",G364=""),"",IF(G364="Saída",-I364,I364))</f>
        <v/>
      </c>
      <c r="L364" t="str">
        <f>IF(E364="","",IFERROR(VLOOKUP(E364,Listas!$A$2:$C$1048576,3,FALSE),""))</f>
        <v/>
      </c>
    </row>
    <row r="365" spans="10:12" x14ac:dyDescent="0.25">
      <c r="J365" t="str">
        <f>IF(H365="","",IFERROR(VLOOKUP(H365,Listas!$J$2:$K$1048576,2,FALSE),""))</f>
        <v/>
      </c>
      <c r="K365" s="5" t="str">
        <f>IF(OR(I365="",G365=""),"",IF(G365="Saída",-I365,I365))</f>
        <v/>
      </c>
      <c r="L365" t="str">
        <f>IF(E365="","",IFERROR(VLOOKUP(E365,Listas!$A$2:$C$1048576,3,FALSE),""))</f>
        <v/>
      </c>
    </row>
    <row r="366" spans="10:12" x14ac:dyDescent="0.25">
      <c r="J366" t="str">
        <f>IF(H366="","",IFERROR(VLOOKUP(H366,Listas!$J$2:$K$1048576,2,FALSE),""))</f>
        <v/>
      </c>
      <c r="K366" s="5" t="str">
        <f>IF(OR(I366="",G366=""),"",IF(G366="Saída",-I366,I366))</f>
        <v/>
      </c>
      <c r="L366" t="str">
        <f>IF(E366="","",IFERROR(VLOOKUP(E366,Listas!$A$2:$C$1048576,3,FALSE),""))</f>
        <v/>
      </c>
    </row>
    <row r="367" spans="10:12" x14ac:dyDescent="0.25">
      <c r="J367" t="str">
        <f>IF(H367="","",IFERROR(VLOOKUP(H367,Listas!$J$2:$K$1048576,2,FALSE),""))</f>
        <v/>
      </c>
      <c r="K367" s="5" t="str">
        <f>IF(OR(I367="",G367=""),"",IF(G367="Saída",-I367,I367))</f>
        <v/>
      </c>
      <c r="L367" t="str">
        <f>IF(E367="","",IFERROR(VLOOKUP(E367,Listas!$A$2:$C$1048576,3,FALSE),""))</f>
        <v/>
      </c>
    </row>
    <row r="368" spans="10:12" x14ac:dyDescent="0.25">
      <c r="J368" t="str">
        <f>IF(H368="","",IFERROR(VLOOKUP(H368,Listas!$J$2:$K$1048576,2,FALSE),""))</f>
        <v/>
      </c>
      <c r="K368" s="5" t="str">
        <f>IF(OR(I368="",G368=""),"",IF(G368="Saída",-I368,I368))</f>
        <v/>
      </c>
      <c r="L368" t="str">
        <f>IF(E368="","",IFERROR(VLOOKUP(E368,Listas!$A$2:$C$1048576,3,FALSE),""))</f>
        <v/>
      </c>
    </row>
    <row r="369" spans="10:12" x14ac:dyDescent="0.25">
      <c r="J369" t="str">
        <f>IF(H369="","",IFERROR(VLOOKUP(H369,Listas!$J$2:$K$1048576,2,FALSE),""))</f>
        <v/>
      </c>
      <c r="K369" s="5" t="str">
        <f>IF(OR(I369="",G369=""),"",IF(G369="Saída",-I369,I369))</f>
        <v/>
      </c>
      <c r="L369" t="str">
        <f>IF(E369="","",IFERROR(VLOOKUP(E369,Listas!$A$2:$C$1048576,3,FALSE),""))</f>
        <v/>
      </c>
    </row>
    <row r="370" spans="10:12" x14ac:dyDescent="0.25">
      <c r="J370" t="str">
        <f>IF(H370="","",IFERROR(VLOOKUP(H370,Listas!$J$2:$K$1048576,2,FALSE),""))</f>
        <v/>
      </c>
      <c r="K370" s="5" t="str">
        <f>IF(OR(I370="",G370=""),"",IF(G370="Saída",-I370,I370))</f>
        <v/>
      </c>
      <c r="L370" t="str">
        <f>IF(E370="","",IFERROR(VLOOKUP(E370,Listas!$A$2:$C$1048576,3,FALSE),""))</f>
        <v/>
      </c>
    </row>
    <row r="371" spans="10:12" x14ac:dyDescent="0.25">
      <c r="J371" t="str">
        <f>IF(H371="","",IFERROR(VLOOKUP(H371,Listas!$J$2:$K$1048576,2,FALSE),""))</f>
        <v/>
      </c>
      <c r="K371" s="5" t="str">
        <f>IF(OR(I371="",G371=""),"",IF(G371="Saída",-I371,I371))</f>
        <v/>
      </c>
      <c r="L371" t="str">
        <f>IF(E371="","",IFERROR(VLOOKUP(E371,Listas!$A$2:$C$1048576,3,FALSE),""))</f>
        <v/>
      </c>
    </row>
    <row r="372" spans="10:12" x14ac:dyDescent="0.25">
      <c r="J372" t="str">
        <f>IF(H372="","",IFERROR(VLOOKUP(H372,Listas!$J$2:$K$1048576,2,FALSE),""))</f>
        <v/>
      </c>
      <c r="K372" s="5" t="str">
        <f>IF(OR(I372="",G372=""),"",IF(G372="Saída",-I372,I372))</f>
        <v/>
      </c>
      <c r="L372" t="str">
        <f>IF(E372="","",IFERROR(VLOOKUP(E372,Listas!$A$2:$C$1048576,3,FALSE),""))</f>
        <v/>
      </c>
    </row>
    <row r="373" spans="10:12" x14ac:dyDescent="0.25">
      <c r="J373" t="str">
        <f>IF(H373="","",IFERROR(VLOOKUP(H373,Listas!$J$2:$K$1048576,2,FALSE),""))</f>
        <v/>
      </c>
      <c r="K373" s="5" t="str">
        <f>IF(OR(I373="",G373=""),"",IF(G373="Saída",-I373,I373))</f>
        <v/>
      </c>
      <c r="L373" t="str">
        <f>IF(E373="","",IFERROR(VLOOKUP(E373,Listas!$A$2:$C$1048576,3,FALSE),""))</f>
        <v/>
      </c>
    </row>
    <row r="374" spans="10:12" x14ac:dyDescent="0.25">
      <c r="J374" t="str">
        <f>IF(H374="","",IFERROR(VLOOKUP(H374,Listas!$J$2:$K$1048576,2,FALSE),""))</f>
        <v/>
      </c>
      <c r="K374" s="5" t="str">
        <f>IF(OR(I374="",G374=""),"",IF(G374="Saída",-I374,I374))</f>
        <v/>
      </c>
      <c r="L374" t="str">
        <f>IF(E374="","",IFERROR(VLOOKUP(E374,Listas!$A$2:$C$1048576,3,FALSE),""))</f>
        <v/>
      </c>
    </row>
    <row r="375" spans="10:12" x14ac:dyDescent="0.25">
      <c r="J375" t="str">
        <f>IF(H375="","",IFERROR(VLOOKUP(H375,Listas!$J$2:$K$1048576,2,FALSE),""))</f>
        <v/>
      </c>
      <c r="K375" s="5" t="str">
        <f>IF(OR(I375="",G375=""),"",IF(G375="Saída",-I375,I375))</f>
        <v/>
      </c>
      <c r="L375" t="str">
        <f>IF(E375="","",IFERROR(VLOOKUP(E375,Listas!$A$2:$C$1048576,3,FALSE),""))</f>
        <v/>
      </c>
    </row>
    <row r="376" spans="10:12" x14ac:dyDescent="0.25">
      <c r="J376" t="str">
        <f>IF(H376="","",IFERROR(VLOOKUP(H376,Listas!$J$2:$K$1048576,2,FALSE),""))</f>
        <v/>
      </c>
      <c r="K376" s="5" t="str">
        <f>IF(OR(I376="",G376=""),"",IF(G376="Saída",-I376,I376))</f>
        <v/>
      </c>
      <c r="L376" t="str">
        <f>IF(E376="","",IFERROR(VLOOKUP(E376,Listas!$A$2:$C$1048576,3,FALSE),""))</f>
        <v/>
      </c>
    </row>
    <row r="377" spans="10:12" x14ac:dyDescent="0.25">
      <c r="J377" t="str">
        <f>IF(H377="","",IFERROR(VLOOKUP(H377,Listas!$J$2:$K$1048576,2,FALSE),""))</f>
        <v/>
      </c>
      <c r="K377" s="5" t="str">
        <f>IF(OR(I377="",G377=""),"",IF(G377="Saída",-I377,I377))</f>
        <v/>
      </c>
      <c r="L377" t="str">
        <f>IF(E377="","",IFERROR(VLOOKUP(E377,Listas!$A$2:$C$1048576,3,FALSE),""))</f>
        <v/>
      </c>
    </row>
    <row r="378" spans="10:12" x14ac:dyDescent="0.25">
      <c r="J378" t="str">
        <f>IF(H378="","",IFERROR(VLOOKUP(H378,Listas!$J$2:$K$1048576,2,FALSE),""))</f>
        <v/>
      </c>
      <c r="K378" s="5" t="str">
        <f>IF(OR(I378="",G378=""),"",IF(G378="Saída",-I378,I378))</f>
        <v/>
      </c>
      <c r="L378" t="str">
        <f>IF(E378="","",IFERROR(VLOOKUP(E378,Listas!$A$2:$C$1048576,3,FALSE),""))</f>
        <v/>
      </c>
    </row>
    <row r="379" spans="10:12" x14ac:dyDescent="0.25">
      <c r="J379" t="str">
        <f>IF(H379="","",IFERROR(VLOOKUP(H379,Listas!$J$2:$K$1048576,2,FALSE),""))</f>
        <v/>
      </c>
      <c r="K379" s="5" t="str">
        <f>IF(OR(I379="",G379=""),"",IF(G379="Saída",-I379,I379))</f>
        <v/>
      </c>
      <c r="L379" t="str">
        <f>IF(E379="","",IFERROR(VLOOKUP(E379,Listas!$A$2:$C$1048576,3,FALSE),""))</f>
        <v/>
      </c>
    </row>
    <row r="380" spans="10:12" x14ac:dyDescent="0.25">
      <c r="J380" t="str">
        <f>IF(H380="","",IFERROR(VLOOKUP(H380,Listas!$J$2:$K$1048576,2,FALSE),""))</f>
        <v/>
      </c>
      <c r="K380" s="5" t="str">
        <f>IF(OR(I380="",G380=""),"",IF(G380="Saída",-I380,I380))</f>
        <v/>
      </c>
      <c r="L380" t="str">
        <f>IF(E380="","",IFERROR(VLOOKUP(E380,Listas!$A$2:$C$1048576,3,FALSE),""))</f>
        <v/>
      </c>
    </row>
    <row r="381" spans="10:12" x14ac:dyDescent="0.25">
      <c r="J381" t="str">
        <f>IF(H381="","",IFERROR(VLOOKUP(H381,Listas!$J$2:$K$1048576,2,FALSE),""))</f>
        <v/>
      </c>
      <c r="K381" s="5" t="str">
        <f>IF(OR(I381="",G381=""),"",IF(G381="Saída",-I381,I381))</f>
        <v/>
      </c>
      <c r="L381" t="str">
        <f>IF(E381="","",IFERROR(VLOOKUP(E381,Listas!$A$2:$C$1048576,3,FALSE),""))</f>
        <v/>
      </c>
    </row>
    <row r="382" spans="10:12" x14ac:dyDescent="0.25">
      <c r="J382" t="str">
        <f>IF(H382="","",IFERROR(VLOOKUP(H382,Listas!$J$2:$K$1048576,2,FALSE),""))</f>
        <v/>
      </c>
      <c r="K382" s="5" t="str">
        <f>IF(OR(I382="",G382=""),"",IF(G382="Saída",-I382,I382))</f>
        <v/>
      </c>
      <c r="L382" t="str">
        <f>IF(E382="","",IFERROR(VLOOKUP(E382,Listas!$A$2:$C$1048576,3,FALSE),""))</f>
        <v/>
      </c>
    </row>
    <row r="383" spans="10:12" x14ac:dyDescent="0.25">
      <c r="J383" t="str">
        <f>IF(H383="","",IFERROR(VLOOKUP(H383,Listas!$J$2:$K$1048576,2,FALSE),""))</f>
        <v/>
      </c>
      <c r="K383" s="5" t="str">
        <f>IF(OR(I383="",G383=""),"",IF(G383="Saída",-I383,I383))</f>
        <v/>
      </c>
      <c r="L383" t="str">
        <f>IF(E383="","",IFERROR(VLOOKUP(E383,Listas!$A$2:$C$1048576,3,FALSE),""))</f>
        <v/>
      </c>
    </row>
    <row r="384" spans="10:12" x14ac:dyDescent="0.25">
      <c r="J384" t="str">
        <f>IF(H384="","",IFERROR(VLOOKUP(H384,Listas!$J$2:$K$1048576,2,FALSE),""))</f>
        <v/>
      </c>
      <c r="K384" s="5" t="str">
        <f>IF(OR(I384="",G384=""),"",IF(G384="Saída",-I384,I384))</f>
        <v/>
      </c>
      <c r="L384" t="str">
        <f>IF(E384="","",IFERROR(VLOOKUP(E384,Listas!$A$2:$C$1048576,3,FALSE),""))</f>
        <v/>
      </c>
    </row>
    <row r="385" spans="10:12" x14ac:dyDescent="0.25">
      <c r="J385" t="str">
        <f>IF(H385="","",IFERROR(VLOOKUP(H385,Listas!$J$2:$K$1048576,2,FALSE),""))</f>
        <v/>
      </c>
      <c r="K385" s="5" t="str">
        <f>IF(OR(I385="",G385=""),"",IF(G385="Saída",-I385,I385))</f>
        <v/>
      </c>
      <c r="L385" t="str">
        <f>IF(E385="","",IFERROR(VLOOKUP(E385,Listas!$A$2:$C$1048576,3,FALSE),""))</f>
        <v/>
      </c>
    </row>
    <row r="386" spans="10:12" x14ac:dyDescent="0.25">
      <c r="J386" t="str">
        <f>IF(H386="","",IFERROR(VLOOKUP(H386,Listas!$J$2:$K$1048576,2,FALSE),""))</f>
        <v/>
      </c>
      <c r="K386" s="5" t="str">
        <f>IF(OR(I386="",G386=""),"",IF(G386="Saída",-I386,I386))</f>
        <v/>
      </c>
      <c r="L386" t="str">
        <f>IF(E386="","",IFERROR(VLOOKUP(E386,Listas!$A$2:$C$1048576,3,FALSE),""))</f>
        <v/>
      </c>
    </row>
    <row r="387" spans="10:12" x14ac:dyDescent="0.25">
      <c r="J387" t="str">
        <f>IF(H387="","",IFERROR(VLOOKUP(H387,Listas!$J$2:$K$1048576,2,FALSE),""))</f>
        <v/>
      </c>
      <c r="K387" s="5" t="str">
        <f>IF(OR(I387="",G387=""),"",IF(G387="Saída",-I387,I387))</f>
        <v/>
      </c>
      <c r="L387" t="str">
        <f>IF(E387="","",IFERROR(VLOOKUP(E387,Listas!$A$2:$C$1048576,3,FALSE),""))</f>
        <v/>
      </c>
    </row>
    <row r="388" spans="10:12" x14ac:dyDescent="0.25">
      <c r="J388" t="str">
        <f>IF(H388="","",IFERROR(VLOOKUP(H388,Listas!$J$2:$K$1048576,2,FALSE),""))</f>
        <v/>
      </c>
      <c r="K388" s="5" t="str">
        <f>IF(OR(I388="",G388=""),"",IF(G388="Saída",-I388,I388))</f>
        <v/>
      </c>
      <c r="L388" t="str">
        <f>IF(E388="","",IFERROR(VLOOKUP(E388,Listas!$A$2:$C$1048576,3,FALSE),""))</f>
        <v/>
      </c>
    </row>
    <row r="389" spans="10:12" x14ac:dyDescent="0.25">
      <c r="J389" t="str">
        <f>IF(H389="","",IFERROR(VLOOKUP(H389,Listas!$J$2:$K$1048576,2,FALSE),""))</f>
        <v/>
      </c>
      <c r="K389" s="5" t="str">
        <f>IF(OR(I389="",G389=""),"",IF(G389="Saída",-I389,I389))</f>
        <v/>
      </c>
      <c r="L389" t="str">
        <f>IF(E389="","",IFERROR(VLOOKUP(E389,Listas!$A$2:$C$1048576,3,FALSE),""))</f>
        <v/>
      </c>
    </row>
    <row r="390" spans="10:12" x14ac:dyDescent="0.25">
      <c r="J390" t="str">
        <f>IF(H390="","",IFERROR(VLOOKUP(H390,Listas!$J$2:$K$1048576,2,FALSE),""))</f>
        <v/>
      </c>
      <c r="K390" s="5" t="str">
        <f>IF(OR(I390="",G390=""),"",IF(G390="Saída",-I390,I390))</f>
        <v/>
      </c>
      <c r="L390" t="str">
        <f>IF(E390="","",IFERROR(VLOOKUP(E390,Listas!$A$2:$C$1048576,3,FALSE),""))</f>
        <v/>
      </c>
    </row>
    <row r="391" spans="10:12" x14ac:dyDescent="0.25">
      <c r="J391" t="str">
        <f>IF(H391="","",IFERROR(VLOOKUP(H391,Listas!$J$2:$K$1048576,2,FALSE),""))</f>
        <v/>
      </c>
      <c r="K391" s="5" t="str">
        <f>IF(OR(I391="",G391=""),"",IF(G391="Saída",-I391,I391))</f>
        <v/>
      </c>
      <c r="L391" t="str">
        <f>IF(E391="","",IFERROR(VLOOKUP(E391,Listas!$A$2:$C$1048576,3,FALSE),""))</f>
        <v/>
      </c>
    </row>
    <row r="392" spans="10:12" x14ac:dyDescent="0.25">
      <c r="J392" t="str">
        <f>IF(H392="","",IFERROR(VLOOKUP(H392,Listas!$J$2:$K$1048576,2,FALSE),""))</f>
        <v/>
      </c>
      <c r="K392" s="5" t="str">
        <f>IF(OR(I392="",G392=""),"",IF(G392="Saída",-I392,I392))</f>
        <v/>
      </c>
      <c r="L392" t="str">
        <f>IF(E392="","",IFERROR(VLOOKUP(E392,Listas!$A$2:$C$1048576,3,FALSE),""))</f>
        <v/>
      </c>
    </row>
    <row r="393" spans="10:12" x14ac:dyDescent="0.25">
      <c r="J393" t="str">
        <f>IF(H393="","",IFERROR(VLOOKUP(H393,Listas!$J$2:$K$1048576,2,FALSE),""))</f>
        <v/>
      </c>
      <c r="K393" s="5" t="str">
        <f>IF(OR(I393="",G393=""),"",IF(G393="Saída",-I393,I393))</f>
        <v/>
      </c>
      <c r="L393" t="str">
        <f>IF(E393="","",IFERROR(VLOOKUP(E393,Listas!$A$2:$C$1048576,3,FALSE),""))</f>
        <v/>
      </c>
    </row>
    <row r="394" spans="10:12" x14ac:dyDescent="0.25">
      <c r="J394" t="str">
        <f>IF(H394="","",IFERROR(VLOOKUP(H394,Listas!$J$2:$K$1048576,2,FALSE),""))</f>
        <v/>
      </c>
      <c r="K394" s="5" t="str">
        <f>IF(OR(I394="",G394=""),"",IF(G394="Saída",-I394,I394))</f>
        <v/>
      </c>
      <c r="L394" t="str">
        <f>IF(E394="","",IFERROR(VLOOKUP(E394,Listas!$A$2:$C$1048576,3,FALSE),""))</f>
        <v/>
      </c>
    </row>
    <row r="395" spans="10:12" x14ac:dyDescent="0.25">
      <c r="J395" t="str">
        <f>IF(H395="","",IFERROR(VLOOKUP(H395,Listas!$J$2:$K$1048576,2,FALSE),""))</f>
        <v/>
      </c>
      <c r="K395" s="5" t="str">
        <f>IF(OR(I395="",G395=""),"",IF(G395="Saída",-I395,I395))</f>
        <v/>
      </c>
      <c r="L395" t="str">
        <f>IF(E395="","",IFERROR(VLOOKUP(E395,Listas!$A$2:$C$1048576,3,FALSE),""))</f>
        <v/>
      </c>
    </row>
    <row r="396" spans="10:12" x14ac:dyDescent="0.25">
      <c r="J396" t="str">
        <f>IF(H396="","",IFERROR(VLOOKUP(H396,Listas!$J$2:$K$1048576,2,FALSE),""))</f>
        <v/>
      </c>
      <c r="K396" s="5" t="str">
        <f>IF(OR(I396="",G396=""),"",IF(G396="Saída",-I396,I396))</f>
        <v/>
      </c>
      <c r="L396" t="str">
        <f>IF(E396="","",IFERROR(VLOOKUP(E396,Listas!$A$2:$C$1048576,3,FALSE),""))</f>
        <v/>
      </c>
    </row>
    <row r="397" spans="10:12" x14ac:dyDescent="0.25">
      <c r="J397" t="str">
        <f>IF(H397="","",IFERROR(VLOOKUP(H397,Listas!$J$2:$K$1048576,2,FALSE),""))</f>
        <v/>
      </c>
      <c r="K397" s="5" t="str">
        <f>IF(OR(I397="",G397=""),"",IF(G397="Saída",-I397,I397))</f>
        <v/>
      </c>
      <c r="L397" t="str">
        <f>IF(E397="","",IFERROR(VLOOKUP(E397,Listas!$A$2:$C$1048576,3,FALSE),""))</f>
        <v/>
      </c>
    </row>
    <row r="398" spans="10:12" x14ac:dyDescent="0.25">
      <c r="J398" t="str">
        <f>IF(H398="","",IFERROR(VLOOKUP(H398,Listas!$J$2:$K$1048576,2,FALSE),""))</f>
        <v/>
      </c>
      <c r="K398" s="5" t="str">
        <f>IF(OR(I398="",G398=""),"",IF(G398="Saída",-I398,I398))</f>
        <v/>
      </c>
      <c r="L398" t="str">
        <f>IF(E398="","",IFERROR(VLOOKUP(E398,Listas!$A$2:$C$1048576,3,FALSE),""))</f>
        <v/>
      </c>
    </row>
    <row r="399" spans="10:12" x14ac:dyDescent="0.25">
      <c r="J399" t="str">
        <f>IF(H399="","",IFERROR(VLOOKUP(H399,Listas!$J$2:$K$1048576,2,FALSE),""))</f>
        <v/>
      </c>
      <c r="K399" s="5" t="str">
        <f>IF(OR(I399="",G399=""),"",IF(G399="Saída",-I399,I399))</f>
        <v/>
      </c>
      <c r="L399" t="str">
        <f>IF(E399="","",IFERROR(VLOOKUP(E399,Listas!$A$2:$C$1048576,3,FALSE),""))</f>
        <v/>
      </c>
    </row>
    <row r="400" spans="10:12" x14ac:dyDescent="0.25">
      <c r="J400" t="str">
        <f>IF(H400="","",IFERROR(VLOOKUP(H400,Listas!$J$2:$K$1048576,2,FALSE),""))</f>
        <v/>
      </c>
      <c r="K400" s="5" t="str">
        <f>IF(OR(I400="",G400=""),"",IF(G400="Saída",-I400,I400))</f>
        <v/>
      </c>
      <c r="L400" t="str">
        <f>IF(E400="","",IFERROR(VLOOKUP(E400,Listas!$A$2:$C$1048576,3,FALSE),""))</f>
        <v/>
      </c>
    </row>
    <row r="401" spans="10:12" x14ac:dyDescent="0.25">
      <c r="J401" t="str">
        <f>IF(H401="","",IFERROR(VLOOKUP(H401,Listas!$J$2:$K$1048576,2,FALSE),""))</f>
        <v/>
      </c>
      <c r="K401" s="5" t="str">
        <f>IF(OR(I401="",G401=""),"",IF(G401="Saída",-I401,I401))</f>
        <v/>
      </c>
      <c r="L401" t="str">
        <f>IF(E401="","",IFERROR(VLOOKUP(E401,Listas!$A$2:$C$1048576,3,FALSE),""))</f>
        <v/>
      </c>
    </row>
    <row r="402" spans="10:12" x14ac:dyDescent="0.25">
      <c r="J402" t="str">
        <f>IF(H402="","",IFERROR(VLOOKUP(H402,Listas!$J$2:$K$1048576,2,FALSE),""))</f>
        <v/>
      </c>
      <c r="K402" s="5" t="str">
        <f>IF(OR(I402="",G402=""),"",IF(G402="Saída",-I402,I402))</f>
        <v/>
      </c>
      <c r="L402" t="str">
        <f>IF(E402="","",IFERROR(VLOOKUP(E402,Listas!$A$2:$C$1048576,3,FALSE),""))</f>
        <v/>
      </c>
    </row>
    <row r="403" spans="10:12" x14ac:dyDescent="0.25">
      <c r="J403" t="str">
        <f>IF(H403="","",IFERROR(VLOOKUP(H403,Listas!$J$2:$K$1048576,2,FALSE),""))</f>
        <v/>
      </c>
      <c r="K403" s="5" t="str">
        <f>IF(OR(I403="",G403=""),"",IF(G403="Saída",-I403,I403))</f>
        <v/>
      </c>
      <c r="L403" t="str">
        <f>IF(E403="","",IFERROR(VLOOKUP(E403,Listas!$A$2:$C$1048576,3,FALSE),""))</f>
        <v/>
      </c>
    </row>
    <row r="404" spans="10:12" x14ac:dyDescent="0.25">
      <c r="J404" t="str">
        <f>IF(H404="","",IFERROR(VLOOKUP(H404,Listas!$J$2:$K$1048576,2,FALSE),""))</f>
        <v/>
      </c>
      <c r="K404" s="5" t="str">
        <f>IF(OR(I404="",G404=""),"",IF(G404="Saída",-I404,I404))</f>
        <v/>
      </c>
      <c r="L404" t="str">
        <f>IF(E404="","",IFERROR(VLOOKUP(E404,Listas!$A$2:$C$1048576,3,FALSE),""))</f>
        <v/>
      </c>
    </row>
    <row r="405" spans="10:12" x14ac:dyDescent="0.25">
      <c r="J405" t="str">
        <f>IF(H405="","",IFERROR(VLOOKUP(H405,Listas!$J$2:$K$1048576,2,FALSE),""))</f>
        <v/>
      </c>
      <c r="K405" s="5" t="str">
        <f>IF(OR(I405="",G405=""),"",IF(G405="Saída",-I405,I405))</f>
        <v/>
      </c>
      <c r="L405" t="str">
        <f>IF(E405="","",IFERROR(VLOOKUP(E405,Listas!$A$2:$C$1048576,3,FALSE),""))</f>
        <v/>
      </c>
    </row>
    <row r="406" spans="10:12" x14ac:dyDescent="0.25">
      <c r="J406" t="str">
        <f>IF(H406="","",IFERROR(VLOOKUP(H406,Listas!$J$2:$K$1048576,2,FALSE),""))</f>
        <v/>
      </c>
      <c r="K406" s="5" t="str">
        <f>IF(OR(I406="",G406=""),"",IF(G406="Saída",-I406,I406))</f>
        <v/>
      </c>
      <c r="L406" t="str">
        <f>IF(E406="","",IFERROR(VLOOKUP(E406,Listas!$A$2:$C$1048576,3,FALSE),""))</f>
        <v/>
      </c>
    </row>
    <row r="407" spans="10:12" x14ac:dyDescent="0.25">
      <c r="J407" t="str">
        <f>IF(H407="","",IFERROR(VLOOKUP(H407,Listas!$J$2:$K$1048576,2,FALSE),""))</f>
        <v/>
      </c>
      <c r="K407" s="5" t="str">
        <f>IF(OR(I407="",G407=""),"",IF(G407="Saída",-I407,I407))</f>
        <v/>
      </c>
      <c r="L407" t="str">
        <f>IF(E407="","",IFERROR(VLOOKUP(E407,Listas!$A$2:$C$1048576,3,FALSE),""))</f>
        <v/>
      </c>
    </row>
    <row r="408" spans="10:12" x14ac:dyDescent="0.25">
      <c r="J408" t="str">
        <f>IF(H408="","",IFERROR(VLOOKUP(H408,Listas!$J$2:$K$1048576,2,FALSE),""))</f>
        <v/>
      </c>
      <c r="K408" s="5" t="str">
        <f>IF(OR(I408="",G408=""),"",IF(G408="Saída",-I408,I408))</f>
        <v/>
      </c>
      <c r="L408" t="str">
        <f>IF(E408="","",IFERROR(VLOOKUP(E408,Listas!$A$2:$C$1048576,3,FALSE),""))</f>
        <v/>
      </c>
    </row>
    <row r="409" spans="10:12" x14ac:dyDescent="0.25">
      <c r="J409" t="str">
        <f>IF(H409="","",IFERROR(VLOOKUP(H409,Listas!$J$2:$K$1048576,2,FALSE),""))</f>
        <v/>
      </c>
      <c r="K409" s="5" t="str">
        <f>IF(OR(I409="",G409=""),"",IF(G409="Saída",-I409,I409))</f>
        <v/>
      </c>
      <c r="L409" t="str">
        <f>IF(E409="","",IFERROR(VLOOKUP(E409,Listas!$A$2:$C$1048576,3,FALSE),""))</f>
        <v/>
      </c>
    </row>
    <row r="410" spans="10:12" x14ac:dyDescent="0.25">
      <c r="J410" t="str">
        <f>IF(H410="","",IFERROR(VLOOKUP(H410,Listas!$J$2:$K$1048576,2,FALSE),""))</f>
        <v/>
      </c>
      <c r="K410" s="5" t="str">
        <f>IF(OR(I410="",G410=""),"",IF(G410="Saída",-I410,I410))</f>
        <v/>
      </c>
      <c r="L410" t="str">
        <f>IF(E410="","",IFERROR(VLOOKUP(E410,Listas!$A$2:$C$1048576,3,FALSE),""))</f>
        <v/>
      </c>
    </row>
    <row r="411" spans="10:12" x14ac:dyDescent="0.25">
      <c r="J411" t="str">
        <f>IF(H411="","",IFERROR(VLOOKUP(H411,Listas!$J$2:$K$1048576,2,FALSE),""))</f>
        <v/>
      </c>
      <c r="K411" s="5" t="str">
        <f>IF(OR(I411="",G411=""),"",IF(G411="Saída",-I411,I411))</f>
        <v/>
      </c>
      <c r="L411" t="str">
        <f>IF(E411="","",IFERROR(VLOOKUP(E411,Listas!$A$2:$C$1048576,3,FALSE),""))</f>
        <v/>
      </c>
    </row>
    <row r="412" spans="10:12" x14ac:dyDescent="0.25">
      <c r="J412" t="str">
        <f>IF(H412="","",IFERROR(VLOOKUP(H412,Listas!$J$2:$K$1048576,2,FALSE),""))</f>
        <v/>
      </c>
      <c r="K412" s="5" t="str">
        <f>IF(OR(I412="",G412=""),"",IF(G412="Saída",-I412,I412))</f>
        <v/>
      </c>
      <c r="L412" t="str">
        <f>IF(E412="","",IFERROR(VLOOKUP(E412,Listas!$A$2:$C$1048576,3,FALSE),""))</f>
        <v/>
      </c>
    </row>
    <row r="413" spans="10:12" x14ac:dyDescent="0.25">
      <c r="J413" t="str">
        <f>IF(H413="","",IFERROR(VLOOKUP(H413,Listas!$J$2:$K$1048576,2,FALSE),""))</f>
        <v/>
      </c>
      <c r="K413" s="5" t="str">
        <f>IF(OR(I413="",G413=""),"",IF(G413="Saída",-I413,I413))</f>
        <v/>
      </c>
      <c r="L413" t="str">
        <f>IF(E413="","",IFERROR(VLOOKUP(E413,Listas!$A$2:$C$1048576,3,FALSE),""))</f>
        <v/>
      </c>
    </row>
    <row r="414" spans="10:12" x14ac:dyDescent="0.25">
      <c r="J414" t="str">
        <f>IF(H414="","",IFERROR(VLOOKUP(H414,Listas!$J$2:$K$1048576,2,FALSE),""))</f>
        <v/>
      </c>
      <c r="K414" s="5" t="str">
        <f>IF(OR(I414="",G414=""),"",IF(G414="Saída",-I414,I414))</f>
        <v/>
      </c>
      <c r="L414" t="str">
        <f>IF(E414="","",IFERROR(VLOOKUP(E414,Listas!$A$2:$C$1048576,3,FALSE),""))</f>
        <v/>
      </c>
    </row>
    <row r="415" spans="10:12" x14ac:dyDescent="0.25">
      <c r="J415" t="str">
        <f>IF(H415="","",IFERROR(VLOOKUP(H415,Listas!$J$2:$K$1048576,2,FALSE),""))</f>
        <v/>
      </c>
      <c r="K415" s="5" t="str">
        <f>IF(OR(I415="",G415=""),"",IF(G415="Saída",-I415,I415))</f>
        <v/>
      </c>
      <c r="L415" t="str">
        <f>IF(E415="","",IFERROR(VLOOKUP(E415,Listas!$A$2:$C$1048576,3,FALSE),""))</f>
        <v/>
      </c>
    </row>
    <row r="416" spans="10:12" x14ac:dyDescent="0.25">
      <c r="J416" t="str">
        <f>IF(H416="","",IFERROR(VLOOKUP(H416,Listas!$J$2:$K$1048576,2,FALSE),""))</f>
        <v/>
      </c>
      <c r="K416" s="5" t="str">
        <f>IF(OR(I416="",G416=""),"",IF(G416="Saída",-I416,I416))</f>
        <v/>
      </c>
      <c r="L416" t="str">
        <f>IF(E416="","",IFERROR(VLOOKUP(E416,Listas!$A$2:$C$1048576,3,FALSE),""))</f>
        <v/>
      </c>
    </row>
    <row r="417" spans="10:12" x14ac:dyDescent="0.25">
      <c r="J417" t="str">
        <f>IF(H417="","",IFERROR(VLOOKUP(H417,Listas!$J$2:$K$1048576,2,FALSE),""))</f>
        <v/>
      </c>
      <c r="K417" s="5" t="str">
        <f>IF(OR(I417="",G417=""),"",IF(G417="Saída",-I417,I417))</f>
        <v/>
      </c>
      <c r="L417" t="str">
        <f>IF(E417="","",IFERROR(VLOOKUP(E417,Listas!$A$2:$C$1048576,3,FALSE),""))</f>
        <v/>
      </c>
    </row>
    <row r="418" spans="10:12" x14ac:dyDescent="0.25">
      <c r="J418" t="str">
        <f>IF(H418="","",IFERROR(VLOOKUP(H418,Listas!$J$2:$K$1048576,2,FALSE),""))</f>
        <v/>
      </c>
      <c r="K418" s="5" t="str">
        <f>IF(OR(I418="",G418=""),"",IF(G418="Saída",-I418,I418))</f>
        <v/>
      </c>
      <c r="L418" t="str">
        <f>IF(E418="","",IFERROR(VLOOKUP(E418,Listas!$A$2:$C$1048576,3,FALSE),""))</f>
        <v/>
      </c>
    </row>
    <row r="419" spans="10:12" x14ac:dyDescent="0.25">
      <c r="J419" t="str">
        <f>IF(H419="","",IFERROR(VLOOKUP(H419,Listas!$J$2:$K$1048576,2,FALSE),""))</f>
        <v/>
      </c>
      <c r="K419" s="5" t="str">
        <f>IF(OR(I419="",G419=""),"",IF(G419="Saída",-I419,I419))</f>
        <v/>
      </c>
      <c r="L419" t="str">
        <f>IF(E419="","",IFERROR(VLOOKUP(E419,Listas!$A$2:$C$1048576,3,FALSE),""))</f>
        <v/>
      </c>
    </row>
    <row r="420" spans="10:12" x14ac:dyDescent="0.25">
      <c r="J420" t="str">
        <f>IF(H420="","",IFERROR(VLOOKUP(H420,Listas!$J$2:$K$1048576,2,FALSE),""))</f>
        <v/>
      </c>
      <c r="K420" s="5" t="str">
        <f>IF(OR(I420="",G420=""),"",IF(G420="Saída",-I420,I420))</f>
        <v/>
      </c>
      <c r="L420" t="str">
        <f>IF(E420="","",IFERROR(VLOOKUP(E420,Listas!$A$2:$C$1048576,3,FALSE),""))</f>
        <v/>
      </c>
    </row>
    <row r="421" spans="10:12" x14ac:dyDescent="0.25">
      <c r="J421" t="str">
        <f>IF(H421="","",IFERROR(VLOOKUP(H421,Listas!$J$2:$K$1048576,2,FALSE),""))</f>
        <v/>
      </c>
      <c r="K421" s="5" t="str">
        <f>IF(OR(I421="",G421=""),"",IF(G421="Saída",-I421,I421))</f>
        <v/>
      </c>
      <c r="L421" t="str">
        <f>IF(E421="","",IFERROR(VLOOKUP(E421,Listas!$A$2:$C$1048576,3,FALSE),""))</f>
        <v/>
      </c>
    </row>
    <row r="422" spans="10:12" x14ac:dyDescent="0.25">
      <c r="J422" t="str">
        <f>IF(H422="","",IFERROR(VLOOKUP(H422,Listas!$J$2:$K$1048576,2,FALSE),""))</f>
        <v/>
      </c>
      <c r="K422" s="5" t="str">
        <f>IF(OR(I422="",G422=""),"",IF(G422="Saída",-I422,I422))</f>
        <v/>
      </c>
      <c r="L422" t="str">
        <f>IF(E422="","",IFERROR(VLOOKUP(E422,Listas!$A$2:$C$1048576,3,FALSE),""))</f>
        <v/>
      </c>
    </row>
    <row r="423" spans="10:12" x14ac:dyDescent="0.25">
      <c r="J423" t="str">
        <f>IF(H423="","",IFERROR(VLOOKUP(H423,Listas!$J$2:$K$1048576,2,FALSE),""))</f>
        <v/>
      </c>
      <c r="K423" s="5" t="str">
        <f>IF(OR(I423="",G423=""),"",IF(G423="Saída",-I423,I423))</f>
        <v/>
      </c>
      <c r="L423" t="str">
        <f>IF(E423="","",IFERROR(VLOOKUP(E423,Listas!$A$2:$C$1048576,3,FALSE),""))</f>
        <v/>
      </c>
    </row>
    <row r="424" spans="10:12" x14ac:dyDescent="0.25">
      <c r="J424" t="str">
        <f>IF(H424="","",IFERROR(VLOOKUP(H424,Listas!$J$2:$K$1048576,2,FALSE),""))</f>
        <v/>
      </c>
      <c r="K424" s="5" t="str">
        <f>IF(OR(I424="",G424=""),"",IF(G424="Saída",-I424,I424))</f>
        <v/>
      </c>
      <c r="L424" t="str">
        <f>IF(E424="","",IFERROR(VLOOKUP(E424,Listas!$A$2:$C$1048576,3,FALSE),""))</f>
        <v/>
      </c>
    </row>
    <row r="425" spans="10:12" x14ac:dyDescent="0.25">
      <c r="J425" t="str">
        <f>IF(H425="","",IFERROR(VLOOKUP(H425,Listas!$J$2:$K$1048576,2,FALSE),""))</f>
        <v/>
      </c>
      <c r="K425" s="5" t="str">
        <f>IF(OR(I425="",G425=""),"",IF(G425="Saída",-I425,I425))</f>
        <v/>
      </c>
      <c r="L425" t="str">
        <f>IF(E425="","",IFERROR(VLOOKUP(E425,Listas!$A$2:$C$1048576,3,FALSE),""))</f>
        <v/>
      </c>
    </row>
    <row r="426" spans="10:12" x14ac:dyDescent="0.25">
      <c r="J426" t="str">
        <f>IF(H426="","",IFERROR(VLOOKUP(H426,Listas!$J$2:$K$1048576,2,FALSE),""))</f>
        <v/>
      </c>
      <c r="K426" s="5" t="str">
        <f>IF(OR(I426="",G426=""),"",IF(G426="Saída",-I426,I426))</f>
        <v/>
      </c>
      <c r="L426" t="str">
        <f>IF(E426="","",IFERROR(VLOOKUP(E426,Listas!$A$2:$C$1048576,3,FALSE),""))</f>
        <v/>
      </c>
    </row>
    <row r="427" spans="10:12" x14ac:dyDescent="0.25">
      <c r="J427" t="str">
        <f>IF(H427="","",IFERROR(VLOOKUP(H427,Listas!$J$2:$K$1048576,2,FALSE),""))</f>
        <v/>
      </c>
      <c r="K427" s="5" t="str">
        <f>IF(OR(I427="",G427=""),"",IF(G427="Saída",-I427,I427))</f>
        <v/>
      </c>
      <c r="L427" t="str">
        <f>IF(E427="","",IFERROR(VLOOKUP(E427,Listas!$A$2:$C$1048576,3,FALSE),""))</f>
        <v/>
      </c>
    </row>
    <row r="428" spans="10:12" x14ac:dyDescent="0.25">
      <c r="J428" t="str">
        <f>IF(H428="","",IFERROR(VLOOKUP(H428,Listas!$J$2:$K$1048576,2,FALSE),""))</f>
        <v/>
      </c>
      <c r="K428" s="5" t="str">
        <f>IF(OR(I428="",G428=""),"",IF(G428="Saída",-I428,I428))</f>
        <v/>
      </c>
      <c r="L428" t="str">
        <f>IF(E428="","",IFERROR(VLOOKUP(E428,Listas!$A$2:$C$1048576,3,FALSE),""))</f>
        <v/>
      </c>
    </row>
    <row r="429" spans="10:12" x14ac:dyDescent="0.25">
      <c r="J429" t="str">
        <f>IF(H429="","",IFERROR(VLOOKUP(H429,Listas!$J$2:$K$1048576,2,FALSE),""))</f>
        <v/>
      </c>
      <c r="K429" s="5" t="str">
        <f>IF(OR(I429="",G429=""),"",IF(G429="Saída",-I429,I429))</f>
        <v/>
      </c>
      <c r="L429" t="str">
        <f>IF(E429="","",IFERROR(VLOOKUP(E429,Listas!$A$2:$C$1048576,3,FALSE),""))</f>
        <v/>
      </c>
    </row>
    <row r="430" spans="10:12" x14ac:dyDescent="0.25">
      <c r="J430" t="str">
        <f>IF(H430="","",IFERROR(VLOOKUP(H430,Listas!$J$2:$K$1048576,2,FALSE),""))</f>
        <v/>
      </c>
      <c r="K430" s="5" t="str">
        <f>IF(OR(I430="",G430=""),"",IF(G430="Saída",-I430,I430))</f>
        <v/>
      </c>
      <c r="L430" t="str">
        <f>IF(E430="","",IFERROR(VLOOKUP(E430,Listas!$A$2:$C$1048576,3,FALSE),""))</f>
        <v/>
      </c>
    </row>
    <row r="431" spans="10:12" x14ac:dyDescent="0.25">
      <c r="J431" t="str">
        <f>IF(H431="","",IFERROR(VLOOKUP(H431,Listas!$J$2:$K$1048576,2,FALSE),""))</f>
        <v/>
      </c>
      <c r="K431" s="5" t="str">
        <f>IF(OR(I431="",G431=""),"",IF(G431="Saída",-I431,I431))</f>
        <v/>
      </c>
      <c r="L431" t="str">
        <f>IF(E431="","",IFERROR(VLOOKUP(E431,Listas!$A$2:$C$1048576,3,FALSE),""))</f>
        <v/>
      </c>
    </row>
    <row r="432" spans="10:12" x14ac:dyDescent="0.25">
      <c r="J432" t="str">
        <f>IF(H432="","",IFERROR(VLOOKUP(H432,Listas!$J$2:$K$1048576,2,FALSE),""))</f>
        <v/>
      </c>
      <c r="K432" s="5" t="str">
        <f>IF(OR(I432="",G432=""),"",IF(G432="Saída",-I432,I432))</f>
        <v/>
      </c>
      <c r="L432" t="str">
        <f>IF(E432="","",IFERROR(VLOOKUP(E432,Listas!$A$2:$C$1048576,3,FALSE),""))</f>
        <v/>
      </c>
    </row>
    <row r="433" spans="10:12" x14ac:dyDescent="0.25">
      <c r="J433" t="str">
        <f>IF(H433="","",IFERROR(VLOOKUP(H433,Listas!$J$2:$K$1048576,2,FALSE),""))</f>
        <v/>
      </c>
      <c r="K433" s="5" t="str">
        <f>IF(OR(I433="",G433=""),"",IF(G433="Saída",-I433,I433))</f>
        <v/>
      </c>
      <c r="L433" t="str">
        <f>IF(E433="","",IFERROR(VLOOKUP(E433,Listas!$A$2:$C$1048576,3,FALSE),""))</f>
        <v/>
      </c>
    </row>
    <row r="434" spans="10:12" x14ac:dyDescent="0.25">
      <c r="J434" t="str">
        <f>IF(H434="","",IFERROR(VLOOKUP(H434,Listas!$J$2:$K$1048576,2,FALSE),""))</f>
        <v/>
      </c>
      <c r="K434" s="5" t="str">
        <f>IF(OR(I434="",G434=""),"",IF(G434="Saída",-I434,I434))</f>
        <v/>
      </c>
      <c r="L434" t="str">
        <f>IF(E434="","",IFERROR(VLOOKUP(E434,Listas!$A$2:$C$1048576,3,FALSE),""))</f>
        <v/>
      </c>
    </row>
    <row r="435" spans="10:12" x14ac:dyDescent="0.25">
      <c r="J435" t="str">
        <f>IF(H435="","",IFERROR(VLOOKUP(H435,Listas!$J$2:$K$1048576,2,FALSE),""))</f>
        <v/>
      </c>
      <c r="K435" s="5" t="str">
        <f>IF(OR(I435="",G435=""),"",IF(G435="Saída",-I435,I435))</f>
        <v/>
      </c>
      <c r="L435" t="str">
        <f>IF(E435="","",IFERROR(VLOOKUP(E435,Listas!$A$2:$C$1048576,3,FALSE),""))</f>
        <v/>
      </c>
    </row>
    <row r="436" spans="10:12" x14ac:dyDescent="0.25">
      <c r="J436" t="str">
        <f>IF(H436="","",IFERROR(VLOOKUP(H436,Listas!$J$2:$K$1048576,2,FALSE),""))</f>
        <v/>
      </c>
      <c r="K436" s="5" t="str">
        <f>IF(OR(I436="",G436=""),"",IF(G436="Saída",-I436,I436))</f>
        <v/>
      </c>
      <c r="L436" t="str">
        <f>IF(E436="","",IFERROR(VLOOKUP(E436,Listas!$A$2:$C$1048576,3,FALSE),""))</f>
        <v/>
      </c>
    </row>
    <row r="437" spans="10:12" x14ac:dyDescent="0.25">
      <c r="J437" t="str">
        <f>IF(H437="","",IFERROR(VLOOKUP(H437,Listas!$J$2:$K$1048576,2,FALSE),""))</f>
        <v/>
      </c>
      <c r="K437" s="5" t="str">
        <f>IF(OR(I437="",G437=""),"",IF(G437="Saída",-I437,I437))</f>
        <v/>
      </c>
      <c r="L437" t="str">
        <f>IF(E437="","",IFERROR(VLOOKUP(E437,Listas!$A$2:$C$1048576,3,FALSE),""))</f>
        <v/>
      </c>
    </row>
    <row r="438" spans="10:12" x14ac:dyDescent="0.25">
      <c r="J438" t="str">
        <f>IF(H438="","",IFERROR(VLOOKUP(H438,Listas!$J$2:$K$1048576,2,FALSE),""))</f>
        <v/>
      </c>
      <c r="K438" s="5" t="str">
        <f>IF(OR(I438="",G438=""),"",IF(G438="Saída",-I438,I438))</f>
        <v/>
      </c>
      <c r="L438" t="str">
        <f>IF(E438="","",IFERROR(VLOOKUP(E438,Listas!$A$2:$C$1048576,3,FALSE),""))</f>
        <v/>
      </c>
    </row>
    <row r="439" spans="10:12" x14ac:dyDescent="0.25">
      <c r="J439" t="str">
        <f>IF(H439="","",IFERROR(VLOOKUP(H439,Listas!$J$2:$K$1048576,2,FALSE),""))</f>
        <v/>
      </c>
      <c r="K439" s="5" t="str">
        <f>IF(OR(I439="",G439=""),"",IF(G439="Saída",-I439,I439))</f>
        <v/>
      </c>
      <c r="L439" t="str">
        <f>IF(E439="","",IFERROR(VLOOKUP(E439,Listas!$A$2:$C$1048576,3,FALSE),""))</f>
        <v/>
      </c>
    </row>
    <row r="440" spans="10:12" x14ac:dyDescent="0.25">
      <c r="J440" t="str">
        <f>IF(H440="","",IFERROR(VLOOKUP(H440,Listas!$J$2:$K$1048576,2,FALSE),""))</f>
        <v/>
      </c>
      <c r="K440" s="5" t="str">
        <f>IF(OR(I440="",G440=""),"",IF(G440="Saída",-I440,I440))</f>
        <v/>
      </c>
      <c r="L440" t="str">
        <f>IF(E440="","",IFERROR(VLOOKUP(E440,Listas!$A$2:$C$1048576,3,FALSE),""))</f>
        <v/>
      </c>
    </row>
    <row r="441" spans="10:12" x14ac:dyDescent="0.25">
      <c r="J441" t="str">
        <f>IF(H441="","",IFERROR(VLOOKUP(H441,Listas!$J$2:$K$1048576,2,FALSE),""))</f>
        <v/>
      </c>
      <c r="K441" s="5" t="str">
        <f>IF(OR(I441="",G441=""),"",IF(G441="Saída",-I441,I441))</f>
        <v/>
      </c>
      <c r="L441" t="str">
        <f>IF(E441="","",IFERROR(VLOOKUP(E441,Listas!$A$2:$C$1048576,3,FALSE),""))</f>
        <v/>
      </c>
    </row>
    <row r="442" spans="10:12" x14ac:dyDescent="0.25">
      <c r="J442" t="str">
        <f>IF(H442="","",IFERROR(VLOOKUP(H442,Listas!$J$2:$K$1048576,2,FALSE),""))</f>
        <v/>
      </c>
      <c r="K442" s="5" t="str">
        <f>IF(OR(I442="",G442=""),"",IF(G442="Saída",-I442,I442))</f>
        <v/>
      </c>
      <c r="L442" t="str">
        <f>IF(E442="","",IFERROR(VLOOKUP(E442,Listas!$A$2:$C$1048576,3,FALSE),""))</f>
        <v/>
      </c>
    </row>
    <row r="443" spans="10:12" x14ac:dyDescent="0.25">
      <c r="J443" t="str">
        <f>IF(H443="","",IFERROR(VLOOKUP(H443,Listas!$J$2:$K$1048576,2,FALSE),""))</f>
        <v/>
      </c>
      <c r="K443" s="5" t="str">
        <f>IF(OR(I443="",G443=""),"",IF(G443="Saída",-I443,I443))</f>
        <v/>
      </c>
      <c r="L443" t="str">
        <f>IF(E443="","",IFERROR(VLOOKUP(E443,Listas!$A$2:$C$1048576,3,FALSE),""))</f>
        <v/>
      </c>
    </row>
    <row r="444" spans="10:12" x14ac:dyDescent="0.25">
      <c r="J444" t="str">
        <f>IF(H444="","",IFERROR(VLOOKUP(H444,Listas!$J$2:$K$1048576,2,FALSE),""))</f>
        <v/>
      </c>
      <c r="K444" s="5" t="str">
        <f>IF(OR(I444="",G444=""),"",IF(G444="Saída",-I444,I444))</f>
        <v/>
      </c>
      <c r="L444" t="str">
        <f>IF(E444="","",IFERROR(VLOOKUP(E444,Listas!$A$2:$C$1048576,3,FALSE),""))</f>
        <v/>
      </c>
    </row>
    <row r="445" spans="10:12" x14ac:dyDescent="0.25">
      <c r="J445" t="str">
        <f>IF(H445="","",IFERROR(VLOOKUP(H445,Listas!$J$2:$K$1048576,2,FALSE),""))</f>
        <v/>
      </c>
      <c r="K445" s="5" t="str">
        <f>IF(OR(I445="",G445=""),"",IF(G445="Saída",-I445,I445))</f>
        <v/>
      </c>
      <c r="L445" t="str">
        <f>IF(E445="","",IFERROR(VLOOKUP(E445,Listas!$A$2:$C$1048576,3,FALSE),""))</f>
        <v/>
      </c>
    </row>
    <row r="446" spans="10:12" x14ac:dyDescent="0.25">
      <c r="J446" t="str">
        <f>IF(H446="","",IFERROR(VLOOKUP(H446,Listas!$J$2:$K$1048576,2,FALSE),""))</f>
        <v/>
      </c>
      <c r="K446" s="5" t="str">
        <f>IF(OR(I446="",G446=""),"",IF(G446="Saída",-I446,I446))</f>
        <v/>
      </c>
      <c r="L446" t="str">
        <f>IF(E446="","",IFERROR(VLOOKUP(E446,Listas!$A$2:$C$1048576,3,FALSE),""))</f>
        <v/>
      </c>
    </row>
    <row r="447" spans="10:12" x14ac:dyDescent="0.25">
      <c r="J447" t="str">
        <f>IF(H447="","",IFERROR(VLOOKUP(H447,Listas!$J$2:$K$1048576,2,FALSE),""))</f>
        <v/>
      </c>
      <c r="K447" s="5" t="str">
        <f>IF(OR(I447="",G447=""),"",IF(G447="Saída",-I447,I447))</f>
        <v/>
      </c>
      <c r="L447" t="str">
        <f>IF(E447="","",IFERROR(VLOOKUP(E447,Listas!$A$2:$C$1048576,3,FALSE),""))</f>
        <v/>
      </c>
    </row>
    <row r="448" spans="10:12" x14ac:dyDescent="0.25">
      <c r="J448" t="str">
        <f>IF(H448="","",IFERROR(VLOOKUP(H448,Listas!$J$2:$K$1048576,2,FALSE),""))</f>
        <v/>
      </c>
      <c r="K448" s="5" t="str">
        <f>IF(OR(I448="",G448=""),"",IF(G448="Saída",-I448,I448))</f>
        <v/>
      </c>
      <c r="L448" t="str">
        <f>IF(E448="","",IFERROR(VLOOKUP(E448,Listas!$A$2:$C$1048576,3,FALSE),""))</f>
        <v/>
      </c>
    </row>
    <row r="449" spans="10:12" x14ac:dyDescent="0.25">
      <c r="J449" t="str">
        <f>IF(H449="","",IFERROR(VLOOKUP(H449,Listas!$J$2:$K$1048576,2,FALSE),""))</f>
        <v/>
      </c>
      <c r="K449" s="5" t="str">
        <f>IF(OR(I449="",G449=""),"",IF(G449="Saída",-I449,I449))</f>
        <v/>
      </c>
      <c r="L449" t="str">
        <f>IF(E449="","",IFERROR(VLOOKUP(E449,Listas!$A$2:$C$1048576,3,FALSE),""))</f>
        <v/>
      </c>
    </row>
    <row r="450" spans="10:12" x14ac:dyDescent="0.25">
      <c r="J450" t="str">
        <f>IF(H450="","",IFERROR(VLOOKUP(H450,Listas!$J$2:$K$1048576,2,FALSE),""))</f>
        <v/>
      </c>
      <c r="K450" s="5" t="str">
        <f>IF(OR(I450="",G450=""),"",IF(G450="Saída",-I450,I450))</f>
        <v/>
      </c>
      <c r="L450" t="str">
        <f>IF(E450="","",IFERROR(VLOOKUP(E450,Listas!$A$2:$C$1048576,3,FALSE),""))</f>
        <v/>
      </c>
    </row>
    <row r="451" spans="10:12" x14ac:dyDescent="0.25">
      <c r="J451" t="str">
        <f>IF(H451="","",IFERROR(VLOOKUP(H451,Listas!$J$2:$K$1048576,2,FALSE),""))</f>
        <v/>
      </c>
      <c r="K451" s="5" t="str">
        <f>IF(OR(I451="",G451=""),"",IF(G451="Saída",-I451,I451))</f>
        <v/>
      </c>
      <c r="L451" t="str">
        <f>IF(E451="","",IFERROR(VLOOKUP(E451,Listas!$A$2:$C$1048576,3,FALSE),""))</f>
        <v/>
      </c>
    </row>
    <row r="452" spans="10:12" x14ac:dyDescent="0.25">
      <c r="J452" t="str">
        <f>IF(H452="","",IFERROR(VLOOKUP(H452,Listas!$J$2:$K$1048576,2,FALSE),""))</f>
        <v/>
      </c>
      <c r="K452" s="5" t="str">
        <f>IF(OR(I452="",G452=""),"",IF(G452="Saída",-I452,I452))</f>
        <v/>
      </c>
      <c r="L452" t="str">
        <f>IF(E452="","",IFERROR(VLOOKUP(E452,Listas!$A$2:$C$1048576,3,FALSE),""))</f>
        <v/>
      </c>
    </row>
    <row r="453" spans="10:12" x14ac:dyDescent="0.25">
      <c r="J453" t="str">
        <f>IF(H453="","",IFERROR(VLOOKUP(H453,Listas!$J$2:$K$1048576,2,FALSE),""))</f>
        <v/>
      </c>
      <c r="K453" s="5" t="str">
        <f>IF(OR(I453="",G453=""),"",IF(G453="Saída",-I453,I453))</f>
        <v/>
      </c>
      <c r="L453" t="str">
        <f>IF(E453="","",IFERROR(VLOOKUP(E453,Listas!$A$2:$C$1048576,3,FALSE),""))</f>
        <v/>
      </c>
    </row>
    <row r="454" spans="10:12" x14ac:dyDescent="0.25">
      <c r="J454" t="str">
        <f>IF(H454="","",IFERROR(VLOOKUP(H454,Listas!$J$2:$K$1048576,2,FALSE),""))</f>
        <v/>
      </c>
      <c r="K454" s="5" t="str">
        <f>IF(OR(I454="",G454=""),"",IF(G454="Saída",-I454,I454))</f>
        <v/>
      </c>
      <c r="L454" t="str">
        <f>IF(E454="","",IFERROR(VLOOKUP(E454,Listas!$A$2:$C$1048576,3,FALSE),""))</f>
        <v/>
      </c>
    </row>
    <row r="455" spans="10:12" x14ac:dyDescent="0.25">
      <c r="J455" t="str">
        <f>IF(H455="","",IFERROR(VLOOKUP(H455,Listas!$J$2:$K$1048576,2,FALSE),""))</f>
        <v/>
      </c>
      <c r="K455" s="5" t="str">
        <f>IF(OR(I455="",G455=""),"",IF(G455="Saída",-I455,I455))</f>
        <v/>
      </c>
      <c r="L455" t="str">
        <f>IF(E455="","",IFERROR(VLOOKUP(E455,Listas!$A$2:$C$1048576,3,FALSE),""))</f>
        <v/>
      </c>
    </row>
    <row r="456" spans="10:12" x14ac:dyDescent="0.25">
      <c r="J456" t="str">
        <f>IF(H456="","",IFERROR(VLOOKUP(H456,Listas!$J$2:$K$1048576,2,FALSE),""))</f>
        <v/>
      </c>
      <c r="K456" s="5" t="str">
        <f>IF(OR(I456="",G456=""),"",IF(G456="Saída",-I456,I456))</f>
        <v/>
      </c>
      <c r="L456" t="str">
        <f>IF(E456="","",IFERROR(VLOOKUP(E456,Listas!$A$2:$C$1048576,3,FALSE),""))</f>
        <v/>
      </c>
    </row>
    <row r="457" spans="10:12" x14ac:dyDescent="0.25">
      <c r="J457" t="str">
        <f>IF(H457="","",IFERROR(VLOOKUP(H457,Listas!$J$2:$K$1048576,2,FALSE),""))</f>
        <v/>
      </c>
      <c r="K457" s="5" t="str">
        <f>IF(OR(I457="",G457=""),"",IF(G457="Saída",-I457,I457))</f>
        <v/>
      </c>
      <c r="L457" t="str">
        <f>IF(E457="","",IFERROR(VLOOKUP(E457,Listas!$A$2:$C$1048576,3,FALSE),""))</f>
        <v/>
      </c>
    </row>
    <row r="458" spans="10:12" x14ac:dyDescent="0.25">
      <c r="J458" t="str">
        <f>IF(H458="","",IFERROR(VLOOKUP(H458,Listas!$J$2:$K$1048576,2,FALSE),""))</f>
        <v/>
      </c>
      <c r="K458" s="5" t="str">
        <f>IF(OR(I458="",G458=""),"",IF(G458="Saída",-I458,I458))</f>
        <v/>
      </c>
      <c r="L458" t="str">
        <f>IF(E458="","",IFERROR(VLOOKUP(E458,Listas!$A$2:$C$1048576,3,FALSE),""))</f>
        <v/>
      </c>
    </row>
    <row r="459" spans="10:12" x14ac:dyDescent="0.25">
      <c r="J459" t="str">
        <f>IF(H459="","",IFERROR(VLOOKUP(H459,Listas!$J$2:$K$1048576,2,FALSE),""))</f>
        <v/>
      </c>
      <c r="K459" s="5" t="str">
        <f>IF(OR(I459="",G459=""),"",IF(G459="Saída",-I459,I459))</f>
        <v/>
      </c>
      <c r="L459" t="str">
        <f>IF(E459="","",IFERROR(VLOOKUP(E459,Listas!$A$2:$C$1048576,3,FALSE),""))</f>
        <v/>
      </c>
    </row>
    <row r="460" spans="10:12" x14ac:dyDescent="0.25">
      <c r="J460" t="str">
        <f>IF(H460="","",IFERROR(VLOOKUP(H460,Listas!$J$2:$K$1048576,2,FALSE),""))</f>
        <v/>
      </c>
      <c r="K460" s="5" t="str">
        <f>IF(OR(I460="",G460=""),"",IF(G460="Saída",-I460,I460))</f>
        <v/>
      </c>
      <c r="L460" t="str">
        <f>IF(E460="","",IFERROR(VLOOKUP(E460,Listas!$A$2:$C$1048576,3,FALSE),""))</f>
        <v/>
      </c>
    </row>
    <row r="461" spans="10:12" x14ac:dyDescent="0.25">
      <c r="J461" t="str">
        <f>IF(H461="","",IFERROR(VLOOKUP(H461,Listas!$J$2:$K$1048576,2,FALSE),""))</f>
        <v/>
      </c>
      <c r="K461" s="5" t="str">
        <f>IF(OR(I461="",G461=""),"",IF(G461="Saída",-I461,I461))</f>
        <v/>
      </c>
      <c r="L461" t="str">
        <f>IF(E461="","",IFERROR(VLOOKUP(E461,Listas!$A$2:$C$1048576,3,FALSE),""))</f>
        <v/>
      </c>
    </row>
    <row r="462" spans="10:12" x14ac:dyDescent="0.25">
      <c r="J462" t="str">
        <f>IF(H462="","",IFERROR(VLOOKUP(H462,Listas!$J$2:$K$1048576,2,FALSE),""))</f>
        <v/>
      </c>
      <c r="K462" s="5" t="str">
        <f>IF(OR(I462="",G462=""),"",IF(G462="Saída",-I462,I462))</f>
        <v/>
      </c>
      <c r="L462" t="str">
        <f>IF(E462="","",IFERROR(VLOOKUP(E462,Listas!$A$2:$C$1048576,3,FALSE),""))</f>
        <v/>
      </c>
    </row>
    <row r="463" spans="10:12" x14ac:dyDescent="0.25">
      <c r="J463" t="str">
        <f>IF(H463="","",IFERROR(VLOOKUP(H463,Listas!$J$2:$K$1048576,2,FALSE),""))</f>
        <v/>
      </c>
      <c r="K463" s="5" t="str">
        <f>IF(OR(I463="",G463=""),"",IF(G463="Saída",-I463,I463))</f>
        <v/>
      </c>
      <c r="L463" t="str">
        <f>IF(E463="","",IFERROR(VLOOKUP(E463,Listas!$A$2:$C$1048576,3,FALSE),""))</f>
        <v/>
      </c>
    </row>
    <row r="464" spans="10:12" x14ac:dyDescent="0.25">
      <c r="J464" t="str">
        <f>IF(H464="","",IFERROR(VLOOKUP(H464,Listas!$J$2:$K$1048576,2,FALSE),""))</f>
        <v/>
      </c>
      <c r="K464" s="5" t="str">
        <f>IF(OR(I464="",G464=""),"",IF(G464="Saída",-I464,I464))</f>
        <v/>
      </c>
      <c r="L464" t="str">
        <f>IF(E464="","",IFERROR(VLOOKUP(E464,Listas!$A$2:$C$1048576,3,FALSE),""))</f>
        <v/>
      </c>
    </row>
    <row r="465" spans="10:12" x14ac:dyDescent="0.25">
      <c r="J465" t="str">
        <f>IF(H465="","",IFERROR(VLOOKUP(H465,Listas!$J$2:$K$1048576,2,FALSE),""))</f>
        <v/>
      </c>
      <c r="K465" s="5" t="str">
        <f>IF(OR(I465="",G465=""),"",IF(G465="Saída",-I465,I465))</f>
        <v/>
      </c>
      <c r="L465" t="str">
        <f>IF(E465="","",IFERROR(VLOOKUP(E465,Listas!$A$2:$C$1048576,3,FALSE),""))</f>
        <v/>
      </c>
    </row>
    <row r="466" spans="10:12" x14ac:dyDescent="0.25">
      <c r="J466" t="str">
        <f>IF(H466="","",IFERROR(VLOOKUP(H466,Listas!$J$2:$K$1048576,2,FALSE),""))</f>
        <v/>
      </c>
      <c r="K466" s="5" t="str">
        <f>IF(OR(I466="",G466=""),"",IF(G466="Saída",-I466,I466))</f>
        <v/>
      </c>
      <c r="L466" t="str">
        <f>IF(E466="","",IFERROR(VLOOKUP(E466,Listas!$A$2:$C$1048576,3,FALSE),""))</f>
        <v/>
      </c>
    </row>
    <row r="467" spans="10:12" x14ac:dyDescent="0.25">
      <c r="J467" t="str">
        <f>IF(H467="","",IFERROR(VLOOKUP(H467,Listas!$J$2:$K$1048576,2,FALSE),""))</f>
        <v/>
      </c>
      <c r="K467" s="5" t="str">
        <f>IF(OR(I467="",G467=""),"",IF(G467="Saída",-I467,I467))</f>
        <v/>
      </c>
      <c r="L467" t="str">
        <f>IF(E467="","",IFERROR(VLOOKUP(E467,Listas!$A$2:$C$1048576,3,FALSE),""))</f>
        <v/>
      </c>
    </row>
    <row r="468" spans="10:12" x14ac:dyDescent="0.25">
      <c r="J468" t="str">
        <f>IF(H468="","",IFERROR(VLOOKUP(H468,Listas!$J$2:$K$1048576,2,FALSE),""))</f>
        <v/>
      </c>
      <c r="K468" s="5" t="str">
        <f>IF(OR(I468="",G468=""),"",IF(G468="Saída",-I468,I468))</f>
        <v/>
      </c>
      <c r="L468" t="str">
        <f>IF(E468="","",IFERROR(VLOOKUP(E468,Listas!$A$2:$C$1048576,3,FALSE),""))</f>
        <v/>
      </c>
    </row>
    <row r="469" spans="10:12" x14ac:dyDescent="0.25">
      <c r="J469" t="str">
        <f>IF(H469="","",IFERROR(VLOOKUP(H469,Listas!$J$2:$K$1048576,2,FALSE),""))</f>
        <v/>
      </c>
      <c r="K469" s="5" t="str">
        <f>IF(OR(I469="",G469=""),"",IF(G469="Saída",-I469,I469))</f>
        <v/>
      </c>
      <c r="L469" t="str">
        <f>IF(E469="","",IFERROR(VLOOKUP(E469,Listas!$A$2:$C$1048576,3,FALSE),""))</f>
        <v/>
      </c>
    </row>
    <row r="470" spans="10:12" x14ac:dyDescent="0.25">
      <c r="J470" t="str">
        <f>IF(H470="","",IFERROR(VLOOKUP(H470,Listas!$J$2:$K$1048576,2,FALSE),""))</f>
        <v/>
      </c>
      <c r="K470" s="5" t="str">
        <f>IF(OR(I470="",G470=""),"",IF(G470="Saída",-I470,I470))</f>
        <v/>
      </c>
      <c r="L470" t="str">
        <f>IF(E470="","",IFERROR(VLOOKUP(E470,Listas!$A$2:$C$1048576,3,FALSE),""))</f>
        <v/>
      </c>
    </row>
    <row r="471" spans="10:12" x14ac:dyDescent="0.25">
      <c r="J471" t="str">
        <f>IF(H471="","",IFERROR(VLOOKUP(H471,Listas!$J$2:$K$1048576,2,FALSE),""))</f>
        <v/>
      </c>
      <c r="K471" s="5" t="str">
        <f>IF(OR(I471="",G471=""),"",IF(G471="Saída",-I471,I471))</f>
        <v/>
      </c>
      <c r="L471" t="str">
        <f>IF(E471="","",IFERROR(VLOOKUP(E471,Listas!$A$2:$C$1048576,3,FALSE),""))</f>
        <v/>
      </c>
    </row>
    <row r="472" spans="10:12" x14ac:dyDescent="0.25">
      <c r="J472" t="str">
        <f>IF(H472="","",IFERROR(VLOOKUP(H472,Listas!$J$2:$K$1048576,2,FALSE),""))</f>
        <v/>
      </c>
      <c r="K472" s="5" t="str">
        <f>IF(OR(I472="",G472=""),"",IF(G472="Saída",-I472,I472))</f>
        <v/>
      </c>
      <c r="L472" t="str">
        <f>IF(E472="","",IFERROR(VLOOKUP(E472,Listas!$A$2:$C$1048576,3,FALSE),""))</f>
        <v/>
      </c>
    </row>
    <row r="473" spans="10:12" x14ac:dyDescent="0.25">
      <c r="J473" t="str">
        <f>IF(H473="","",IFERROR(VLOOKUP(H473,Listas!$J$2:$K$1048576,2,FALSE),""))</f>
        <v/>
      </c>
      <c r="K473" s="5" t="str">
        <f>IF(OR(I473="",G473=""),"",IF(G473="Saída",-I473,I473))</f>
        <v/>
      </c>
      <c r="L473" t="str">
        <f>IF(E473="","",IFERROR(VLOOKUP(E473,Listas!$A$2:$C$1048576,3,FALSE),""))</f>
        <v/>
      </c>
    </row>
    <row r="474" spans="10:12" x14ac:dyDescent="0.25">
      <c r="J474" t="str">
        <f>IF(H474="","",IFERROR(VLOOKUP(H474,Listas!$J$2:$K$1048576,2,FALSE),""))</f>
        <v/>
      </c>
      <c r="K474" s="5" t="str">
        <f>IF(OR(I474="",G474=""),"",IF(G474="Saída",-I474,I474))</f>
        <v/>
      </c>
      <c r="L474" t="str">
        <f>IF(E474="","",IFERROR(VLOOKUP(E474,Listas!$A$2:$C$1048576,3,FALSE),""))</f>
        <v/>
      </c>
    </row>
    <row r="475" spans="10:12" x14ac:dyDescent="0.25">
      <c r="J475" t="str">
        <f>IF(H475="","",IFERROR(VLOOKUP(H475,Listas!$J$2:$K$1048576,2,FALSE),""))</f>
        <v/>
      </c>
      <c r="K475" s="5" t="str">
        <f>IF(OR(I475="",G475=""),"",IF(G475="Saída",-I475,I475))</f>
        <v/>
      </c>
      <c r="L475" t="str">
        <f>IF(E475="","",IFERROR(VLOOKUP(E475,Listas!$A$2:$C$1048576,3,FALSE),""))</f>
        <v/>
      </c>
    </row>
    <row r="476" spans="10:12" x14ac:dyDescent="0.25">
      <c r="J476" t="str">
        <f>IF(H476="","",IFERROR(VLOOKUP(H476,Listas!$J$2:$K$1048576,2,FALSE),""))</f>
        <v/>
      </c>
      <c r="K476" s="5" t="str">
        <f>IF(OR(I476="",G476=""),"",IF(G476="Saída",-I476,I476))</f>
        <v/>
      </c>
      <c r="L476" t="str">
        <f>IF(E476="","",IFERROR(VLOOKUP(E476,Listas!$A$2:$C$1048576,3,FALSE),""))</f>
        <v/>
      </c>
    </row>
    <row r="477" spans="10:12" x14ac:dyDescent="0.25">
      <c r="J477" t="str">
        <f>IF(H477="","",IFERROR(VLOOKUP(H477,Listas!$J$2:$K$1048576,2,FALSE),""))</f>
        <v/>
      </c>
      <c r="K477" s="5" t="str">
        <f>IF(OR(I477="",G477=""),"",IF(G477="Saída",-I477,I477))</f>
        <v/>
      </c>
      <c r="L477" t="str">
        <f>IF(E477="","",IFERROR(VLOOKUP(E477,Listas!$A$2:$C$1048576,3,FALSE),""))</f>
        <v/>
      </c>
    </row>
    <row r="478" spans="10:12" x14ac:dyDescent="0.25">
      <c r="J478" t="str">
        <f>IF(H478="","",IFERROR(VLOOKUP(H478,Listas!$J$2:$K$1048576,2,FALSE),""))</f>
        <v/>
      </c>
      <c r="K478" s="5" t="str">
        <f>IF(OR(I478="",G478=""),"",IF(G478="Saída",-I478,I478))</f>
        <v/>
      </c>
      <c r="L478" t="str">
        <f>IF(E478="","",IFERROR(VLOOKUP(E478,Listas!$A$2:$C$1048576,3,FALSE),""))</f>
        <v/>
      </c>
    </row>
    <row r="479" spans="10:12" x14ac:dyDescent="0.25">
      <c r="J479" t="str">
        <f>IF(H479="","",IFERROR(VLOOKUP(H479,Listas!$J$2:$K$1048576,2,FALSE),""))</f>
        <v/>
      </c>
      <c r="K479" s="5" t="str">
        <f>IF(OR(I479="",G479=""),"",IF(G479="Saída",-I479,I479))</f>
        <v/>
      </c>
      <c r="L479" t="str">
        <f>IF(E479="","",IFERROR(VLOOKUP(E479,Listas!$A$2:$C$1048576,3,FALSE),""))</f>
        <v/>
      </c>
    </row>
    <row r="480" spans="10:12" x14ac:dyDescent="0.25">
      <c r="J480" t="str">
        <f>IF(H480="","",IFERROR(VLOOKUP(H480,Listas!$J$2:$K$1048576,2,FALSE),""))</f>
        <v/>
      </c>
      <c r="K480" s="5" t="str">
        <f>IF(OR(I480="",G480=""),"",IF(G480="Saída",-I480,I480))</f>
        <v/>
      </c>
      <c r="L480" t="str">
        <f>IF(E480="","",IFERROR(VLOOKUP(E480,Listas!$A$2:$C$1048576,3,FALSE),""))</f>
        <v/>
      </c>
    </row>
    <row r="481" spans="10:12" x14ac:dyDescent="0.25">
      <c r="J481" t="str">
        <f>IF(H481="","",IFERROR(VLOOKUP(H481,Listas!$J$2:$K$1048576,2,FALSE),""))</f>
        <v/>
      </c>
      <c r="K481" s="5" t="str">
        <f>IF(OR(I481="",G481=""),"",IF(G481="Saída",-I481,I481))</f>
        <v/>
      </c>
      <c r="L481" t="str">
        <f>IF(E481="","",IFERROR(VLOOKUP(E481,Listas!$A$2:$C$1048576,3,FALSE),""))</f>
        <v/>
      </c>
    </row>
    <row r="482" spans="10:12" x14ac:dyDescent="0.25">
      <c r="J482" t="str">
        <f>IF(H482="","",IFERROR(VLOOKUP(H482,Listas!$J$2:$K$1048576,2,FALSE),""))</f>
        <v/>
      </c>
      <c r="K482" s="5" t="str">
        <f>IF(OR(I482="",G482=""),"",IF(G482="Saída",-I482,I482))</f>
        <v/>
      </c>
      <c r="L482" t="str">
        <f>IF(E482="","",IFERROR(VLOOKUP(E482,Listas!$A$2:$C$1048576,3,FALSE),""))</f>
        <v/>
      </c>
    </row>
    <row r="483" spans="10:12" x14ac:dyDescent="0.25">
      <c r="J483" t="str">
        <f>IF(H483="","",IFERROR(VLOOKUP(H483,Listas!$J$2:$K$1048576,2,FALSE),""))</f>
        <v/>
      </c>
      <c r="K483" s="5" t="str">
        <f>IF(OR(I483="",G483=""),"",IF(G483="Saída",-I483,I483))</f>
        <v/>
      </c>
      <c r="L483" t="str">
        <f>IF(E483="","",IFERROR(VLOOKUP(E483,Listas!$A$2:$C$1048576,3,FALSE),""))</f>
        <v/>
      </c>
    </row>
    <row r="484" spans="10:12" x14ac:dyDescent="0.25">
      <c r="J484" t="str">
        <f>IF(H484="","",IFERROR(VLOOKUP(H484,Listas!$J$2:$K$1048576,2,FALSE),""))</f>
        <v/>
      </c>
      <c r="K484" s="5" t="str">
        <f>IF(OR(I484="",G484=""),"",IF(G484="Saída",-I484,I484))</f>
        <v/>
      </c>
      <c r="L484" t="str">
        <f>IF(E484="","",IFERROR(VLOOKUP(E484,Listas!$A$2:$C$1048576,3,FALSE),""))</f>
        <v/>
      </c>
    </row>
    <row r="485" spans="10:12" x14ac:dyDescent="0.25">
      <c r="J485" t="str">
        <f>IF(H485="","",IFERROR(VLOOKUP(H485,Listas!$J$2:$K$1048576,2,FALSE),""))</f>
        <v/>
      </c>
      <c r="K485" s="5" t="str">
        <f>IF(OR(I485="",G485=""),"",IF(G485="Saída",-I485,I485))</f>
        <v/>
      </c>
      <c r="L485" t="str">
        <f>IF(E485="","",IFERROR(VLOOKUP(E485,Listas!$A$2:$C$1048576,3,FALSE),""))</f>
        <v/>
      </c>
    </row>
    <row r="486" spans="10:12" x14ac:dyDescent="0.25">
      <c r="J486" t="str">
        <f>IF(H486="","",IFERROR(VLOOKUP(H486,Listas!$J$2:$K$1048576,2,FALSE),""))</f>
        <v/>
      </c>
      <c r="K486" s="5" t="str">
        <f>IF(OR(I486="",G486=""),"",IF(G486="Saída",-I486,I486))</f>
        <v/>
      </c>
      <c r="L486" t="str">
        <f>IF(E486="","",IFERROR(VLOOKUP(E486,Listas!$A$2:$C$1048576,3,FALSE),""))</f>
        <v/>
      </c>
    </row>
    <row r="487" spans="10:12" x14ac:dyDescent="0.25">
      <c r="J487" t="str">
        <f>IF(H487="","",IFERROR(VLOOKUP(H487,Listas!$J$2:$K$1048576,2,FALSE),""))</f>
        <v/>
      </c>
      <c r="K487" s="5" t="str">
        <f>IF(OR(I487="",G487=""),"",IF(G487="Saída",-I487,I487))</f>
        <v/>
      </c>
      <c r="L487" t="str">
        <f>IF(E487="","",IFERROR(VLOOKUP(E487,Listas!$A$2:$C$1048576,3,FALSE),""))</f>
        <v/>
      </c>
    </row>
    <row r="488" spans="10:12" x14ac:dyDescent="0.25">
      <c r="J488" t="str">
        <f>IF(H488="","",IFERROR(VLOOKUP(H488,Listas!$J$2:$K$1048576,2,FALSE),""))</f>
        <v/>
      </c>
      <c r="K488" s="5" t="str">
        <f>IF(OR(I488="",G488=""),"",IF(G488="Saída",-I488,I488))</f>
        <v/>
      </c>
      <c r="L488" t="str">
        <f>IF(E488="","",IFERROR(VLOOKUP(E488,Listas!$A$2:$C$1048576,3,FALSE),""))</f>
        <v/>
      </c>
    </row>
    <row r="489" spans="10:12" x14ac:dyDescent="0.25">
      <c r="J489" t="str">
        <f>IF(H489="","",IFERROR(VLOOKUP(H489,Listas!$J$2:$K$1048576,2,FALSE),""))</f>
        <v/>
      </c>
      <c r="K489" s="5" t="str">
        <f>IF(OR(I489="",G489=""),"",IF(G489="Saída",-I489,I489))</f>
        <v/>
      </c>
      <c r="L489" t="str">
        <f>IF(E489="","",IFERROR(VLOOKUP(E489,Listas!$A$2:$C$1048576,3,FALSE),""))</f>
        <v/>
      </c>
    </row>
    <row r="490" spans="10:12" x14ac:dyDescent="0.25">
      <c r="J490" t="str">
        <f>IF(H490="","",IFERROR(VLOOKUP(H490,Listas!$J$2:$K$1048576,2,FALSE),""))</f>
        <v/>
      </c>
      <c r="K490" s="5" t="str">
        <f>IF(OR(I490="",G490=""),"",IF(G490="Saída",-I490,I490))</f>
        <v/>
      </c>
      <c r="L490" t="str">
        <f>IF(E490="","",IFERROR(VLOOKUP(E490,Listas!$A$2:$C$1048576,3,FALSE),""))</f>
        <v/>
      </c>
    </row>
    <row r="491" spans="10:12" x14ac:dyDescent="0.25">
      <c r="J491" t="str">
        <f>IF(H491="","",IFERROR(VLOOKUP(H491,Listas!$J$2:$K$1048576,2,FALSE),""))</f>
        <v/>
      </c>
      <c r="K491" s="5" t="str">
        <f>IF(OR(I491="",G491=""),"",IF(G491="Saída",-I491,I491))</f>
        <v/>
      </c>
      <c r="L491" t="str">
        <f>IF(E491="","",IFERROR(VLOOKUP(E491,Listas!$A$2:$C$1048576,3,FALSE),""))</f>
        <v/>
      </c>
    </row>
    <row r="492" spans="10:12" x14ac:dyDescent="0.25">
      <c r="J492" t="str">
        <f>IF(H492="","",IFERROR(VLOOKUP(H492,Listas!$J$2:$K$1048576,2,FALSE),""))</f>
        <v/>
      </c>
      <c r="K492" s="5" t="str">
        <f>IF(OR(I492="",G492=""),"",IF(G492="Saída",-I492,I492))</f>
        <v/>
      </c>
      <c r="L492" t="str">
        <f>IF(E492="","",IFERROR(VLOOKUP(E492,Listas!$A$2:$C$1048576,3,FALSE),""))</f>
        <v/>
      </c>
    </row>
    <row r="493" spans="10:12" x14ac:dyDescent="0.25">
      <c r="J493" t="str">
        <f>IF(H493="","",IFERROR(VLOOKUP(H493,Listas!$J$2:$K$1048576,2,FALSE),""))</f>
        <v/>
      </c>
      <c r="K493" s="5" t="str">
        <f>IF(OR(I493="",G493=""),"",IF(G493="Saída",-I493,I493))</f>
        <v/>
      </c>
      <c r="L493" t="str">
        <f>IF(E493="","",IFERROR(VLOOKUP(E493,Listas!$A$2:$C$1048576,3,FALSE),""))</f>
        <v/>
      </c>
    </row>
    <row r="494" spans="10:12" x14ac:dyDescent="0.25">
      <c r="J494" t="str">
        <f>IF(H494="","",IFERROR(VLOOKUP(H494,Listas!$J$2:$K$1048576,2,FALSE),""))</f>
        <v/>
      </c>
      <c r="K494" s="5" t="str">
        <f>IF(OR(I494="",G494=""),"",IF(G494="Saída",-I494,I494))</f>
        <v/>
      </c>
      <c r="L494" t="str">
        <f>IF(E494="","",IFERROR(VLOOKUP(E494,Listas!$A$2:$C$1048576,3,FALSE),""))</f>
        <v/>
      </c>
    </row>
    <row r="495" spans="10:12" x14ac:dyDescent="0.25">
      <c r="J495" t="str">
        <f>IF(H495="","",IFERROR(VLOOKUP(H495,Listas!$J$2:$K$1048576,2,FALSE),""))</f>
        <v/>
      </c>
      <c r="K495" s="5" t="str">
        <f>IF(OR(I495="",G495=""),"",IF(G495="Saída",-I495,I495))</f>
        <v/>
      </c>
      <c r="L495" t="str">
        <f>IF(E495="","",IFERROR(VLOOKUP(E495,Listas!$A$2:$C$1048576,3,FALSE),""))</f>
        <v/>
      </c>
    </row>
    <row r="496" spans="10:12" x14ac:dyDescent="0.25">
      <c r="J496" t="str">
        <f>IF(H496="","",IFERROR(VLOOKUP(H496,Listas!$J$2:$K$1048576,2,FALSE),""))</f>
        <v/>
      </c>
      <c r="K496" s="5" t="str">
        <f>IF(OR(I496="",G496=""),"",IF(G496="Saída",-I496,I496))</f>
        <v/>
      </c>
      <c r="L496" t="str">
        <f>IF(E496="","",IFERROR(VLOOKUP(E496,Listas!$A$2:$C$1048576,3,FALSE),""))</f>
        <v/>
      </c>
    </row>
    <row r="497" spans="10:12" x14ac:dyDescent="0.25">
      <c r="J497" t="str">
        <f>IF(H497="","",IFERROR(VLOOKUP(H497,Listas!$J$2:$K$1048576,2,FALSE),""))</f>
        <v/>
      </c>
      <c r="K497" s="5" t="str">
        <f>IF(OR(I497="",G497=""),"",IF(G497="Saída",-I497,I497))</f>
        <v/>
      </c>
      <c r="L497" t="str">
        <f>IF(E497="","",IFERROR(VLOOKUP(E497,Listas!$A$2:$C$1048576,3,FALSE),""))</f>
        <v/>
      </c>
    </row>
    <row r="498" spans="10:12" x14ac:dyDescent="0.25">
      <c r="J498" t="str">
        <f>IF(H498="","",IFERROR(VLOOKUP(H498,Listas!$J$2:$K$1048576,2,FALSE),""))</f>
        <v/>
      </c>
      <c r="K498" s="5" t="str">
        <f>IF(OR(I498="",G498=""),"",IF(G498="Saída",-I498,I498))</f>
        <v/>
      </c>
      <c r="L498" t="str">
        <f>IF(E498="","",IFERROR(VLOOKUP(E498,Listas!$A$2:$C$1048576,3,FALSE),""))</f>
        <v/>
      </c>
    </row>
    <row r="499" spans="10:12" x14ac:dyDescent="0.25">
      <c r="J499" t="str">
        <f>IF(H499="","",IFERROR(VLOOKUP(H499,Listas!$J$2:$K$1048576,2,FALSE),""))</f>
        <v/>
      </c>
      <c r="K499" s="5" t="str">
        <f>IF(OR(I499="",G499=""),"",IF(G499="Saída",-I499,I499))</f>
        <v/>
      </c>
      <c r="L499" t="str">
        <f>IF(E499="","",IFERROR(VLOOKUP(E499,Listas!$A$2:$C$1048576,3,FALSE),""))</f>
        <v/>
      </c>
    </row>
    <row r="500" spans="10:12" x14ac:dyDescent="0.25">
      <c r="J500" t="str">
        <f>IF(H500="","",IFERROR(VLOOKUP(H500,Listas!$J$2:$K$1048576,2,FALSE),""))</f>
        <v/>
      </c>
      <c r="K500" s="5" t="str">
        <f>IF(OR(I500="",G500=""),"",IF(G500="Saída",-I500,I500))</f>
        <v/>
      </c>
      <c r="L500" t="str">
        <f>IF(E500="","",IFERROR(VLOOKUP(E500,Listas!$A$2:$C$1048576,3,FALSE),""))</f>
        <v/>
      </c>
    </row>
  </sheetData>
  <dataValidations count="5">
    <dataValidation type="list" allowBlank="1" showErrorMessage="1" errorStyle="stop" errorTitle="Valor inválido" error="Escolha um dos valores da lista." sqref="D2:D1048576">
      <formula1>Listas!$H$2:$H$1048576</formula1>
    </dataValidation>
    <dataValidation type="list" allowBlank="1" showErrorMessage="1" errorStyle="stop" errorTitle="Valor inválido" error="Escolha um dos valores da lista." sqref="E2:E1048576">
      <formula1>Listas!$A$2:$A$1048576</formula1>
    </dataValidation>
    <dataValidation type="list" allowBlank="1" showErrorMessage="1" errorStyle="stop" errorTitle="Valor inválido" error="Escolha um dos valores da lista." sqref="F2:F1048576">
      <formula1>Listas!$E$2:$E$1048576</formula1>
    </dataValidation>
    <dataValidation type="list" allowBlank="1" showErrorMessage="1" errorStyle="stop" errorTitle="Valor inválido" error="Escolha um dos valores da lista." sqref="G2:G1048576">
      <formula1>"Entrada,Saída"</formula1>
    </dataValidation>
    <dataValidation type="list" allowBlank="1" showErrorMessage="1" errorStyle="stop" errorTitle="Valor inválido" error="Escolha um dos valores da lista." sqref="H2:H1048576">
      <formula1>Listas!$J$2:$J$1048576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style="5" customWidth="1"/>
    <col min="6" max="7" width="13" style="4" customWidth="1"/>
    <col min="8" max="8" width="36" customWidth="1"/>
  </cols>
  <sheetData>
    <row r="1" spans="1:8" s="6" customFormat="1" x14ac:dyDescent="0.25">
      <c r="A1" s="7" t="s">
        <v>30</v>
      </c>
      <c r="B1" s="7" t="s">
        <v>73</v>
      </c>
      <c r="C1" s="7" t="s">
        <v>26</v>
      </c>
      <c r="D1" s="7" t="s">
        <v>27</v>
      </c>
      <c r="E1" s="7" t="s">
        <v>32</v>
      </c>
      <c r="F1" s="7" t="s">
        <v>74</v>
      </c>
      <c r="G1" s="7" t="s">
        <v>75</v>
      </c>
      <c r="H1" s="7" t="s">
        <v>76</v>
      </c>
    </row>
    <row r="2" spans="1:8" x14ac:dyDescent="0.25">
      <c r="A2" t="s">
        <v>77</v>
      </c>
      <c r="B2" t="s">
        <v>78</v>
      </c>
      <c r="C2" t="s">
        <v>79</v>
      </c>
      <c r="D2" t="s">
        <v>38</v>
      </c>
      <c r="E2" s="5">
        <v>250</v>
      </c>
      <c r="F2" s="4">
        <v>46063</v>
      </c>
      <c r="H2" t="s">
        <v>80</v>
      </c>
    </row>
    <row r="3" spans="1:6" x14ac:dyDescent="0.25">
      <c r="A3" t="s">
        <v>81</v>
      </c>
      <c r="B3" t="s">
        <v>82</v>
      </c>
      <c r="C3" t="s">
        <v>83</v>
      </c>
      <c r="D3" t="s">
        <v>84</v>
      </c>
      <c r="E3" s="5">
        <v>180</v>
      </c>
      <c r="F3" s="4">
        <v>46073</v>
      </c>
    </row>
  </sheetData>
  <dataValidations count="2">
    <dataValidation type="list" allowBlank="1" showErrorMessage="1" errorStyle="stop" errorTitle="Valor inválido" error="Escolha um dos valores da lista." sqref="A2:A1048576">
      <formula1>"A receber,A pagar"</formula1>
    </dataValidation>
    <dataValidation type="list" allowBlank="1" showErrorMessage="1" errorStyle="stop" errorTitle="Valor inválido" error="Escolha um dos valores da lista." sqref="D2:D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style="5" customWidth="1"/>
  </cols>
  <sheetData>
    <row r="1" spans="1:5" s="6" customFormat="1" x14ac:dyDescent="0.25">
      <c r="A1" s="7" t="s">
        <v>85</v>
      </c>
      <c r="B1" s="7" t="s">
        <v>30</v>
      </c>
      <c r="C1" s="7" t="s">
        <v>28</v>
      </c>
      <c r="D1" s="7" t="s">
        <v>29</v>
      </c>
      <c r="E1" s="7" t="s">
        <v>86</v>
      </c>
    </row>
    <row r="2" spans="1:5" x14ac:dyDescent="0.25">
      <c r="A2" t="s">
        <v>38</v>
      </c>
      <c r="B2" t="s">
        <v>41</v>
      </c>
      <c r="C2" t="s">
        <v>39</v>
      </c>
      <c r="D2" t="s">
        <v>40</v>
      </c>
      <c r="E2" s="5">
        <v>400</v>
      </c>
    </row>
    <row r="3" spans="1:5" x14ac:dyDescent="0.25">
      <c r="A3" t="s">
        <v>38</v>
      </c>
      <c r="B3" t="s">
        <v>47</v>
      </c>
      <c r="C3" t="s">
        <v>50</v>
      </c>
      <c r="D3" t="s">
        <v>51</v>
      </c>
      <c r="E3" s="5">
        <v>300</v>
      </c>
    </row>
    <row r="4" spans="1:5" x14ac:dyDescent="0.25">
      <c r="A4" t="s">
        <v>87</v>
      </c>
      <c r="B4" t="s">
        <v>47</v>
      </c>
      <c r="C4" t="s">
        <v>45</v>
      </c>
      <c r="E4" s="5">
        <v>200</v>
      </c>
    </row>
  </sheetData>
  <dataValidations count="3">
    <dataValidation type="list" allowBlank="1" showErrorMessage="1" errorStyle="stop" errorTitle="Valor inválido" error="Escolha um dos valores da lista." sqref="B2:B1048576">
      <formula1>"Entrada,Saída"</formula1>
    </dataValidation>
    <dataValidation type="list" allowBlank="1" showErrorMessage="1" errorStyle="stop" errorTitle="Valor inválido" error="Escolha um dos valores da lista." sqref="C2:C1048576">
      <formula1>Listas!$A$2:$A$1048576</formula1>
    </dataValidation>
    <dataValidation type="list" allowBlank="1" showErrorMessage="1" errorStyle="stop" errorTitle="Valor inválido" error="Escolha um dos valores da lista." sqref="D2:D1048576">
      <formula1>Listas!$E$2:$E$1048576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20" customWidth="1"/>
    <col min="3" max="3" width="28" customWidth="1"/>
    <col min="4" max="4" width="14" customWidth="1"/>
    <col min="5" max="5" width="10" customWidth="1"/>
    <col min="6" max="6" width="16" style="5" customWidth="1"/>
  </cols>
  <sheetData>
    <row r="1" spans="1:6" s="6" customFormat="1" x14ac:dyDescent="0.25">
      <c r="A1" s="7" t="s">
        <v>24</v>
      </c>
      <c r="B1" s="7" t="s">
        <v>27</v>
      </c>
      <c r="C1" s="7" t="s">
        <v>30</v>
      </c>
      <c r="D1" s="7" t="s">
        <v>88</v>
      </c>
      <c r="E1" s="7" t="s">
        <v>89</v>
      </c>
      <c r="F1" s="7" t="s">
        <v>90</v>
      </c>
    </row>
    <row r="2" spans="1:6" x14ac:dyDescent="0.25">
      <c r="A2" s="4">
        <v>46067</v>
      </c>
      <c r="B2" t="s">
        <v>38</v>
      </c>
      <c r="C2" t="s">
        <v>91</v>
      </c>
      <c r="D2" t="s">
        <v>92</v>
      </c>
      <c r="F2" s="5">
        <v>150</v>
      </c>
    </row>
    <row r="3" spans="2:5" x14ac:dyDescent="0.25">
      <c r="B3" t="s">
        <v>84</v>
      </c>
      <c r="C3" t="s">
        <v>93</v>
      </c>
      <c r="D3" t="s">
        <v>94</v>
      </c>
      <c r="E3">
        <v>5</v>
      </c>
    </row>
  </sheetData>
  <dataValidations count="1">
    <dataValidation type="list" allowBlank="1" showErrorMessage="1" errorStyle="stop" errorTitle="Valor inválido" error="Escolha um dos valores da lista." sqref="B2:B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10" customWidth="1"/>
    <col min="3" max="3" width="16" style="5" customWidth="1"/>
    <col min="4" max="4" width="12" customWidth="1"/>
  </cols>
  <sheetData>
    <row r="1" spans="1:4" s="6" customFormat="1" x14ac:dyDescent="0.25">
      <c r="A1" s="7" t="s">
        <v>24</v>
      </c>
      <c r="B1" s="7" t="s">
        <v>33</v>
      </c>
      <c r="C1" s="7" t="s">
        <v>95</v>
      </c>
      <c r="D1" s="7" t="s">
        <v>96</v>
      </c>
    </row>
    <row r="2" spans="1:4" x14ac:dyDescent="0.25">
      <c r="A2" s="4">
        <v>46053</v>
      </c>
      <c r="B2" t="s">
        <v>42</v>
      </c>
      <c r="C2" s="5">
        <v>150</v>
      </c>
      <c r="D2" t="s">
        <v>97</v>
      </c>
    </row>
    <row r="3" spans="1:4" x14ac:dyDescent="0.25">
      <c r="A3" s="4">
        <v>46053</v>
      </c>
      <c r="B3" t="s">
        <v>52</v>
      </c>
      <c r="C3" s="5">
        <v>3000</v>
      </c>
      <c r="D3" t="s">
        <v>98</v>
      </c>
    </row>
    <row r="4" spans="1:4" x14ac:dyDescent="0.25">
      <c r="A4" s="4">
        <v>46081</v>
      </c>
      <c r="B4" t="s">
        <v>42</v>
      </c>
      <c r="C4" s="5">
        <v>122</v>
      </c>
      <c r="D4" t="s">
        <v>97</v>
      </c>
    </row>
    <row r="5" spans="1:4" x14ac:dyDescent="0.25">
      <c r="A5" s="4">
        <v>46081</v>
      </c>
      <c r="B5" t="s">
        <v>52</v>
      </c>
      <c r="C5" s="5">
        <v>3085.5</v>
      </c>
      <c r="D5" t="s">
        <v>98</v>
      </c>
    </row>
  </sheetData>
  <dataValidations count="2">
    <dataValidation type="list" allowBlank="1" showErrorMessage="1" errorStyle="stop" errorTitle="Valor inválido" error="Escolha um dos valores da lista." sqref="B2:B1048576">
      <formula1>"Caixa,Banco"</formula1>
    </dataValidation>
    <dataValidation type="list" allowBlank="1" showErrorMessage="1" errorStyle="stop" errorTitle="Valor inválido" error="Escolha um dos valores da lista." sqref="D2:D1048576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0" customWidth="1"/>
    <col min="3" max="3" width="14" customWidth="1"/>
    <col min="5" max="5" width="26" customWidth="1"/>
    <col min="6" max="6" width="30" customWidth="1"/>
    <col min="8" max="8" width="22" customWidth="1"/>
    <col min="10" max="10" width="14" customWidth="1"/>
    <col min="11" max="11" width="10" customWidth="1"/>
  </cols>
  <sheetData>
    <row r="1" spans="1:11" s="6" customFormat="1" x14ac:dyDescent="0.25">
      <c r="A1" s="6" t="s">
        <v>28</v>
      </c>
      <c r="B1" s="6" t="s">
        <v>30</v>
      </c>
      <c r="C1" s="6" t="s">
        <v>35</v>
      </c>
      <c r="E1" s="6" t="s">
        <v>29</v>
      </c>
      <c r="F1" s="6" t="s">
        <v>28</v>
      </c>
      <c r="H1" s="6" t="s">
        <v>27</v>
      </c>
      <c r="J1" s="6" t="s">
        <v>31</v>
      </c>
      <c r="K1" s="6" t="s">
        <v>33</v>
      </c>
    </row>
    <row r="2" spans="1:11" x14ac:dyDescent="0.25">
      <c r="A2" t="s">
        <v>99</v>
      </c>
      <c r="B2" t="s">
        <v>41</v>
      </c>
      <c r="C2" t="s">
        <v>100</v>
      </c>
      <c r="E2" t="s">
        <v>101</v>
      </c>
      <c r="F2" t="s">
        <v>102</v>
      </c>
      <c r="H2" t="s">
        <v>70</v>
      </c>
      <c r="J2" t="s">
        <v>42</v>
      </c>
      <c r="K2" t="s">
        <v>42</v>
      </c>
    </row>
    <row r="3" spans="1:11" x14ac:dyDescent="0.25">
      <c r="A3" t="s">
        <v>103</v>
      </c>
      <c r="B3" t="s">
        <v>41</v>
      </c>
      <c r="C3" t="s">
        <v>100</v>
      </c>
      <c r="E3" t="s">
        <v>104</v>
      </c>
      <c r="F3" t="s">
        <v>102</v>
      </c>
      <c r="H3" t="s">
        <v>38</v>
      </c>
      <c r="J3" t="s">
        <v>52</v>
      </c>
      <c r="K3" t="s">
        <v>52</v>
      </c>
    </row>
    <row r="4" spans="1:11" x14ac:dyDescent="0.25">
      <c r="A4" t="s">
        <v>102</v>
      </c>
      <c r="B4" t="s">
        <v>41</v>
      </c>
      <c r="C4" t="s">
        <v>100</v>
      </c>
      <c r="E4" t="s">
        <v>105</v>
      </c>
      <c r="F4" t="s">
        <v>102</v>
      </c>
      <c r="H4" t="s">
        <v>63</v>
      </c>
      <c r="J4" t="s">
        <v>106</v>
      </c>
      <c r="K4" t="s">
        <v>52</v>
      </c>
    </row>
    <row r="5" spans="1:11" x14ac:dyDescent="0.25">
      <c r="A5" t="s">
        <v>107</v>
      </c>
      <c r="B5" t="s">
        <v>41</v>
      </c>
      <c r="C5" t="s">
        <v>100</v>
      </c>
      <c r="E5" t="s">
        <v>108</v>
      </c>
      <c r="F5" t="s">
        <v>39</v>
      </c>
      <c r="H5" t="s">
        <v>84</v>
      </c>
      <c r="J5" t="s">
        <v>60</v>
      </c>
      <c r="K5" t="s">
        <v>52</v>
      </c>
    </row>
    <row r="6" spans="1:6" x14ac:dyDescent="0.25">
      <c r="A6" t="s">
        <v>39</v>
      </c>
      <c r="B6" t="s">
        <v>41</v>
      </c>
      <c r="C6" t="s">
        <v>100</v>
      </c>
      <c r="E6" t="s">
        <v>40</v>
      </c>
      <c r="F6" t="s">
        <v>39</v>
      </c>
    </row>
    <row r="7" spans="1:6" x14ac:dyDescent="0.25">
      <c r="A7" t="s">
        <v>58</v>
      </c>
      <c r="B7" t="s">
        <v>41</v>
      </c>
      <c r="C7" t="s">
        <v>100</v>
      </c>
      <c r="E7" t="s">
        <v>59</v>
      </c>
      <c r="F7" t="s">
        <v>58</v>
      </c>
    </row>
    <row r="8" spans="1:6" x14ac:dyDescent="0.25">
      <c r="A8" t="s">
        <v>55</v>
      </c>
      <c r="B8" t="s">
        <v>41</v>
      </c>
      <c r="C8" t="s">
        <v>100</v>
      </c>
      <c r="E8" t="s">
        <v>109</v>
      </c>
      <c r="F8" t="s">
        <v>58</v>
      </c>
    </row>
    <row r="9" spans="1:6" x14ac:dyDescent="0.25">
      <c r="A9" t="s">
        <v>110</v>
      </c>
      <c r="B9" t="s">
        <v>41</v>
      </c>
      <c r="C9" t="s">
        <v>100</v>
      </c>
      <c r="E9" t="s">
        <v>56</v>
      </c>
      <c r="F9" t="s">
        <v>55</v>
      </c>
    </row>
    <row r="10" spans="1:6" x14ac:dyDescent="0.25">
      <c r="A10" t="s">
        <v>50</v>
      </c>
      <c r="B10" t="s">
        <v>47</v>
      </c>
      <c r="C10" t="s">
        <v>100</v>
      </c>
      <c r="E10" t="s">
        <v>111</v>
      </c>
      <c r="F10" t="s">
        <v>110</v>
      </c>
    </row>
    <row r="11" spans="1:6" x14ac:dyDescent="0.25">
      <c r="A11" t="s">
        <v>64</v>
      </c>
      <c r="B11" t="s">
        <v>47</v>
      </c>
      <c r="C11" t="s">
        <v>100</v>
      </c>
      <c r="E11" t="s">
        <v>51</v>
      </c>
      <c r="F11" t="s">
        <v>50</v>
      </c>
    </row>
    <row r="12" spans="1:6" x14ac:dyDescent="0.25">
      <c r="A12" t="s">
        <v>112</v>
      </c>
      <c r="B12" t="s">
        <v>47</v>
      </c>
      <c r="C12" t="s">
        <v>100</v>
      </c>
      <c r="E12" t="s">
        <v>113</v>
      </c>
      <c r="F12" t="s">
        <v>50</v>
      </c>
    </row>
    <row r="13" spans="1:6" x14ac:dyDescent="0.25">
      <c r="A13" t="s">
        <v>114</v>
      </c>
      <c r="B13" t="s">
        <v>47</v>
      </c>
      <c r="C13" t="s">
        <v>100</v>
      </c>
      <c r="E13" t="s">
        <v>115</v>
      </c>
      <c r="F13" t="s">
        <v>64</v>
      </c>
    </row>
    <row r="14" spans="1:6" x14ac:dyDescent="0.25">
      <c r="A14" t="s">
        <v>116</v>
      </c>
      <c r="B14" t="s">
        <v>47</v>
      </c>
      <c r="C14" t="s">
        <v>100</v>
      </c>
      <c r="E14" t="s">
        <v>65</v>
      </c>
      <c r="F14" t="s">
        <v>64</v>
      </c>
    </row>
    <row r="15" spans="1:6" x14ac:dyDescent="0.25">
      <c r="A15" t="s">
        <v>117</v>
      </c>
      <c r="B15" t="s">
        <v>47</v>
      </c>
      <c r="C15" t="s">
        <v>100</v>
      </c>
      <c r="E15" t="s">
        <v>118</v>
      </c>
      <c r="F15" t="s">
        <v>112</v>
      </c>
    </row>
    <row r="16" spans="1:6" x14ac:dyDescent="0.25">
      <c r="A16" t="s">
        <v>119</v>
      </c>
      <c r="B16" t="s">
        <v>47</v>
      </c>
      <c r="C16" t="s">
        <v>100</v>
      </c>
      <c r="E16" t="s">
        <v>120</v>
      </c>
      <c r="F16" t="s">
        <v>116</v>
      </c>
    </row>
    <row r="17" spans="1:6" x14ac:dyDescent="0.25">
      <c r="A17" t="s">
        <v>45</v>
      </c>
      <c r="B17" t="s">
        <v>47</v>
      </c>
      <c r="C17" t="s">
        <v>100</v>
      </c>
      <c r="E17" t="s">
        <v>121</v>
      </c>
      <c r="F17" t="s">
        <v>116</v>
      </c>
    </row>
    <row r="18" spans="1:6" x14ac:dyDescent="0.25">
      <c r="A18" t="s">
        <v>122</v>
      </c>
      <c r="B18" t="s">
        <v>47</v>
      </c>
      <c r="C18" t="s">
        <v>100</v>
      </c>
      <c r="E18" t="s">
        <v>123</v>
      </c>
      <c r="F18" t="s">
        <v>119</v>
      </c>
    </row>
    <row r="19" spans="1:6" x14ac:dyDescent="0.25">
      <c r="A19" t="s">
        <v>124</v>
      </c>
      <c r="B19" t="s">
        <v>47</v>
      </c>
      <c r="C19" t="s">
        <v>100</v>
      </c>
      <c r="E19" t="s">
        <v>46</v>
      </c>
      <c r="F19" t="s">
        <v>45</v>
      </c>
    </row>
    <row r="20" spans="1:6" x14ac:dyDescent="0.25">
      <c r="A20" t="s">
        <v>125</v>
      </c>
      <c r="B20" t="s">
        <v>47</v>
      </c>
      <c r="C20" t="s">
        <v>100</v>
      </c>
      <c r="E20" t="s">
        <v>126</v>
      </c>
      <c r="F20" t="s">
        <v>122</v>
      </c>
    </row>
    <row r="21" spans="1:6" x14ac:dyDescent="0.25">
      <c r="A21" t="s">
        <v>71</v>
      </c>
      <c r="C21" t="s">
        <v>127</v>
      </c>
      <c r="E21" t="s">
        <v>128</v>
      </c>
      <c r="F21" t="s">
        <v>124</v>
      </c>
    </row>
    <row r="22" spans="5:6" x14ac:dyDescent="0.25">
      <c r="E22" t="s">
        <v>129</v>
      </c>
      <c r="F22" t="s">
        <v>125</v>
      </c>
    </row>
    <row r="23" spans="5:6" x14ac:dyDescent="0.25">
      <c r="E23" t="s">
        <v>111</v>
      </c>
      <c r="F23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Instruções</vt:lpstr>
      <vt:lpstr>Movimentos</vt:lpstr>
      <vt:lpstr>Pendentes</vt:lpstr>
      <vt:lpstr>Orçamento</vt:lpstr>
      <vt:lpstr>Géneros</vt:lpstr>
      <vt:lpstr>Saldos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