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ções" state="visible" r:id="rId4"/>
    <sheet sheetId="2" name="Listas" state="visible" r:id="rId5"/>
    <sheet sheetId="3" name="Saldos" state="visible" r:id="rId6"/>
    <sheet sheetId="4" name="Movimentos" state="visible" r:id="rId7"/>
    <sheet sheetId="5" name="Pendentes" state="visible" r:id="rId8"/>
    <sheet sheetId="6" name="Orçamento" state="visible" r:id="rId9"/>
    <sheet sheetId="7" name="Géneros" state="visible" r:id="rId10"/>
    <sheet sheetId="8" name="CITADÃO 2026" state="visible" r:id="rId11"/>
    <sheet sheetId="9" name="Zumba 2026" state="visible" r:id="rId12"/>
    <sheet sheetId="10" name="Pegada 2026" state="visible" r:id="rId13"/>
    <sheet sheetId="11" name="Letivo 2025-26" state="visible" r:id="rId14"/>
    <sheet sheetId="12" name="Fiscal 2025" state="visible" r:id="rId15"/>
  </sheet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Categorias dos movimentos. Esta lista aparece nas listas suspensas dos outros separadores. Acrescente as suas no fim da coluna.</t>
        </r>
      </text>
    </comment>
    <comment ref="B1" authorId="0">
      <text>
        <r>
          <t>Entrada (receita) ou Saída (despesa) desta rubrica.</t>
        </r>
      </text>
    </comment>
    <comment ref="C1" authorId="0">
      <text>
        <r>
          <t>Sim: o movimento é receita ou despesa. Não: só muda o dinheiro disponível (por exemplo, transferências entre caixa e banco).</t>
        </r>
      </text>
    </comment>
    <comment ref="E1" authorId="0">
      <text>
        <r>
          <t>Divisões de uma rubrica. Mantenha as sub-rubricas da mesma rubrica juntas.</t>
        </r>
      </text>
    </comment>
    <comment ref="F1" authorId="0">
      <text>
        <r>
          <t>A rubrica a que cada sub-rubrica pertence.</t>
        </r>
      </text>
    </comment>
    <comment ref="H1" authorId="0">
      <text>
        <r>
          <t>Eventos e outras atividades. Use uma atividade por edição de um evento. Esta lista aparece nas listas suspensas dos outros separadores.</t>
        </r>
      </text>
    </comment>
    <comment ref="J1" authorId="0">
      <text>
        <r>
          <t>Como o dinheiro entrou ou saiu.</t>
        </r>
      </text>
    </comment>
    <comment ref="K1" authorId="0">
      <text>
        <r>
          <t>Caixa ou Banco: onde fica o dinheiro deste meio.</t>
        </r>
      </text>
    </comment>
    <comment ref="M1" authorId="0">
      <text>
        <r>
          <t>Nomes dos orçamentos (o nome de uma atividade ou um ano). Acrescente aqui cada orçamento que usar no separador Orçamento.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J1" authorId="0">
      <text>
        <r>
          <t>Calculada automaticamente a partir das outras colunas. Não escreva nesta coluna.</t>
        </r>
      </text>
    </comment>
    <comment ref="K1" authorId="0">
      <text>
        <r>
          <t>Calculada automaticamente a partir das outras colunas. Não escreva nesta coluna.</t>
        </r>
      </text>
    </comment>
    <comment ref="L1" authorId="0">
      <text>
        <r>
          <t>Calculada automaticamente a partir das outras colunas. Não escreva nesta coluna.</t>
        </r>
      </text>
    </comment>
  </commentList>
</comments>
</file>

<file path=xl/sharedStrings.xml><?xml version="1.0" encoding="utf-8"?>
<sst xmlns="http://schemas.openxmlformats.org/spreadsheetml/2006/main" count="1482" uniqueCount="316">
  <si>
    <t>Tesouraria fictícia do TUNADÃO 1998</t>
  </si>
  <si>
    <t>Dados inventados, encadeados de janeiro de 2024 a setembro de 2026, usados para testar o gerador de relatórios. Nenhuma linha é real.</t>
  </si>
  <si>
    <t>Rubrica</t>
  </si>
  <si>
    <t>Tipo</t>
  </si>
  <si>
    <t>Conta como receita ou despesa</t>
  </si>
  <si>
    <t>Sub-rubrica</t>
  </si>
  <si>
    <t>Atividade</t>
  </si>
  <si>
    <t>Meio</t>
  </si>
  <si>
    <t>Conta</t>
  </si>
  <si>
    <t>Orçamento</t>
  </si>
  <si>
    <t>Quotas</t>
  </si>
  <si>
    <t>Entrada</t>
  </si>
  <si>
    <t>Sim</t>
  </si>
  <si>
    <t>Apoio CMV</t>
  </si>
  <si>
    <t>Subsídios e apoios</t>
  </si>
  <si>
    <t>Funcionamento</t>
  </si>
  <si>
    <t>Caixa</t>
  </si>
  <si>
    <t>20º CITADÃO</t>
  </si>
  <si>
    <t>Donativos</t>
  </si>
  <si>
    <t>Apoio UPV (via AE ESAV)</t>
  </si>
  <si>
    <t>Zumba na Caneca 2024</t>
  </si>
  <si>
    <t>Banco</t>
  </si>
  <si>
    <t>2025</t>
  </si>
  <si>
    <t>Apoio Junta de Freguesia</t>
  </si>
  <si>
    <t>Zumba na Caneca 2025</t>
  </si>
  <si>
    <t>MB Way</t>
  </si>
  <si>
    <t>Atuações e serenatas</t>
  </si>
  <si>
    <t>Inscrições de tunas</t>
  </si>
  <si>
    <t>Inscrições e bilheteira</t>
  </si>
  <si>
    <t>Zumba na Caneca</t>
  </si>
  <si>
    <t>TPA</t>
  </si>
  <si>
    <t>Bilheteira</t>
  </si>
  <si>
    <t>18º CITADÃO</t>
  </si>
  <si>
    <t>Bar e merchandising</t>
  </si>
  <si>
    <t>Inscrições</t>
  </si>
  <si>
    <t>19º CITADÃO</t>
  </si>
  <si>
    <t>Patrocínios</t>
  </si>
  <si>
    <t>Bar</t>
  </si>
  <si>
    <t>Outros recebimentos</t>
  </si>
  <si>
    <t>Merchandising</t>
  </si>
  <si>
    <t>Festivais</t>
  </si>
  <si>
    <t>Produção (som, luz, palco)</t>
  </si>
  <si>
    <t>Saída</t>
  </si>
  <si>
    <t>Patrocínio do evento</t>
  </si>
  <si>
    <t>Alimentação e alojamento</t>
  </si>
  <si>
    <t>Outros</t>
  </si>
  <si>
    <t>Compras para o bar</t>
  </si>
  <si>
    <t>Som e luz</t>
  </si>
  <si>
    <t>Deslocações</t>
  </si>
  <si>
    <t>Palco e estruturas</t>
  </si>
  <si>
    <t>Prémios e troféus</t>
  </si>
  <si>
    <t>Refeições das tunas</t>
  </si>
  <si>
    <t>Instrumentos e manutenção</t>
  </si>
  <si>
    <t>Alojamento</t>
  </si>
  <si>
    <t>Merchandising e trajes</t>
  </si>
  <si>
    <t>Bebidas e consumíveis</t>
  </si>
  <si>
    <t>Comunicação e gráfica</t>
  </si>
  <si>
    <t>Prémios</t>
  </si>
  <si>
    <t>Seguros e despesas bancárias</t>
  </si>
  <si>
    <t>Júri</t>
  </si>
  <si>
    <t>Taxas e licenças</t>
  </si>
  <si>
    <t>T-shirts</t>
  </si>
  <si>
    <t>Outros pagamentos</t>
  </si>
  <si>
    <t>Cartazes e impressões</t>
  </si>
  <si>
    <t>Transferências internas</t>
  </si>
  <si>
    <t>Entrada e Saída</t>
  </si>
  <si>
    <t>Não</t>
  </si>
  <si>
    <t>Seguro</t>
  </si>
  <si>
    <t>Despesas bancárias</t>
  </si>
  <si>
    <t>Licenças e SPA</t>
  </si>
  <si>
    <t>Diversos</t>
  </si>
  <si>
    <t>Data</t>
  </si>
  <si>
    <t>Saldo (€)</t>
  </si>
  <si>
    <t>Fonte</t>
  </si>
  <si>
    <t>Declarado</t>
  </si>
  <si>
    <t>Contagem</t>
  </si>
  <si>
    <t>Extrato</t>
  </si>
  <si>
    <t>N.º doc</t>
  </si>
  <si>
    <t>Descrição</t>
  </si>
  <si>
    <t>Valor (€)</t>
  </si>
  <si>
    <t>Conta (automático)</t>
  </si>
  <si>
    <t>Efeito no saldo (€) (automático)</t>
  </si>
  <si>
    <t>Conta como receita ou despesa (automático)</t>
  </si>
  <si>
    <t>R-001</t>
  </si>
  <si>
    <t>Quotas 2024 (44 membros)</t>
  </si>
  <si>
    <t>P-001</t>
  </si>
  <si>
    <t>Deslocação a festival de tunas</t>
  </si>
  <si>
    <t>P-002</t>
  </si>
  <si>
    <t>P-003</t>
  </si>
  <si>
    <t>Canecas personalizadas</t>
  </si>
  <si>
    <t>R-002</t>
  </si>
  <si>
    <t>Patrocínio ginásio local</t>
  </si>
  <si>
    <t>P-004</t>
  </si>
  <si>
    <t>Licença de ruído e SPA</t>
  </si>
  <si>
    <t>R-003</t>
  </si>
  <si>
    <t>Apoio anual da Câmara Municipal</t>
  </si>
  <si>
    <t>P-005</t>
  </si>
  <si>
    <t>Aluguer de som</t>
  </si>
  <si>
    <t>P-006</t>
  </si>
  <si>
    <t>R-004</t>
  </si>
  <si>
    <t>R-005</t>
  </si>
  <si>
    <t>Receita de bar</t>
  </si>
  <si>
    <t>T-001</t>
  </si>
  <si>
    <t>Depósito do numerário do evento (saída)</t>
  </si>
  <si>
    <t>Depósito do numerário do evento (entrada)</t>
  </si>
  <si>
    <t>R-006</t>
  </si>
  <si>
    <t>Serenata para empresa</t>
  </si>
  <si>
    <t>P-007</t>
  </si>
  <si>
    <t>T-shirts do evento</t>
  </si>
  <si>
    <t>P-008</t>
  </si>
  <si>
    <t>Cartazes e programa</t>
  </si>
  <si>
    <t>R-007</t>
  </si>
  <si>
    <t>Patrocínios do evento</t>
  </si>
  <si>
    <t>R-008</t>
  </si>
  <si>
    <t>Apoio anual da universidade</t>
  </si>
  <si>
    <t>P-009</t>
  </si>
  <si>
    <t>P-010</t>
  </si>
  <si>
    <t>P-011</t>
  </si>
  <si>
    <t>R-009</t>
  </si>
  <si>
    <t>Inscrições das tunas</t>
  </si>
  <si>
    <t>P-012</t>
  </si>
  <si>
    <t>R-010</t>
  </si>
  <si>
    <t>R-011</t>
  </si>
  <si>
    <t>Bar (TPA)</t>
  </si>
  <si>
    <t>R-012</t>
  </si>
  <si>
    <t>T-002</t>
  </si>
  <si>
    <t>P-013</t>
  </si>
  <si>
    <t>P-014</t>
  </si>
  <si>
    <t>P-015</t>
  </si>
  <si>
    <t>R-013</t>
  </si>
  <si>
    <t>Donativo de antigo membro</t>
  </si>
  <si>
    <t>P-016</t>
  </si>
  <si>
    <t>Reparação de instrumentos</t>
  </si>
  <si>
    <t>R-014</t>
  </si>
  <si>
    <t>Atuação em casamento</t>
  </si>
  <si>
    <t>P-017</t>
  </si>
  <si>
    <t>P-018</t>
  </si>
  <si>
    <t>Som do Arraial</t>
  </si>
  <si>
    <t>P-019</t>
  </si>
  <si>
    <t>Compras para o bar do Arraial</t>
  </si>
  <si>
    <t>R-015</t>
  </si>
  <si>
    <t>Bar do Arraial</t>
  </si>
  <si>
    <t>P-020</t>
  </si>
  <si>
    <t>Material de escritório e diversos</t>
  </si>
  <si>
    <t>R-016</t>
  </si>
  <si>
    <t>Venda de material antigo</t>
  </si>
  <si>
    <t>P-021</t>
  </si>
  <si>
    <t>Seguro de equipamento</t>
  </si>
  <si>
    <t>R-017</t>
  </si>
  <si>
    <t>Quotas 2024 em numerário (15 membros)</t>
  </si>
  <si>
    <t>P-022</t>
  </si>
  <si>
    <t>Gasolina e portagens</t>
  </si>
  <si>
    <t>P-023</t>
  </si>
  <si>
    <t>Cordas e acessórios</t>
  </si>
  <si>
    <t>R-018</t>
  </si>
  <si>
    <t>Donativo em numerário</t>
  </si>
  <si>
    <t>R-019</t>
  </si>
  <si>
    <t>Atuação de Natal</t>
  </si>
  <si>
    <t>T-003</t>
  </si>
  <si>
    <t>Depósito de numerário (saída)</t>
  </si>
  <si>
    <t>Depósito de numerário (entrada)</t>
  </si>
  <si>
    <t>P-024</t>
  </si>
  <si>
    <t>Despesas bancárias de 2024</t>
  </si>
  <si>
    <t>Quotas 2025 (48 membros)</t>
  </si>
  <si>
    <t>Deslocação a atuação</t>
  </si>
  <si>
    <t>Apoio da Câmara Municipal (1.ª tranche)</t>
  </si>
  <si>
    <t>Apoio da universidade (via AE ESAV)</t>
  </si>
  <si>
    <t>Apoio da Junta de Freguesia</t>
  </si>
  <si>
    <t>Som do Arraial (pagamento parcial)</t>
  </si>
  <si>
    <t>Apoio da Junta de Freguesia ao funcionamento</t>
  </si>
  <si>
    <t>Atuação em jantar de curso</t>
  </si>
  <si>
    <t>Quotas 2025 em numerário (15 membros)</t>
  </si>
  <si>
    <t>R-020</t>
  </si>
  <si>
    <t>R-021</t>
  </si>
  <si>
    <t>R-022</t>
  </si>
  <si>
    <t>Despesas bancárias de 2025</t>
  </si>
  <si>
    <t>Apoio da Câmara Municipal (2.ª tranche do 19º CITADÃO)</t>
  </si>
  <si>
    <t>Fornecedor de som: saldo do Arraial 2025 (FT 2025/311)</t>
  </si>
  <si>
    <t>Apoio da Câmara Municipal</t>
  </si>
  <si>
    <t>Canecas personalizadas (300 un.)</t>
  </si>
  <si>
    <t>Inscrições (247 × 5 €)</t>
  </si>
  <si>
    <t>Donativos na caixa do evento</t>
  </si>
  <si>
    <t>Instrutora de zumba</t>
  </si>
  <si>
    <t>Seguro do evento</t>
  </si>
  <si>
    <t>Quotas 2026 (38 membros)</t>
  </si>
  <si>
    <t>Taxa de registo</t>
  </si>
  <si>
    <t>Quotas 2026 em numerário (17 membros)</t>
  </si>
  <si>
    <t>Bilheteira (TPA)</t>
  </si>
  <si>
    <t>Despesas bancárias de janeiro a maio</t>
  </si>
  <si>
    <t>P-025</t>
  </si>
  <si>
    <t>Donativo de angariação online</t>
  </si>
  <si>
    <t>P-026</t>
  </si>
  <si>
    <t>Aluguer de som em festival</t>
  </si>
  <si>
    <t>P-027</t>
  </si>
  <si>
    <t>Atuação em festival (cachet)</t>
  </si>
  <si>
    <t>Quotas recebidas (6 membros, regularização)</t>
  </si>
  <si>
    <t>Atuação · receção ao caloiro</t>
  </si>
  <si>
    <t>P-028</t>
  </si>
  <si>
    <t>Reparação de guitarra</t>
  </si>
  <si>
    <t>R-023</t>
  </si>
  <si>
    <t>Patrocinador do 20º CITADÃO (saldo)</t>
  </si>
  <si>
    <t>P-029</t>
  </si>
  <si>
    <t>Renovação do seguro do equipamento</t>
  </si>
  <si>
    <t>P-030</t>
  </si>
  <si>
    <t>Reembolso a membro (cordas, julho)</t>
  </si>
  <si>
    <t>P-031</t>
  </si>
  <si>
    <t>Despesas bancárias de setembro</t>
  </si>
  <si>
    <t>Entidade</t>
  </si>
  <si>
    <t>Data de registo</t>
  </si>
  <si>
    <t>Data de liquidação</t>
  </si>
  <si>
    <t>Notas</t>
  </si>
  <si>
    <t>A receber</t>
  </si>
  <si>
    <t>Câmara Municipal</t>
  </si>
  <si>
    <t>Apoio ao 19º CITADÃO: 2.ª tranche (Protocolo 2025)</t>
  </si>
  <si>
    <t>A pagar</t>
  </si>
  <si>
    <t>Fornecedor de som</t>
  </si>
  <si>
    <t>Saldo do Arraial 2025 (fatura FT 2025/311)</t>
  </si>
  <si>
    <t>Patrocinador do 20º CITADÃO</t>
  </si>
  <si>
    <t>Protocolo de 750 €: pagos 500 €, faltam 250 €</t>
  </si>
  <si>
    <t>Membros (6)</t>
  </si>
  <si>
    <t>Quotas 2026 em atraso (6 membros × 20 €)</t>
  </si>
  <si>
    <t>Lista de membros em anexo</t>
  </si>
  <si>
    <t>Membro da tuna</t>
  </si>
  <si>
    <t>Reembolso de cordas compradas em julho</t>
  </si>
  <si>
    <t>Talão anexo</t>
  </si>
  <si>
    <t>Noivos (exemplo)</t>
  </si>
  <si>
    <t>Atuação em casamento de outubro: sinal por receber</t>
  </si>
  <si>
    <t>Confirmado por e-mail</t>
  </si>
  <si>
    <t>Gráfica (exemplo)</t>
  </si>
  <si>
    <t>Cartazes do Arraial de outono</t>
  </si>
  <si>
    <t>Fatura a emitir</t>
  </si>
  <si>
    <t>Âmbito</t>
  </si>
  <si>
    <t>Orçado (€)</t>
  </si>
  <si>
    <t>Quantidade</t>
  </si>
  <si>
    <t>Em falta</t>
  </si>
  <si>
    <t>Valor estimado (€)</t>
  </si>
  <si>
    <t>UPV: cedência da Aula Magna, CAFAC e Pala do CAFAC</t>
  </si>
  <si>
    <t>4 dias</t>
  </si>
  <si>
    <t>CMV: transporte das tunas (autocarro municipal)</t>
  </si>
  <si>
    <t>2 viagens</t>
  </si>
  <si>
    <t>Ginásio parceiro: cadeiras e mesas</t>
  </si>
  <si>
    <t>150 un.</t>
  </si>
  <si>
    <t>Relatório</t>
  </si>
  <si>
    <t>Relatório de evento</t>
  </si>
  <si>
    <t>Versão do modelo</t>
  </si>
  <si>
    <t>Início do evento</t>
  </si>
  <si>
    <t>Opcional. Se só um dos dois estiver preenchido, o evento é de um dia.</t>
  </si>
  <si>
    <t>Fim do evento</t>
  </si>
  <si>
    <t>Contar movimentos até</t>
  </si>
  <si>
    <t>Opcional. Os movimentos depois desta data não entram.</t>
  </si>
  <si>
    <t>Pendentes à data de</t>
  </si>
  <si>
    <t>Em branco: a data de "Contar movimentos até" ou a do último movimento.</t>
  </si>
  <si>
    <t>Orçamento a usar</t>
  </si>
  <si>
    <t>Em branco: o orçamento com o nome da atividade.</t>
  </si>
  <si>
    <t>Indicadores</t>
  </si>
  <si>
    <t>Indicador</t>
  </si>
  <si>
    <t>Valor</t>
  </si>
  <si>
    <t>Bilhetes vendidos</t>
  </si>
  <si>
    <t>645</t>
  </si>
  <si>
    <t>Tunas participantes</t>
  </si>
  <si>
    <t>8</t>
  </si>
  <si>
    <t>Custo de acolhimento por tuna (refeições + alojamento)</t>
  </si>
  <si>
    <t>615,00 €</t>
  </si>
  <si>
    <t>Margem do bar (receita − compras)</t>
  </si>
  <si>
    <t>3.334,60 €</t>
  </si>
  <si>
    <t>Peso dos apoios públicos no recebido</t>
  </si>
  <si>
    <t>22,2%</t>
  </si>
  <si>
    <t>Um parágrafo por linha.</t>
  </si>
  <si>
    <t>Bilheteira e bar acima do orçado; patrocínios abaixo por falta de um protocolo. Para o próximo CITADÃO: fechar patrocínios até fevereiro e orçar alimentação com o preço por refeição já negociado.</t>
  </si>
  <si>
    <t>Assinaturas</t>
  </si>
  <si>
    <t>Escreva o nome ao lado de cada cargo.</t>
  </si>
  <si>
    <t>Cargo</t>
  </si>
  <si>
    <t>Nome</t>
  </si>
  <si>
    <t>Coordenação do evento</t>
  </si>
  <si>
    <t>Tesoureiro(a)</t>
  </si>
  <si>
    <t>247</t>
  </si>
  <si>
    <t>Por participante</t>
  </si>
  <si>
    <t>5,99 €</t>
  </si>
  <si>
    <t>O resultado do evento reverte para o 20º CITADÃO. O numerário do evento (2.777,50 € recebidos, 248,00 € pagos em mão) foi depositado no banco a 16/03/2026.</t>
  </si>
  <si>
    <t>Pegada de direção</t>
  </si>
  <si>
    <t>Data do último relatório</t>
  </si>
  <si>
    <t>Em branco: o fim do relatório anterior deste ficheiro.</t>
  </si>
  <si>
    <t>Data da passagem</t>
  </si>
  <si>
    <t>Direção cessante</t>
  </si>
  <si>
    <t>Direção 2025/26</t>
  </si>
  <si>
    <t>Direção entrante</t>
  </si>
  <si>
    <t>Direção 2026/27</t>
  </si>
  <si>
    <t>Saldo do extrato bancário na data da passagem (€)</t>
  </si>
  <si>
    <t>Moedas não contadas uma a uma (valor total, €)</t>
  </si>
  <si>
    <t>Moedas guardadas em saco ou rolo, sem contar uma a uma.</t>
  </si>
  <si>
    <t>Pagamentos emitidos ainda não debitados no extrato</t>
  </si>
  <si>
    <t>Cheques ou transferências feitos que o banco ainda não mostra.</t>
  </si>
  <si>
    <t>Depósitos ainda não creditados no extrato</t>
  </si>
  <si>
    <t>Depósitos feitos que o banco ainda não mostra.</t>
  </si>
  <si>
    <t>Contagem de caixa</t>
  </si>
  <si>
    <t>Denominação (€)</t>
  </si>
  <si>
    <t>Total (€)</t>
  </si>
  <si>
    <t>Valores, pendentes e acessos conferidos pelas duas direções e pelo Conselho Fiscal.</t>
  </si>
  <si>
    <t>Conselho Fiscal</t>
  </si>
  <si>
    <t>Fim de ano letivo</t>
  </si>
  <si>
    <t>Início do período</t>
  </si>
  <si>
    <t>Em branco: o dia seguinte ao fim do relatório anterior deste ficheiro.</t>
  </si>
  <si>
    <t>Fim do período</t>
  </si>
  <si>
    <t>Em branco: o relatório não tem secção de orçamento.</t>
  </si>
  <si>
    <t>Incluir a lista de movimentos</t>
  </si>
  <si>
    <t>Em branco: Sim.</t>
  </si>
  <si>
    <t>Ano letivo marcado pelo 20º CITADÃO e pela Zumba na Caneca. As quotas em atraso foram regularizadas em setembro.</t>
  </si>
  <si>
    <t>Presidente da Direção</t>
  </si>
  <si>
    <t>Fim de ano fiscal</t>
  </si>
  <si>
    <t>Ano</t>
  </si>
  <si>
    <t>Em branco: o orçamento com o nome do ano.</t>
  </si>
  <si>
    <t>Em branco: Não.</t>
  </si>
  <si>
    <t>Parecer do Conselho Fiscal</t>
  </si>
  <si>
    <t>O Conselho Fiscal verificou os mapas, os extratos bancários e os documentos de suporte e emite parecer favorável à aprovação das contas de 2025.</t>
  </si>
  <si>
    <t>Resultado de caixa positivo, com o saldo bancário conferido com o extrato de 31/12/2025.</t>
  </si>
  <si>
    <t>Presidente do Conselho 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</si>
</sst>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 &quot;€&quot;"/>
  </numFmts>
  <fonts count="8" x14ac:knownFonts="1">
    <font>
      <color theme="1"/>
      <family val="2"/>
      <scheme val="minor"/>
      <sz val="11"/>
      <name val="Calibri"/>
    </font>
    <font>
      <b/>
      <sz val="16"/>
    </font>
    <font>
      <b/>
      <color rgb="FF1D2F6F"/>
    </font>
    <font>
      <b/>
      <i/>
      <color rgb="FF6B7280"/>
    </font>
    <font>
      <color rgb="FF6B7280"/>
    </font>
    <font>
      <b/>
      <color rgb="FF1F2937"/>
    </font>
    <font>
      <i/>
      <color rgb="FF6B7280"/>
    </font>
    <font>
      <b/>
      <color rgb="FF1D2F6F"/>
      <sz val="12"/>
    </font>
  </fonts>
  <fills count="5">
    <fill>
      <patternFill patternType="none"/>
    </fill>
    <fill>
      <patternFill patternType="gray125"/>
    </fill>
    <fill>
      <patternFill patternType="solid">
        <fgColor rgb="FFE3E8F4"/>
      </patternFill>
    </fill>
    <fill>
      <patternFill patternType="solid">
        <fgColor rgb="FFE7E7E7"/>
      </patternFill>
    </fill>
    <fill>
      <patternFill patternType="solid">
        <fgColor rgb="FFF2F3F7"/>
      </patternFill>
    </fill>
  </fills>
  <borders count="3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  <border>
      <left/>
      <right/>
      <top/>
      <bottom style="medium">
        <color rgb="FF1D2F6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/>
    <xf numFmtId="49" fontId="2" fillId="2" borderId="1" xfId="0" applyNumberFormat="1" applyFont="1" applyFill="1" applyBorder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49" fontId="3" fillId="3" borderId="1" xfId="0" applyNumberFormat="1" applyFont="1" applyFill="1" applyBorder="1" applyAlignment="1">
      <alignment vertical="top" wrapText="1"/>
    </xf>
    <xf numFmtId="0" fontId="4" fillId="3" borderId="0" xfId="0" applyFont="1" applyFill="1"/>
    <xf numFmtId="165" fontId="4" fillId="3" borderId="0" xfId="0" applyNumberFormat="1" applyFont="1" applyFill="1"/>
    <xf numFmtId="49" fontId="5" fillId="4" borderId="1" xfId="0" applyNumberFormat="1" applyFont="1" applyFill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49" fontId="6" fillId="0" borderId="0" xfId="0" applyNumberFormat="1" applyFont="1" applyAlignment="1">
      <alignment vertical="top" wrapText="1"/>
    </xf>
    <xf numFmtId="49" fontId="7" fillId="0" borderId="2" xfId="0" applyNumberFormat="1" applyFont="1" applyBorder="1" applyAlignment="1">
      <alignment vertical="bottom" wrapText="1"/>
    </xf>
    <xf numFmtId="49" fontId="0" fillId="4" borderId="1" xfId="0" applyNumberFormat="1" applyFill="1" applyBorder="1" applyAlignment="1">
      <alignment horizontal="left" vertical="top"/>
    </xf>
    <xf numFmtId="165" fontId="0" fillId="0" borderId="1" xfId="0" applyNumberFormat="1" applyBorder="1" applyAlignment="1">
      <alignment vertical="top" wrapText="1"/>
    </xf>
    <xf numFmtId="165" fontId="0" fillId="4" borderId="1" xfId="0" applyNumberFormat="1" applyFill="1" applyBorder="1" applyAlignment="1">
      <alignment horizontal="left" vertical="top"/>
    </xf>
    <xf numFmtId="165" fontId="6" fillId="3" borderId="1" xfId="0" applyNumberFormat="1" applyFont="1" applyFill="1" applyBorder="1" applyAlignment="1">
      <alignment vertical="top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4" customWidth="1"/>
    <col min="2" max="2" width="38" customWidth="1"/>
    <col min="3" max="3" width="22" customWidth="1"/>
    <col min="4" max="4" width="28" customWidth="1"/>
    <col min="5" max="5" width="10" customWidth="1"/>
    <col min="6" max="6" width="12" customWidth="1"/>
    <col min="7" max="7" width="16" customWidth="1"/>
  </cols>
  <sheetData>
    <row r="1" spans="1:1" x14ac:dyDescent="0.25">
      <c r="A1" s="1" t="s">
        <v>0</v>
      </c>
    </row>
    <row r="2" ht="32" customHeight="1" spans="1:7" x14ac:dyDescent="0.25">
      <c r="A2" s="2" t="s">
        <v>1</v>
      </c>
      <c r="B2" s="2"/>
      <c r="C2" s="2"/>
      <c r="D2" s="2"/>
      <c r="E2" s="2"/>
      <c r="F2" s="2"/>
      <c r="G2" s="2"/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18" customWidth="1"/>
    <col min="5" max="5" width="26" customWidth="1"/>
    <col min="6" max="6" width="30" customWidth="1"/>
    <col min="8" max="8" width="26" customWidth="1"/>
    <col min="10" max="10" width="14" customWidth="1"/>
    <col min="11" max="11" width="10" customWidth="1"/>
    <col min="13" max="13" width="26" customWidth="1"/>
  </cols>
  <sheetData>
    <row r="1" spans="1:13" x14ac:dyDescent="0.25">
      <c r="A1" s="3" t="s">
        <v>2</v>
      </c>
      <c r="B1" s="3" t="s">
        <v>3</v>
      </c>
      <c r="C1" s="3" t="s">
        <v>4</v>
      </c>
      <c r="E1" s="3" t="s">
        <v>5</v>
      </c>
      <c r="F1" s="3" t="s">
        <v>2</v>
      </c>
      <c r="H1" s="3" t="s">
        <v>6</v>
      </c>
      <c r="J1" s="3" t="s">
        <v>7</v>
      </c>
      <c r="K1" s="3" t="s">
        <v>8</v>
      </c>
      <c r="M1" s="3" t="s">
        <v>9</v>
      </c>
    </row>
    <row r="2" spans="1:13" x14ac:dyDescent="0.25">
      <c r="A2" t="s">
        <v>10</v>
      </c>
      <c r="B2" t="s">
        <v>11</v>
      </c>
      <c r="C2" t="s">
        <v>12</v>
      </c>
      <c r="E2" t="s">
        <v>13</v>
      </c>
      <c r="F2" t="s">
        <v>14</v>
      </c>
      <c r="H2" t="s">
        <v>15</v>
      </c>
      <c r="J2" t="s">
        <v>16</v>
      </c>
      <c r="K2" t="s">
        <v>16</v>
      </c>
      <c r="M2" t="s">
        <v>17</v>
      </c>
    </row>
    <row r="3" spans="1:13" x14ac:dyDescent="0.25">
      <c r="A3" t="s">
        <v>18</v>
      </c>
      <c r="B3" t="s">
        <v>11</v>
      </c>
      <c r="C3" t="s">
        <v>12</v>
      </c>
      <c r="E3" t="s">
        <v>19</v>
      </c>
      <c r="F3" t="s">
        <v>14</v>
      </c>
      <c r="H3" t="s">
        <v>20</v>
      </c>
      <c r="J3" t="s">
        <v>21</v>
      </c>
      <c r="K3" t="s">
        <v>21</v>
      </c>
      <c r="M3" t="s">
        <v>22</v>
      </c>
    </row>
    <row r="4" spans="1:11" x14ac:dyDescent="0.25">
      <c r="A4" t="s">
        <v>14</v>
      </c>
      <c r="B4" t="s">
        <v>11</v>
      </c>
      <c r="C4" t="s">
        <v>12</v>
      </c>
      <c r="E4" t="s">
        <v>23</v>
      </c>
      <c r="F4" t="s">
        <v>14</v>
      </c>
      <c r="H4" t="s">
        <v>24</v>
      </c>
      <c r="J4" t="s">
        <v>25</v>
      </c>
      <c r="K4" t="s">
        <v>21</v>
      </c>
    </row>
    <row r="5" spans="1:11" x14ac:dyDescent="0.25">
      <c r="A5" t="s">
        <v>26</v>
      </c>
      <c r="B5" t="s">
        <v>11</v>
      </c>
      <c r="C5" t="s">
        <v>12</v>
      </c>
      <c r="E5" t="s">
        <v>27</v>
      </c>
      <c r="F5" t="s">
        <v>28</v>
      </c>
      <c r="H5" t="s">
        <v>29</v>
      </c>
      <c r="J5" t="s">
        <v>30</v>
      </c>
      <c r="K5" t="s">
        <v>21</v>
      </c>
    </row>
    <row r="6" spans="1:8" x14ac:dyDescent="0.25">
      <c r="A6" t="s">
        <v>28</v>
      </c>
      <c r="B6" t="s">
        <v>11</v>
      </c>
      <c r="C6" t="s">
        <v>12</v>
      </c>
      <c r="E6" t="s">
        <v>31</v>
      </c>
      <c r="F6" t="s">
        <v>28</v>
      </c>
      <c r="H6" t="s">
        <v>32</v>
      </c>
    </row>
    <row r="7" spans="1:8" x14ac:dyDescent="0.25">
      <c r="A7" t="s">
        <v>33</v>
      </c>
      <c r="B7" t="s">
        <v>11</v>
      </c>
      <c r="C7" t="s">
        <v>12</v>
      </c>
      <c r="E7" t="s">
        <v>34</v>
      </c>
      <c r="F7" t="s">
        <v>28</v>
      </c>
      <c r="H7" t="s">
        <v>35</v>
      </c>
    </row>
    <row r="8" spans="1:8" x14ac:dyDescent="0.25">
      <c r="A8" t="s">
        <v>36</v>
      </c>
      <c r="B8" t="s">
        <v>11</v>
      </c>
      <c r="C8" t="s">
        <v>12</v>
      </c>
      <c r="E8" t="s">
        <v>37</v>
      </c>
      <c r="F8" t="s">
        <v>33</v>
      </c>
      <c r="H8" t="s">
        <v>17</v>
      </c>
    </row>
    <row r="9" spans="1:8" x14ac:dyDescent="0.25">
      <c r="A9" t="s">
        <v>38</v>
      </c>
      <c r="B9" t="s">
        <v>11</v>
      </c>
      <c r="C9" t="s">
        <v>12</v>
      </c>
      <c r="E9" t="s">
        <v>39</v>
      </c>
      <c r="F9" t="s">
        <v>33</v>
      </c>
      <c r="H9" t="s">
        <v>40</v>
      </c>
    </row>
    <row r="10" spans="1:6" x14ac:dyDescent="0.25">
      <c r="A10" t="s">
        <v>41</v>
      </c>
      <c r="B10" t="s">
        <v>42</v>
      </c>
      <c r="C10" t="s">
        <v>12</v>
      </c>
      <c r="E10" t="s">
        <v>43</v>
      </c>
      <c r="F10" t="s">
        <v>36</v>
      </c>
    </row>
    <row r="11" spans="1:6" x14ac:dyDescent="0.25">
      <c r="A11" t="s">
        <v>44</v>
      </c>
      <c r="B11" t="s">
        <v>42</v>
      </c>
      <c r="C11" t="s">
        <v>12</v>
      </c>
      <c r="E11" t="s">
        <v>45</v>
      </c>
      <c r="F11" t="s">
        <v>38</v>
      </c>
    </row>
    <row r="12" spans="1:6" x14ac:dyDescent="0.25">
      <c r="A12" t="s">
        <v>46</v>
      </c>
      <c r="B12" t="s">
        <v>42</v>
      </c>
      <c r="C12" t="s">
        <v>12</v>
      </c>
      <c r="E12" t="s">
        <v>47</v>
      </c>
      <c r="F12" t="s">
        <v>41</v>
      </c>
    </row>
    <row r="13" spans="1:6" x14ac:dyDescent="0.25">
      <c r="A13" t="s">
        <v>48</v>
      </c>
      <c r="B13" t="s">
        <v>42</v>
      </c>
      <c r="C13" t="s">
        <v>12</v>
      </c>
      <c r="E13" t="s">
        <v>49</v>
      </c>
      <c r="F13" t="s">
        <v>41</v>
      </c>
    </row>
    <row r="14" spans="1:6" x14ac:dyDescent="0.25">
      <c r="A14" t="s">
        <v>50</v>
      </c>
      <c r="B14" t="s">
        <v>42</v>
      </c>
      <c r="C14" t="s">
        <v>12</v>
      </c>
      <c r="E14" t="s">
        <v>51</v>
      </c>
      <c r="F14" t="s">
        <v>44</v>
      </c>
    </row>
    <row r="15" spans="1:6" x14ac:dyDescent="0.25">
      <c r="A15" t="s">
        <v>52</v>
      </c>
      <c r="B15" t="s">
        <v>42</v>
      </c>
      <c r="C15" t="s">
        <v>12</v>
      </c>
      <c r="E15" t="s">
        <v>53</v>
      </c>
      <c r="F15" t="s">
        <v>44</v>
      </c>
    </row>
    <row r="16" spans="1:6" x14ac:dyDescent="0.25">
      <c r="A16" t="s">
        <v>54</v>
      </c>
      <c r="B16" t="s">
        <v>42</v>
      </c>
      <c r="C16" t="s">
        <v>12</v>
      </c>
      <c r="E16" t="s">
        <v>55</v>
      </c>
      <c r="F16" t="s">
        <v>46</v>
      </c>
    </row>
    <row r="17" spans="1:6" x14ac:dyDescent="0.25">
      <c r="A17" t="s">
        <v>56</v>
      </c>
      <c r="B17" t="s">
        <v>42</v>
      </c>
      <c r="C17" t="s">
        <v>12</v>
      </c>
      <c r="E17" t="s">
        <v>57</v>
      </c>
      <c r="F17" t="s">
        <v>50</v>
      </c>
    </row>
    <row r="18" spans="1:6" x14ac:dyDescent="0.25">
      <c r="A18" t="s">
        <v>58</v>
      </c>
      <c r="B18" t="s">
        <v>42</v>
      </c>
      <c r="C18" t="s">
        <v>12</v>
      </c>
      <c r="E18" t="s">
        <v>59</v>
      </c>
      <c r="F18" t="s">
        <v>50</v>
      </c>
    </row>
    <row r="19" spans="1:6" x14ac:dyDescent="0.25">
      <c r="A19" t="s">
        <v>60</v>
      </c>
      <c r="B19" t="s">
        <v>42</v>
      </c>
      <c r="C19" t="s">
        <v>12</v>
      </c>
      <c r="E19" t="s">
        <v>61</v>
      </c>
      <c r="F19" t="s">
        <v>54</v>
      </c>
    </row>
    <row r="20" spans="1:6" x14ac:dyDescent="0.25">
      <c r="A20" t="s">
        <v>62</v>
      </c>
      <c r="B20" t="s">
        <v>42</v>
      </c>
      <c r="C20" t="s">
        <v>12</v>
      </c>
      <c r="E20" t="s">
        <v>63</v>
      </c>
      <c r="F20" t="s">
        <v>56</v>
      </c>
    </row>
    <row r="21" spans="1:6" x14ac:dyDescent="0.25">
      <c r="A21" t="s">
        <v>64</v>
      </c>
      <c r="B21" t="s">
        <v>65</v>
      </c>
      <c r="C21" t="s">
        <v>66</v>
      </c>
      <c r="E21" t="s">
        <v>67</v>
      </c>
      <c r="F21" t="s">
        <v>58</v>
      </c>
    </row>
    <row r="22" spans="5:6" x14ac:dyDescent="0.25">
      <c r="E22" t="s">
        <v>68</v>
      </c>
      <c r="F22" t="s">
        <v>58</v>
      </c>
    </row>
    <row r="23" spans="5:6" x14ac:dyDescent="0.25">
      <c r="E23" t="s">
        <v>69</v>
      </c>
      <c r="F23" t="s">
        <v>60</v>
      </c>
    </row>
    <row r="24" spans="5:6" x14ac:dyDescent="0.25">
      <c r="E24" t="s">
        <v>70</v>
      </c>
      <c r="F24" t="s">
        <v>62</v>
      </c>
    </row>
    <row r="25" spans="5:6" x14ac:dyDescent="0.25">
      <c r="E25" t="s">
        <v>45</v>
      </c>
      <c r="F25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0" customWidth="1"/>
    <col min="3" max="3" width="16" customWidth="1"/>
    <col min="4" max="4" width="12" customWidth="1"/>
  </cols>
  <sheetData>
    <row r="1" ht="45" customHeight="1" spans="1:4" x14ac:dyDescent="0.25">
      <c r="A1" s="4" t="s">
        <v>71</v>
      </c>
      <c r="B1" s="4" t="s">
        <v>8</v>
      </c>
      <c r="C1" s="4" t="s">
        <v>72</v>
      </c>
      <c r="D1" s="4" t="s">
        <v>73</v>
      </c>
    </row>
    <row r="2" spans="1:4" x14ac:dyDescent="0.25">
      <c r="A2" s="5">
        <v>45291</v>
      </c>
      <c r="B2" t="s">
        <v>16</v>
      </c>
      <c r="C2" s="6">
        <v>150</v>
      </c>
      <c r="D2" t="s">
        <v>74</v>
      </c>
    </row>
    <row r="3" spans="1:4" x14ac:dyDescent="0.25">
      <c r="A3" s="5">
        <v>45291</v>
      </c>
      <c r="B3" t="s">
        <v>21</v>
      </c>
      <c r="C3" s="6">
        <v>1908.6</v>
      </c>
      <c r="D3" t="s">
        <v>74</v>
      </c>
    </row>
    <row r="4" spans="1:4" x14ac:dyDescent="0.25">
      <c r="A4" s="5">
        <v>45657</v>
      </c>
      <c r="B4" t="s">
        <v>16</v>
      </c>
      <c r="C4" s="6">
        <v>185.4</v>
      </c>
      <c r="D4" t="s">
        <v>75</v>
      </c>
    </row>
    <row r="5" spans="1:4" x14ac:dyDescent="0.25">
      <c r="A5" s="5">
        <v>45657</v>
      </c>
      <c r="B5" t="s">
        <v>21</v>
      </c>
      <c r="C5" s="6">
        <v>3912.75</v>
      </c>
      <c r="D5" t="s">
        <v>76</v>
      </c>
    </row>
    <row r="6" spans="1:4" x14ac:dyDescent="0.25">
      <c r="A6" s="5">
        <v>46022</v>
      </c>
      <c r="B6" t="s">
        <v>16</v>
      </c>
      <c r="C6" s="6">
        <v>240</v>
      </c>
      <c r="D6" t="s">
        <v>75</v>
      </c>
    </row>
    <row r="7" spans="1:4" x14ac:dyDescent="0.25">
      <c r="A7" s="5">
        <v>46022</v>
      </c>
      <c r="B7" t="s">
        <v>21</v>
      </c>
      <c r="C7" s="6">
        <v>5991.55</v>
      </c>
      <c r="D7" t="s">
        <v>76</v>
      </c>
    </row>
    <row r="8" spans="1:4" x14ac:dyDescent="0.25">
      <c r="A8" s="5">
        <v>46265</v>
      </c>
      <c r="B8" t="s">
        <v>16</v>
      </c>
      <c r="C8" s="6">
        <v>258.3</v>
      </c>
      <c r="D8" t="s">
        <v>75</v>
      </c>
    </row>
    <row r="9" spans="1:4" x14ac:dyDescent="0.25">
      <c r="A9" s="5">
        <v>46265</v>
      </c>
      <c r="B9" t="s">
        <v>21</v>
      </c>
      <c r="C9" s="6">
        <v>13219.75</v>
      </c>
      <c r="D9" t="s">
        <v>76</v>
      </c>
    </row>
    <row r="10" spans="1:4" x14ac:dyDescent="0.25">
      <c r="A10" s="5">
        <v>46295</v>
      </c>
      <c r="B10" t="s">
        <v>16</v>
      </c>
      <c r="C10" s="6">
        <v>579</v>
      </c>
      <c r="D10" t="s">
        <v>75</v>
      </c>
    </row>
    <row r="11" spans="1:4" x14ac:dyDescent="0.25">
      <c r="A11" s="5">
        <v>46295</v>
      </c>
      <c r="B11" t="s">
        <v>21</v>
      </c>
      <c r="C11" s="6">
        <v>13265.05</v>
      </c>
      <c r="D11" t="s">
        <v>76</v>
      </c>
    </row>
  </sheetData>
  <autoFilter ref="A1:D5000"/>
  <dataValidations count="2">
    <dataValidation type="list" allowBlank="1" showInputMessage="1" promptTitle="Conta" prompt="Caixa: dinheiro em numerário. Banco: conta bancária." showErrorMessage="1" errorStyle="stop" errorTitle="Valor fora da lista" error="Escolha Caixa ou Banco." sqref="B2:B5000">
      <formula1>"Caixa,Banco"</formula1>
    </dataValidation>
    <dataValidation type="list" allowBlank="1" showInputMessage="1" promptTitle="Fonte" prompt="Extrato: do extrato bancário. Contagem: da contagem do dinheiro. Declarado: indicado sem comprovativo." showErrorMessage="1" errorStyle="stop" errorTitle="Valor fora da lista" error="Escolha Extrato, Contagem ou Declarado." sqref="D2:D5000">
      <formula1>"Extrato,Contagem,Declarado"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1" customWidth="1"/>
    <col min="3" max="3" width="40" customWidth="1"/>
    <col min="4" max="4" width="20" customWidth="1"/>
    <col min="5" max="5" width="30" customWidth="1"/>
    <col min="6" max="6" width="26" customWidth="1"/>
    <col min="7" max="7" width="10" customWidth="1"/>
    <col min="8" max="8" width="12" customWidth="1"/>
    <col min="9" max="9" width="16" customWidth="1"/>
    <col min="10" max="10" width="14" customWidth="1"/>
    <col min="11" max="11" width="20" customWidth="1"/>
    <col min="12" max="12" width="22" customWidth="1"/>
  </cols>
  <sheetData>
    <row r="1" ht="45" customHeight="1" spans="1:12" x14ac:dyDescent="0.25">
      <c r="A1" s="4" t="s">
        <v>71</v>
      </c>
      <c r="B1" s="4" t="s">
        <v>77</v>
      </c>
      <c r="C1" s="4" t="s">
        <v>78</v>
      </c>
      <c r="D1" s="4" t="s">
        <v>6</v>
      </c>
      <c r="E1" s="4" t="s">
        <v>2</v>
      </c>
      <c r="F1" s="4" t="s">
        <v>5</v>
      </c>
      <c r="G1" s="4" t="s">
        <v>3</v>
      </c>
      <c r="H1" s="4" t="s">
        <v>7</v>
      </c>
      <c r="I1" s="4" t="s">
        <v>79</v>
      </c>
      <c r="J1" s="7" t="s">
        <v>80</v>
      </c>
      <c r="K1" s="7" t="s">
        <v>81</v>
      </c>
      <c r="L1" s="7" t="s">
        <v>82</v>
      </c>
    </row>
    <row r="2" spans="1:12" x14ac:dyDescent="0.25">
      <c r="A2" s="5">
        <v>45332</v>
      </c>
      <c r="B2" t="s">
        <v>83</v>
      </c>
      <c r="C2" t="s">
        <v>84</v>
      </c>
      <c r="D2" t="s">
        <v>15</v>
      </c>
      <c r="E2" t="s">
        <v>10</v>
      </c>
      <c r="G2" t="s">
        <v>11</v>
      </c>
      <c r="H2" t="s">
        <v>21</v>
      </c>
      <c r="I2" s="6">
        <v>880</v>
      </c>
      <c r="J2" s="8" t="str">
        <f>IF(H2="","",IFERROR(VLOOKUP(H2,Listas!$J$2:$K$5000,2,FALSE),""))</f>
        <v>Banco</v>
      </c>
      <c r="K2" s="9">
        <f>IF(OR(I2="",G2=""),"",IF(G2="Saída",-I2,I2))</f>
        <v>880</v>
      </c>
      <c r="L2" s="8" t="str">
        <f>IF(E2="","",IFERROR(VLOOKUP(E2,Listas!$A$2:$C$5000,3,FALSE),""))</f>
        <v>Sim</v>
      </c>
    </row>
    <row r="3" spans="1:12" x14ac:dyDescent="0.25">
      <c r="A3" s="5">
        <v>45346</v>
      </c>
      <c r="B3" t="s">
        <v>85</v>
      </c>
      <c r="C3" t="s">
        <v>86</v>
      </c>
      <c r="D3" t="s">
        <v>40</v>
      </c>
      <c r="E3" t="s">
        <v>48</v>
      </c>
      <c r="G3" t="s">
        <v>42</v>
      </c>
      <c r="H3" t="s">
        <v>21</v>
      </c>
      <c r="I3" s="6">
        <v>900</v>
      </c>
      <c r="J3" s="8" t="str">
        <f>IF(H3="","",IFERROR(VLOOKUP(H3,Listas!$J$2:$K$5000,2,FALSE),""))</f>
        <v>Banco</v>
      </c>
      <c r="K3" s="9">
        <f>IF(OR(I3="",G3=""),"",IF(G3="Saída",-I3,I3))</f>
        <v>-900</v>
      </c>
      <c r="L3" s="8" t="str">
        <f>IF(E3="","",IFERROR(VLOOKUP(E3,Listas!$A$2:$C$5000,3,FALSE),""))</f>
        <v>Sim</v>
      </c>
    </row>
    <row r="4" spans="1:12" x14ac:dyDescent="0.25">
      <c r="A4" s="5">
        <v>45349</v>
      </c>
      <c r="B4" t="s">
        <v>87</v>
      </c>
      <c r="C4" t="s">
        <v>63</v>
      </c>
      <c r="D4" t="s">
        <v>20</v>
      </c>
      <c r="E4" t="s">
        <v>56</v>
      </c>
      <c r="G4" t="s">
        <v>42</v>
      </c>
      <c r="H4" t="s">
        <v>21</v>
      </c>
      <c r="I4" s="6">
        <v>180</v>
      </c>
      <c r="J4" s="8" t="str">
        <f>IF(H4="","",IFERROR(VLOOKUP(H4,Listas!$J$2:$K$5000,2,FALSE),""))</f>
        <v>Banco</v>
      </c>
      <c r="K4" s="9">
        <f>IF(OR(I4="",G4=""),"",IF(G4="Saída",-I4,I4))</f>
        <v>-180</v>
      </c>
      <c r="L4" s="8" t="str">
        <f>IF(E4="","",IFERROR(VLOOKUP(E4,Listas!$A$2:$C$5000,3,FALSE),""))</f>
        <v>Sim</v>
      </c>
    </row>
    <row r="5" spans="1:12" x14ac:dyDescent="0.25">
      <c r="A5" s="5">
        <v>45353</v>
      </c>
      <c r="B5" t="s">
        <v>88</v>
      </c>
      <c r="C5" t="s">
        <v>89</v>
      </c>
      <c r="D5" t="s">
        <v>20</v>
      </c>
      <c r="E5" t="s">
        <v>54</v>
      </c>
      <c r="G5" t="s">
        <v>42</v>
      </c>
      <c r="H5" t="s">
        <v>21</v>
      </c>
      <c r="I5" s="6">
        <v>300</v>
      </c>
      <c r="J5" s="8" t="str">
        <f>IF(H5="","",IFERROR(VLOOKUP(H5,Listas!$J$2:$K$5000,2,FALSE),""))</f>
        <v>Banco</v>
      </c>
      <c r="K5" s="9">
        <f>IF(OR(I5="",G5=""),"",IF(G5="Saída",-I5,I5))</f>
        <v>-300</v>
      </c>
      <c r="L5" s="8" t="str">
        <f>IF(E5="","",IFERROR(VLOOKUP(E5,Listas!$A$2:$C$5000,3,FALSE),""))</f>
        <v>Sim</v>
      </c>
    </row>
    <row r="6" spans="1:12" x14ac:dyDescent="0.25">
      <c r="A6" s="5">
        <v>45356</v>
      </c>
      <c r="B6" t="s">
        <v>90</v>
      </c>
      <c r="C6" t="s">
        <v>91</v>
      </c>
      <c r="D6" t="s">
        <v>20</v>
      </c>
      <c r="E6" t="s">
        <v>36</v>
      </c>
      <c r="G6" t="s">
        <v>11</v>
      </c>
      <c r="H6" t="s">
        <v>21</v>
      </c>
      <c r="I6" s="6">
        <v>350</v>
      </c>
      <c r="J6" s="8" t="str">
        <f>IF(H6="","",IFERROR(VLOOKUP(H6,Listas!$J$2:$K$5000,2,FALSE),""))</f>
        <v>Banco</v>
      </c>
      <c r="K6" s="9">
        <f>IF(OR(I6="",G6=""),"",IF(G6="Saída",-I6,I6))</f>
        <v>350</v>
      </c>
      <c r="L6" s="8" t="str">
        <f>IF(E6="","",IFERROR(VLOOKUP(E6,Listas!$A$2:$C$5000,3,FALSE),""))</f>
        <v>Sim</v>
      </c>
    </row>
    <row r="7" spans="1:12" x14ac:dyDescent="0.25">
      <c r="A7" s="5">
        <v>45361</v>
      </c>
      <c r="B7" t="s">
        <v>92</v>
      </c>
      <c r="C7" t="s">
        <v>93</v>
      </c>
      <c r="D7" t="s">
        <v>20</v>
      </c>
      <c r="E7" t="s">
        <v>60</v>
      </c>
      <c r="G7" t="s">
        <v>42</v>
      </c>
      <c r="H7" t="s">
        <v>16</v>
      </c>
      <c r="I7" s="6">
        <v>100</v>
      </c>
      <c r="J7" s="8" t="str">
        <f>IF(H7="","",IFERROR(VLOOKUP(H7,Listas!$J$2:$K$5000,2,FALSE),""))</f>
        <v>Caixa</v>
      </c>
      <c r="K7" s="9">
        <f>IF(OR(I7="",G7=""),"",IF(G7="Saída",-I7,I7))</f>
        <v>-100</v>
      </c>
      <c r="L7" s="8" t="str">
        <f>IF(E7="","",IFERROR(VLOOKUP(E7,Listas!$A$2:$C$5000,3,FALSE),""))</f>
        <v>Sim</v>
      </c>
    </row>
    <row r="8" spans="1:12" x14ac:dyDescent="0.25">
      <c r="A8" s="5">
        <v>45363</v>
      </c>
      <c r="B8" t="s">
        <v>94</v>
      </c>
      <c r="C8" t="s">
        <v>95</v>
      </c>
      <c r="D8" t="s">
        <v>15</v>
      </c>
      <c r="E8" t="s">
        <v>14</v>
      </c>
      <c r="G8" t="s">
        <v>11</v>
      </c>
      <c r="H8" t="s">
        <v>21</v>
      </c>
      <c r="I8" s="6">
        <v>2500</v>
      </c>
      <c r="J8" s="8" t="str">
        <f>IF(H8="","",IFERROR(VLOOKUP(H8,Listas!$J$2:$K$5000,2,FALSE),""))</f>
        <v>Banco</v>
      </c>
      <c r="K8" s="9">
        <f>IF(OR(I8="",G8=""),"",IF(G8="Saída",-I8,I8))</f>
        <v>2500</v>
      </c>
      <c r="L8" s="8" t="str">
        <f>IF(E8="","",IFERROR(VLOOKUP(E8,Listas!$A$2:$C$5000,3,FALSE),""))</f>
        <v>Sim</v>
      </c>
    </row>
    <row r="9" spans="1:12" x14ac:dyDescent="0.25">
      <c r="A9" s="5">
        <v>45363</v>
      </c>
      <c r="B9" t="s">
        <v>96</v>
      </c>
      <c r="C9" t="s">
        <v>97</v>
      </c>
      <c r="D9" t="s">
        <v>20</v>
      </c>
      <c r="E9" t="s">
        <v>41</v>
      </c>
      <c r="G9" t="s">
        <v>42</v>
      </c>
      <c r="H9" t="s">
        <v>21</v>
      </c>
      <c r="I9" s="6">
        <v>700</v>
      </c>
      <c r="J9" s="8" t="str">
        <f>IF(H9="","",IFERROR(VLOOKUP(H9,Listas!$J$2:$K$5000,2,FALSE),""))</f>
        <v>Banco</v>
      </c>
      <c r="K9" s="9">
        <f>IF(OR(I9="",G9=""),"",IF(G9="Saída",-I9,I9))</f>
        <v>-700</v>
      </c>
      <c r="L9" s="8" t="str">
        <f>IF(E9="","",IFERROR(VLOOKUP(E9,Listas!$A$2:$C$5000,3,FALSE),""))</f>
        <v>Sim</v>
      </c>
    </row>
    <row r="10" spans="1:12" x14ac:dyDescent="0.25">
      <c r="A10" s="5">
        <v>45364</v>
      </c>
      <c r="B10" t="s">
        <v>98</v>
      </c>
      <c r="C10" t="s">
        <v>55</v>
      </c>
      <c r="D10" t="s">
        <v>20</v>
      </c>
      <c r="E10" t="s">
        <v>46</v>
      </c>
      <c r="G10" t="s">
        <v>42</v>
      </c>
      <c r="H10" t="s">
        <v>21</v>
      </c>
      <c r="I10" s="6">
        <v>560</v>
      </c>
      <c r="J10" s="8" t="str">
        <f>IF(H10="","",IFERROR(VLOOKUP(H10,Listas!$J$2:$K$5000,2,FALSE),""))</f>
        <v>Banco</v>
      </c>
      <c r="K10" s="9">
        <f>IF(OR(I10="",G10=""),"",IF(G10="Saída",-I10,I10))</f>
        <v>-560</v>
      </c>
      <c r="L10" s="8" t="str">
        <f>IF(E10="","",IFERROR(VLOOKUP(E10,Listas!$A$2:$C$5000,3,FALSE),""))</f>
        <v>Sim</v>
      </c>
    </row>
    <row r="11" spans="1:12" x14ac:dyDescent="0.25">
      <c r="A11" s="5">
        <v>45367</v>
      </c>
      <c r="B11" t="s">
        <v>99</v>
      </c>
      <c r="C11" t="s">
        <v>34</v>
      </c>
      <c r="D11" t="s">
        <v>20</v>
      </c>
      <c r="E11" t="s">
        <v>28</v>
      </c>
      <c r="G11" t="s">
        <v>11</v>
      </c>
      <c r="H11" t="s">
        <v>16</v>
      </c>
      <c r="I11" s="6">
        <v>1200</v>
      </c>
      <c r="J11" s="8" t="str">
        <f>IF(H11="","",IFERROR(VLOOKUP(H11,Listas!$J$2:$K$5000,2,FALSE),""))</f>
        <v>Caixa</v>
      </c>
      <c r="K11" s="9">
        <f>IF(OR(I11="",G11=""),"",IF(G11="Saída",-I11,I11))</f>
        <v>1200</v>
      </c>
      <c r="L11" s="8" t="str">
        <f>IF(E11="","",IFERROR(VLOOKUP(E11,Listas!$A$2:$C$5000,3,FALSE),""))</f>
        <v>Sim</v>
      </c>
    </row>
    <row r="12" spans="1:12" x14ac:dyDescent="0.25">
      <c r="A12" s="5">
        <v>45367</v>
      </c>
      <c r="B12" t="s">
        <v>100</v>
      </c>
      <c r="C12" t="s">
        <v>101</v>
      </c>
      <c r="D12" t="s">
        <v>20</v>
      </c>
      <c r="E12" t="s">
        <v>33</v>
      </c>
      <c r="G12" t="s">
        <v>11</v>
      </c>
      <c r="H12" t="s">
        <v>16</v>
      </c>
      <c r="I12" s="6">
        <v>1300</v>
      </c>
      <c r="J12" s="8" t="str">
        <f>IF(H12="","",IFERROR(VLOOKUP(H12,Listas!$J$2:$K$5000,2,FALSE),""))</f>
        <v>Caixa</v>
      </c>
      <c r="K12" s="9">
        <f>IF(OR(I12="",G12=""),"",IF(G12="Saída",-I12,I12))</f>
        <v>1300</v>
      </c>
      <c r="L12" s="8" t="str">
        <f>IF(E12="","",IFERROR(VLOOKUP(E12,Listas!$A$2:$C$5000,3,FALSE),""))</f>
        <v>Sim</v>
      </c>
    </row>
    <row r="13" spans="1:12" x14ac:dyDescent="0.25">
      <c r="A13" s="5">
        <v>45369</v>
      </c>
      <c r="B13" t="s">
        <v>102</v>
      </c>
      <c r="C13" t="s">
        <v>103</v>
      </c>
      <c r="D13" t="s">
        <v>20</v>
      </c>
      <c r="E13" t="s">
        <v>64</v>
      </c>
      <c r="G13" t="s">
        <v>42</v>
      </c>
      <c r="H13" t="s">
        <v>16</v>
      </c>
      <c r="I13" s="6">
        <v>2500</v>
      </c>
      <c r="J13" s="8" t="str">
        <f>IF(H13="","",IFERROR(VLOOKUP(H13,Listas!$J$2:$K$5000,2,FALSE),""))</f>
        <v>Caixa</v>
      </c>
      <c r="K13" s="9">
        <f>IF(OR(I13="",G13=""),"",IF(G13="Saída",-I13,I13))</f>
        <v>-2500</v>
      </c>
      <c r="L13" s="8" t="str">
        <f>IF(E13="","",IFERROR(VLOOKUP(E13,Listas!$A$2:$C$5000,3,FALSE),""))</f>
        <v>Não</v>
      </c>
    </row>
    <row r="14" spans="1:12" x14ac:dyDescent="0.25">
      <c r="A14" s="5">
        <v>45369</v>
      </c>
      <c r="B14" t="s">
        <v>102</v>
      </c>
      <c r="C14" t="s">
        <v>104</v>
      </c>
      <c r="D14" t="s">
        <v>20</v>
      </c>
      <c r="E14" t="s">
        <v>64</v>
      </c>
      <c r="G14" t="s">
        <v>11</v>
      </c>
      <c r="H14" t="s">
        <v>21</v>
      </c>
      <c r="I14" s="6">
        <v>2500</v>
      </c>
      <c r="J14" s="8" t="str">
        <f>IF(H14="","",IFERROR(VLOOKUP(H14,Listas!$J$2:$K$5000,2,FALSE),""))</f>
        <v>Banco</v>
      </c>
      <c r="K14" s="9">
        <f>IF(OR(I14="",G14=""),"",IF(G14="Saída",-I14,I14))</f>
        <v>2500</v>
      </c>
      <c r="L14" s="8" t="str">
        <f>IF(E14="","",IFERROR(VLOOKUP(E14,Listas!$A$2:$C$5000,3,FALSE),""))</f>
        <v>Não</v>
      </c>
    </row>
    <row r="15" spans="1:12" x14ac:dyDescent="0.25">
      <c r="A15" s="5">
        <v>45373</v>
      </c>
      <c r="B15" t="s">
        <v>105</v>
      </c>
      <c r="C15" t="s">
        <v>106</v>
      </c>
      <c r="D15" t="s">
        <v>15</v>
      </c>
      <c r="E15" t="s">
        <v>26</v>
      </c>
      <c r="G15" t="s">
        <v>11</v>
      </c>
      <c r="H15" t="s">
        <v>21</v>
      </c>
      <c r="I15" s="6">
        <v>1200</v>
      </c>
      <c r="J15" s="8" t="str">
        <f>IF(H15="","",IFERROR(VLOOKUP(H15,Listas!$J$2:$K$5000,2,FALSE),""))</f>
        <v>Banco</v>
      </c>
      <c r="K15" s="9">
        <f>IF(OR(I15="",G15=""),"",IF(G15="Saída",-I15,I15))</f>
        <v>1200</v>
      </c>
      <c r="L15" s="8" t="str">
        <f>IF(E15="","",IFERROR(VLOOKUP(E15,Listas!$A$2:$C$5000,3,FALSE),""))</f>
        <v>Sim</v>
      </c>
    </row>
    <row r="16" spans="1:12" x14ac:dyDescent="0.25">
      <c r="A16" s="5">
        <v>45379</v>
      </c>
      <c r="B16" t="s">
        <v>107</v>
      </c>
      <c r="C16" t="s">
        <v>108</v>
      </c>
      <c r="D16" t="s">
        <v>32</v>
      </c>
      <c r="E16" t="s">
        <v>54</v>
      </c>
      <c r="G16" t="s">
        <v>42</v>
      </c>
      <c r="H16" t="s">
        <v>21</v>
      </c>
      <c r="I16" s="6">
        <v>680</v>
      </c>
      <c r="J16" s="8" t="str">
        <f>IF(H16="","",IFERROR(VLOOKUP(H16,Listas!$J$2:$K$5000,2,FALSE),""))</f>
        <v>Banco</v>
      </c>
      <c r="K16" s="9">
        <f>IF(OR(I16="",G16=""),"",IF(G16="Saída",-I16,I16))</f>
        <v>-680</v>
      </c>
      <c r="L16" s="8" t="str">
        <f>IF(E16="","",IFERROR(VLOOKUP(E16,Listas!$A$2:$C$5000,3,FALSE),""))</f>
        <v>Sim</v>
      </c>
    </row>
    <row r="17" spans="1:12" x14ac:dyDescent="0.25">
      <c r="A17" s="5">
        <v>45379</v>
      </c>
      <c r="B17" t="s">
        <v>109</v>
      </c>
      <c r="C17" t="s">
        <v>110</v>
      </c>
      <c r="D17" t="s">
        <v>32</v>
      </c>
      <c r="E17" t="s">
        <v>56</v>
      </c>
      <c r="G17" t="s">
        <v>42</v>
      </c>
      <c r="H17" t="s">
        <v>21</v>
      </c>
      <c r="I17" s="6">
        <v>360</v>
      </c>
      <c r="J17" s="8" t="str">
        <f>IF(H17="","",IFERROR(VLOOKUP(H17,Listas!$J$2:$K$5000,2,FALSE),""))</f>
        <v>Banco</v>
      </c>
      <c r="K17" s="9">
        <f>IF(OR(I17="",G17=""),"",IF(G17="Saída",-I17,I17))</f>
        <v>-360</v>
      </c>
      <c r="L17" s="8" t="str">
        <f>IF(E17="","",IFERROR(VLOOKUP(E17,Listas!$A$2:$C$5000,3,FALSE),""))</f>
        <v>Sim</v>
      </c>
    </row>
    <row r="18" spans="1:12" x14ac:dyDescent="0.25">
      <c r="A18" s="5">
        <v>45384</v>
      </c>
      <c r="B18" t="s">
        <v>111</v>
      </c>
      <c r="C18" t="s">
        <v>112</v>
      </c>
      <c r="D18" t="s">
        <v>32</v>
      </c>
      <c r="E18" t="s">
        <v>36</v>
      </c>
      <c r="G18" t="s">
        <v>11</v>
      </c>
      <c r="H18" t="s">
        <v>21</v>
      </c>
      <c r="I18" s="6">
        <v>1500</v>
      </c>
      <c r="J18" s="8" t="str">
        <f>IF(H18="","",IFERROR(VLOOKUP(H18,Listas!$J$2:$K$5000,2,FALSE),""))</f>
        <v>Banco</v>
      </c>
      <c r="K18" s="9">
        <f>IF(OR(I18="",G18=""),"",IF(G18="Saída",-I18,I18))</f>
        <v>1500</v>
      </c>
      <c r="L18" s="8" t="str">
        <f>IF(E18="","",IFERROR(VLOOKUP(E18,Listas!$A$2:$C$5000,3,FALSE),""))</f>
        <v>Sim</v>
      </c>
    </row>
    <row r="19" spans="1:12" x14ac:dyDescent="0.25">
      <c r="A19" s="5">
        <v>45392</v>
      </c>
      <c r="B19" t="s">
        <v>113</v>
      </c>
      <c r="C19" t="s">
        <v>114</v>
      </c>
      <c r="D19" t="s">
        <v>15</v>
      </c>
      <c r="E19" t="s">
        <v>14</v>
      </c>
      <c r="G19" t="s">
        <v>11</v>
      </c>
      <c r="H19" t="s">
        <v>21</v>
      </c>
      <c r="I19" s="6">
        <v>1500</v>
      </c>
      <c r="J19" s="8" t="str">
        <f>IF(H19="","",IFERROR(VLOOKUP(H19,Listas!$J$2:$K$5000,2,FALSE),""))</f>
        <v>Banco</v>
      </c>
      <c r="K19" s="9">
        <f>IF(OR(I19="",G19=""),"",IF(G19="Saída",-I19,I19))</f>
        <v>1500</v>
      </c>
      <c r="L19" s="8" t="str">
        <f>IF(E19="","",IFERROR(VLOOKUP(E19,Listas!$A$2:$C$5000,3,FALSE),""))</f>
        <v>Sim</v>
      </c>
    </row>
    <row r="20" spans="1:12" x14ac:dyDescent="0.25">
      <c r="A20" s="5">
        <v>45397</v>
      </c>
      <c r="B20" t="s">
        <v>115</v>
      </c>
      <c r="C20" t="s">
        <v>69</v>
      </c>
      <c r="D20" t="s">
        <v>32</v>
      </c>
      <c r="E20" t="s">
        <v>60</v>
      </c>
      <c r="G20" t="s">
        <v>42</v>
      </c>
      <c r="H20" t="s">
        <v>21</v>
      </c>
      <c r="I20" s="6">
        <v>260</v>
      </c>
      <c r="J20" s="8" t="str">
        <f>IF(H20="","",IFERROR(VLOOKUP(H20,Listas!$J$2:$K$5000,2,FALSE),""))</f>
        <v>Banco</v>
      </c>
      <c r="K20" s="9">
        <f>IF(OR(I20="",G20=""),"",IF(G20="Saída",-I20,I20))</f>
        <v>-260</v>
      </c>
      <c r="L20" s="8" t="str">
        <f>IF(E20="","",IFERROR(VLOOKUP(E20,Listas!$A$2:$C$5000,3,FALSE),""))</f>
        <v>Sim</v>
      </c>
    </row>
    <row r="21" spans="1:12" x14ac:dyDescent="0.25">
      <c r="A21" s="5">
        <v>45402</v>
      </c>
      <c r="B21" t="s">
        <v>116</v>
      </c>
      <c r="C21" t="s">
        <v>47</v>
      </c>
      <c r="D21" t="s">
        <v>32</v>
      </c>
      <c r="E21" t="s">
        <v>41</v>
      </c>
      <c r="G21" t="s">
        <v>42</v>
      </c>
      <c r="H21" t="s">
        <v>21</v>
      </c>
      <c r="I21" s="6">
        <v>3200</v>
      </c>
      <c r="J21" s="8" t="str">
        <f>IF(H21="","",IFERROR(VLOOKUP(H21,Listas!$J$2:$K$5000,2,FALSE),""))</f>
        <v>Banco</v>
      </c>
      <c r="K21" s="9">
        <f>IF(OR(I21="",G21=""),"",IF(G21="Saída",-I21,I21))</f>
        <v>-3200</v>
      </c>
      <c r="L21" s="8" t="str">
        <f>IF(E21="","",IFERROR(VLOOKUP(E21,Listas!$A$2:$C$5000,3,FALSE),""))</f>
        <v>Sim</v>
      </c>
    </row>
    <row r="22" spans="1:12" x14ac:dyDescent="0.25">
      <c r="A22" s="5">
        <v>45406</v>
      </c>
      <c r="B22" t="s">
        <v>117</v>
      </c>
      <c r="C22" t="s">
        <v>49</v>
      </c>
      <c r="D22" t="s">
        <v>32</v>
      </c>
      <c r="E22" t="s">
        <v>41</v>
      </c>
      <c r="G22" t="s">
        <v>42</v>
      </c>
      <c r="H22" t="s">
        <v>21</v>
      </c>
      <c r="I22" s="6">
        <v>1200</v>
      </c>
      <c r="J22" s="8" t="str">
        <f>IF(H22="","",IFERROR(VLOOKUP(H22,Listas!$J$2:$K$5000,2,FALSE),""))</f>
        <v>Banco</v>
      </c>
      <c r="K22" s="9">
        <f>IF(OR(I22="",G22=""),"",IF(G22="Saída",-I22,I22))</f>
        <v>-1200</v>
      </c>
      <c r="L22" s="8" t="str">
        <f>IF(E22="","",IFERROR(VLOOKUP(E22,Listas!$A$2:$C$5000,3,FALSE),""))</f>
        <v>Sim</v>
      </c>
    </row>
    <row r="23" spans="1:12" x14ac:dyDescent="0.25">
      <c r="A23" s="5">
        <v>45408</v>
      </c>
      <c r="B23" t="s">
        <v>118</v>
      </c>
      <c r="C23" t="s">
        <v>119</v>
      </c>
      <c r="D23" t="s">
        <v>32</v>
      </c>
      <c r="E23" t="s">
        <v>28</v>
      </c>
      <c r="G23" t="s">
        <v>11</v>
      </c>
      <c r="H23" t="s">
        <v>21</v>
      </c>
      <c r="I23" s="6">
        <v>2400</v>
      </c>
      <c r="J23" s="8" t="str">
        <f>IF(H23="","",IFERROR(VLOOKUP(H23,Listas!$J$2:$K$5000,2,FALSE),""))</f>
        <v>Banco</v>
      </c>
      <c r="K23" s="9">
        <f>IF(OR(I23="",G23=""),"",IF(G23="Saída",-I23,I23))</f>
        <v>2400</v>
      </c>
      <c r="L23" s="8" t="str">
        <f>IF(E23="","",IFERROR(VLOOKUP(E23,Listas!$A$2:$C$5000,3,FALSE),""))</f>
        <v>Sim</v>
      </c>
    </row>
    <row r="24" spans="1:12" x14ac:dyDescent="0.25">
      <c r="A24" s="5">
        <v>45410</v>
      </c>
      <c r="B24" t="s">
        <v>120</v>
      </c>
      <c r="C24" t="s">
        <v>46</v>
      </c>
      <c r="D24" t="s">
        <v>32</v>
      </c>
      <c r="E24" t="s">
        <v>46</v>
      </c>
      <c r="G24" t="s">
        <v>42</v>
      </c>
      <c r="H24" t="s">
        <v>21</v>
      </c>
      <c r="I24" s="6">
        <v>2000</v>
      </c>
      <c r="J24" s="8" t="str">
        <f>IF(H24="","",IFERROR(VLOOKUP(H24,Listas!$J$2:$K$5000,2,FALSE),""))</f>
        <v>Banco</v>
      </c>
      <c r="K24" s="9">
        <f>IF(OR(I24="",G24=""),"",IF(G24="Saída",-I24,I24))</f>
        <v>-2000</v>
      </c>
      <c r="L24" s="8" t="str">
        <f>IF(E24="","",IFERROR(VLOOKUP(E24,Listas!$A$2:$C$5000,3,FALSE),""))</f>
        <v>Sim</v>
      </c>
    </row>
    <row r="25" spans="1:12" x14ac:dyDescent="0.25">
      <c r="A25" s="5">
        <v>45416</v>
      </c>
      <c r="B25" t="s">
        <v>121</v>
      </c>
      <c r="C25" t="s">
        <v>31</v>
      </c>
      <c r="D25" t="s">
        <v>32</v>
      </c>
      <c r="E25" t="s">
        <v>28</v>
      </c>
      <c r="G25" t="s">
        <v>11</v>
      </c>
      <c r="H25" t="s">
        <v>16</v>
      </c>
      <c r="I25" s="6">
        <v>2110</v>
      </c>
      <c r="J25" s="8" t="str">
        <f>IF(H25="","",IFERROR(VLOOKUP(H25,Listas!$J$2:$K$5000,2,FALSE),""))</f>
        <v>Caixa</v>
      </c>
      <c r="K25" s="9">
        <f>IF(OR(I25="",G25=""),"",IF(G25="Saída",-I25,I25))</f>
        <v>2110</v>
      </c>
      <c r="L25" s="8" t="str">
        <f>IF(E25="","",IFERROR(VLOOKUP(E25,Listas!$A$2:$C$5000,3,FALSE),""))</f>
        <v>Sim</v>
      </c>
    </row>
    <row r="26" spans="1:12" x14ac:dyDescent="0.25">
      <c r="A26" s="5">
        <v>45416</v>
      </c>
      <c r="B26" t="s">
        <v>122</v>
      </c>
      <c r="C26" t="s">
        <v>123</v>
      </c>
      <c r="D26" t="s">
        <v>32</v>
      </c>
      <c r="E26" t="s">
        <v>33</v>
      </c>
      <c r="G26" t="s">
        <v>11</v>
      </c>
      <c r="H26" t="s">
        <v>30</v>
      </c>
      <c r="I26" s="6">
        <v>2500</v>
      </c>
      <c r="J26" s="8" t="str">
        <f>IF(H26="","",IFERROR(VLOOKUP(H26,Listas!$J$2:$K$5000,2,FALSE),""))</f>
        <v>Banco</v>
      </c>
      <c r="K26" s="9">
        <f>IF(OR(I26="",G26=""),"",IF(G26="Saída",-I26,I26))</f>
        <v>2500</v>
      </c>
      <c r="L26" s="8" t="str">
        <f>IF(E26="","",IFERROR(VLOOKUP(E26,Listas!$A$2:$C$5000,3,FALSE),""))</f>
        <v>Sim</v>
      </c>
    </row>
    <row r="27" spans="1:12" x14ac:dyDescent="0.25">
      <c r="A27" s="5">
        <v>45416</v>
      </c>
      <c r="B27" t="s">
        <v>124</v>
      </c>
      <c r="C27" t="s">
        <v>39</v>
      </c>
      <c r="D27" t="s">
        <v>32</v>
      </c>
      <c r="E27" t="s">
        <v>33</v>
      </c>
      <c r="G27" t="s">
        <v>11</v>
      </c>
      <c r="H27" t="s">
        <v>16</v>
      </c>
      <c r="I27" s="6">
        <v>520</v>
      </c>
      <c r="J27" s="8" t="str">
        <f>IF(H27="","",IFERROR(VLOOKUP(H27,Listas!$J$2:$K$5000,2,FALSE),""))</f>
        <v>Caixa</v>
      </c>
      <c r="K27" s="9">
        <f>IF(OR(I27="",G27=""),"",IF(G27="Saída",-I27,I27))</f>
        <v>520</v>
      </c>
      <c r="L27" s="8" t="str">
        <f>IF(E27="","",IFERROR(VLOOKUP(E27,Listas!$A$2:$C$5000,3,FALSE),""))</f>
        <v>Sim</v>
      </c>
    </row>
    <row r="28" spans="1:12" x14ac:dyDescent="0.25">
      <c r="A28" s="5">
        <v>45418</v>
      </c>
      <c r="B28" t="s">
        <v>125</v>
      </c>
      <c r="C28" t="s">
        <v>103</v>
      </c>
      <c r="D28" t="s">
        <v>32</v>
      </c>
      <c r="E28" t="s">
        <v>64</v>
      </c>
      <c r="G28" t="s">
        <v>42</v>
      </c>
      <c r="H28" t="s">
        <v>16</v>
      </c>
      <c r="I28" s="6">
        <v>2600</v>
      </c>
      <c r="J28" s="8" t="str">
        <f>IF(H28="","",IFERROR(VLOOKUP(H28,Listas!$J$2:$K$5000,2,FALSE),""))</f>
        <v>Caixa</v>
      </c>
      <c r="K28" s="9">
        <f>IF(OR(I28="",G28=""),"",IF(G28="Saída",-I28,I28))</f>
        <v>-2600</v>
      </c>
      <c r="L28" s="8" t="str">
        <f>IF(E28="","",IFERROR(VLOOKUP(E28,Listas!$A$2:$C$5000,3,FALSE),""))</f>
        <v>Não</v>
      </c>
    </row>
    <row r="29" spans="1:12" x14ac:dyDescent="0.25">
      <c r="A29" s="5">
        <v>45418</v>
      </c>
      <c r="B29" t="s">
        <v>125</v>
      </c>
      <c r="C29" t="s">
        <v>104</v>
      </c>
      <c r="D29" t="s">
        <v>32</v>
      </c>
      <c r="E29" t="s">
        <v>64</v>
      </c>
      <c r="G29" t="s">
        <v>11</v>
      </c>
      <c r="H29" t="s">
        <v>21</v>
      </c>
      <c r="I29" s="6">
        <v>2600</v>
      </c>
      <c r="J29" s="8" t="str">
        <f>IF(H29="","",IFERROR(VLOOKUP(H29,Listas!$J$2:$K$5000,2,FALSE),""))</f>
        <v>Banco</v>
      </c>
      <c r="K29" s="9">
        <f>IF(OR(I29="",G29=""),"",IF(G29="Saída",-I29,I29))</f>
        <v>2600</v>
      </c>
      <c r="L29" s="8" t="str">
        <f>IF(E29="","",IFERROR(VLOOKUP(E29,Listas!$A$2:$C$5000,3,FALSE),""))</f>
        <v>Não</v>
      </c>
    </row>
    <row r="30" spans="1:12" x14ac:dyDescent="0.25">
      <c r="A30" s="5">
        <v>45420</v>
      </c>
      <c r="B30" t="s">
        <v>126</v>
      </c>
      <c r="C30" t="s">
        <v>51</v>
      </c>
      <c r="D30" t="s">
        <v>32</v>
      </c>
      <c r="E30" t="s">
        <v>44</v>
      </c>
      <c r="G30" t="s">
        <v>42</v>
      </c>
      <c r="H30" t="s">
        <v>21</v>
      </c>
      <c r="I30" s="6">
        <v>2800</v>
      </c>
      <c r="J30" s="8" t="str">
        <f>IF(H30="","",IFERROR(VLOOKUP(H30,Listas!$J$2:$K$5000,2,FALSE),""))</f>
        <v>Banco</v>
      </c>
      <c r="K30" s="9">
        <f>IF(OR(I30="",G30=""),"",IF(G30="Saída",-I30,I30))</f>
        <v>-2800</v>
      </c>
      <c r="L30" s="8" t="str">
        <f>IF(E30="","",IFERROR(VLOOKUP(E30,Listas!$A$2:$C$5000,3,FALSE),""))</f>
        <v>Sim</v>
      </c>
    </row>
    <row r="31" spans="1:12" x14ac:dyDescent="0.25">
      <c r="A31" s="5">
        <v>45422</v>
      </c>
      <c r="B31" t="s">
        <v>127</v>
      </c>
      <c r="C31" t="s">
        <v>53</v>
      </c>
      <c r="D31" t="s">
        <v>32</v>
      </c>
      <c r="E31" t="s">
        <v>44</v>
      </c>
      <c r="G31" t="s">
        <v>42</v>
      </c>
      <c r="H31" t="s">
        <v>21</v>
      </c>
      <c r="I31" s="6">
        <v>1610</v>
      </c>
      <c r="J31" s="8" t="str">
        <f>IF(H31="","",IFERROR(VLOOKUP(H31,Listas!$J$2:$K$5000,2,FALSE),""))</f>
        <v>Banco</v>
      </c>
      <c r="K31" s="9">
        <f>IF(OR(I31="",G31=""),"",IF(G31="Saída",-I31,I31))</f>
        <v>-1610</v>
      </c>
      <c r="L31" s="8" t="str">
        <f>IF(E31="","",IFERROR(VLOOKUP(E31,Listas!$A$2:$C$5000,3,FALSE),""))</f>
        <v>Sim</v>
      </c>
    </row>
    <row r="32" spans="1:12" x14ac:dyDescent="0.25">
      <c r="A32" s="5">
        <v>45424</v>
      </c>
      <c r="B32" t="s">
        <v>128</v>
      </c>
      <c r="C32" t="s">
        <v>50</v>
      </c>
      <c r="D32" t="s">
        <v>32</v>
      </c>
      <c r="E32" t="s">
        <v>50</v>
      </c>
      <c r="G32" t="s">
        <v>42</v>
      </c>
      <c r="H32" t="s">
        <v>21</v>
      </c>
      <c r="I32" s="6">
        <v>720</v>
      </c>
      <c r="J32" s="8" t="str">
        <f>IF(H32="","",IFERROR(VLOOKUP(H32,Listas!$J$2:$K$5000,2,FALSE),""))</f>
        <v>Banco</v>
      </c>
      <c r="K32" s="9">
        <f>IF(OR(I32="",G32=""),"",IF(G32="Saída",-I32,I32))</f>
        <v>-720</v>
      </c>
      <c r="L32" s="8" t="str">
        <f>IF(E32="","",IFERROR(VLOOKUP(E32,Listas!$A$2:$C$5000,3,FALSE),""))</f>
        <v>Sim</v>
      </c>
    </row>
    <row r="33" spans="1:12" x14ac:dyDescent="0.25">
      <c r="A33" s="5">
        <v>45432</v>
      </c>
      <c r="B33" t="s">
        <v>129</v>
      </c>
      <c r="C33" t="s">
        <v>130</v>
      </c>
      <c r="D33" t="s">
        <v>15</v>
      </c>
      <c r="E33" t="s">
        <v>18</v>
      </c>
      <c r="G33" t="s">
        <v>11</v>
      </c>
      <c r="H33" t="s">
        <v>21</v>
      </c>
      <c r="I33" s="6">
        <v>400</v>
      </c>
      <c r="J33" s="8" t="str">
        <f>IF(H33="","",IFERROR(VLOOKUP(H33,Listas!$J$2:$K$5000,2,FALSE),""))</f>
        <v>Banco</v>
      </c>
      <c r="K33" s="9">
        <f>IF(OR(I33="",G33=""),"",IF(G33="Saída",-I33,I33))</f>
        <v>400</v>
      </c>
      <c r="L33" s="8" t="str">
        <f>IF(E33="","",IFERROR(VLOOKUP(E33,Listas!$A$2:$C$5000,3,FALSE),""))</f>
        <v>Sim</v>
      </c>
    </row>
    <row r="34" spans="1:12" x14ac:dyDescent="0.25">
      <c r="A34" s="5">
        <v>45446</v>
      </c>
      <c r="B34" t="s">
        <v>131</v>
      </c>
      <c r="C34" t="s">
        <v>132</v>
      </c>
      <c r="D34" t="s">
        <v>15</v>
      </c>
      <c r="E34" t="s">
        <v>52</v>
      </c>
      <c r="G34" t="s">
        <v>42</v>
      </c>
      <c r="H34" t="s">
        <v>21</v>
      </c>
      <c r="I34" s="6">
        <v>340</v>
      </c>
      <c r="J34" s="8" t="str">
        <f>IF(H34="","",IFERROR(VLOOKUP(H34,Listas!$J$2:$K$5000,2,FALSE),""))</f>
        <v>Banco</v>
      </c>
      <c r="K34" s="9">
        <f>IF(OR(I34="",G34=""),"",IF(G34="Saída",-I34,I34))</f>
        <v>-340</v>
      </c>
      <c r="L34" s="8" t="str">
        <f>IF(E34="","",IFERROR(VLOOKUP(E34,Listas!$A$2:$C$5000,3,FALSE),""))</f>
        <v>Sim</v>
      </c>
    </row>
    <row r="35" spans="1:12" x14ac:dyDescent="0.25">
      <c r="A35" s="5">
        <v>45458</v>
      </c>
      <c r="B35" t="s">
        <v>133</v>
      </c>
      <c r="C35" t="s">
        <v>134</v>
      </c>
      <c r="D35" t="s">
        <v>15</v>
      </c>
      <c r="E35" t="s">
        <v>26</v>
      </c>
      <c r="G35" t="s">
        <v>11</v>
      </c>
      <c r="H35" t="s">
        <v>16</v>
      </c>
      <c r="I35" s="6">
        <v>780</v>
      </c>
      <c r="J35" s="8" t="str">
        <f>IF(H35="","",IFERROR(VLOOKUP(H35,Listas!$J$2:$K$5000,2,FALSE),""))</f>
        <v>Caixa</v>
      </c>
      <c r="K35" s="9">
        <f>IF(OR(I35="",G35=""),"",IF(G35="Saída",-I35,I35))</f>
        <v>780</v>
      </c>
      <c r="L35" s="8" t="str">
        <f>IF(E35="","",IFERROR(VLOOKUP(E35,Listas!$A$2:$C$5000,3,FALSE),""))</f>
        <v>Sim</v>
      </c>
    </row>
    <row r="36" spans="1:12" x14ac:dyDescent="0.25">
      <c r="A36" s="5">
        <v>45486</v>
      </c>
      <c r="B36" t="s">
        <v>135</v>
      </c>
      <c r="C36" t="s">
        <v>86</v>
      </c>
      <c r="D36" t="s">
        <v>40</v>
      </c>
      <c r="E36" t="s">
        <v>48</v>
      </c>
      <c r="G36" t="s">
        <v>42</v>
      </c>
      <c r="H36" t="s">
        <v>21</v>
      </c>
      <c r="I36" s="6">
        <v>1100</v>
      </c>
      <c r="J36" s="8" t="str">
        <f>IF(H36="","",IFERROR(VLOOKUP(H36,Listas!$J$2:$K$5000,2,FALSE),""))</f>
        <v>Banco</v>
      </c>
      <c r="K36" s="9">
        <f>IF(OR(I36="",G36=""),"",IF(G36="Saída",-I36,I36))</f>
        <v>-1100</v>
      </c>
      <c r="L36" s="8" t="str">
        <f>IF(E36="","",IFERROR(VLOOKUP(E36,Listas!$A$2:$C$5000,3,FALSE),""))</f>
        <v>Sim</v>
      </c>
    </row>
    <row r="37" spans="1:12" x14ac:dyDescent="0.25">
      <c r="A37" s="5">
        <v>45524</v>
      </c>
      <c r="B37" t="s">
        <v>136</v>
      </c>
      <c r="C37" t="s">
        <v>137</v>
      </c>
      <c r="D37" t="s">
        <v>40</v>
      </c>
      <c r="E37" t="s">
        <v>41</v>
      </c>
      <c r="G37" t="s">
        <v>42</v>
      </c>
      <c r="H37" t="s">
        <v>21</v>
      </c>
      <c r="I37" s="6">
        <v>820</v>
      </c>
      <c r="J37" s="8" t="str">
        <f>IF(H37="","",IFERROR(VLOOKUP(H37,Listas!$J$2:$K$5000,2,FALSE),""))</f>
        <v>Banco</v>
      </c>
      <c r="K37" s="9">
        <f>IF(OR(I37="",G37=""),"",IF(G37="Saída",-I37,I37))</f>
        <v>-820</v>
      </c>
      <c r="L37" s="8" t="str">
        <f>IF(E37="","",IFERROR(VLOOKUP(E37,Listas!$A$2:$C$5000,3,FALSE),""))</f>
        <v>Sim</v>
      </c>
    </row>
    <row r="38" spans="1:12" x14ac:dyDescent="0.25">
      <c r="A38" s="5">
        <v>45524</v>
      </c>
      <c r="B38" t="s">
        <v>138</v>
      </c>
      <c r="C38" t="s">
        <v>139</v>
      </c>
      <c r="D38" t="s">
        <v>40</v>
      </c>
      <c r="E38" t="s">
        <v>46</v>
      </c>
      <c r="G38" t="s">
        <v>42</v>
      </c>
      <c r="H38" t="s">
        <v>21</v>
      </c>
      <c r="I38" s="6">
        <v>400</v>
      </c>
      <c r="J38" s="8" t="str">
        <f>IF(H38="","",IFERROR(VLOOKUP(H38,Listas!$J$2:$K$5000,2,FALSE),""))</f>
        <v>Banco</v>
      </c>
      <c r="K38" s="9">
        <f>IF(OR(I38="",G38=""),"",IF(G38="Saída",-I38,I38))</f>
        <v>-400</v>
      </c>
      <c r="L38" s="8" t="str">
        <f>IF(E38="","",IFERROR(VLOOKUP(E38,Listas!$A$2:$C$5000,3,FALSE),""))</f>
        <v>Sim</v>
      </c>
    </row>
    <row r="39" spans="1:12" x14ac:dyDescent="0.25">
      <c r="A39" s="5">
        <v>45528</v>
      </c>
      <c r="B39" t="s">
        <v>140</v>
      </c>
      <c r="C39" t="s">
        <v>141</v>
      </c>
      <c r="D39" t="s">
        <v>40</v>
      </c>
      <c r="E39" t="s">
        <v>33</v>
      </c>
      <c r="G39" t="s">
        <v>11</v>
      </c>
      <c r="H39" t="s">
        <v>30</v>
      </c>
      <c r="I39" s="6">
        <v>1000</v>
      </c>
      <c r="J39" s="8" t="str">
        <f>IF(H39="","",IFERROR(VLOOKUP(H39,Listas!$J$2:$K$5000,2,FALSE),""))</f>
        <v>Banco</v>
      </c>
      <c r="K39" s="9">
        <f>IF(OR(I39="",G39=""),"",IF(G39="Saída",-I39,I39))</f>
        <v>1000</v>
      </c>
      <c r="L39" s="8" t="str">
        <f>IF(E39="","",IFERROR(VLOOKUP(E39,Listas!$A$2:$C$5000,3,FALSE),""))</f>
        <v>Sim</v>
      </c>
    </row>
    <row r="40" spans="1:12" x14ac:dyDescent="0.25">
      <c r="A40" s="5">
        <v>45541</v>
      </c>
      <c r="B40" t="s">
        <v>142</v>
      </c>
      <c r="C40" t="s">
        <v>143</v>
      </c>
      <c r="D40" t="s">
        <v>15</v>
      </c>
      <c r="E40" t="s">
        <v>62</v>
      </c>
      <c r="G40" t="s">
        <v>42</v>
      </c>
      <c r="H40" t="s">
        <v>16</v>
      </c>
      <c r="I40" s="6">
        <v>122.35</v>
      </c>
      <c r="J40" s="8" t="str">
        <f>IF(H40="","",IFERROR(VLOOKUP(H40,Listas!$J$2:$K$5000,2,FALSE),""))</f>
        <v>Caixa</v>
      </c>
      <c r="K40" s="9">
        <f>IF(OR(I40="",G40=""),"",IF(G40="Saída",-I40,I40))</f>
        <v>-122.35</v>
      </c>
      <c r="L40" s="8" t="str">
        <f>IF(E40="","",IFERROR(VLOOKUP(E40,Listas!$A$2:$C$5000,3,FALSE),""))</f>
        <v>Sim</v>
      </c>
    </row>
    <row r="41" spans="1:12" x14ac:dyDescent="0.25">
      <c r="A41" s="5">
        <v>45547</v>
      </c>
      <c r="B41" t="s">
        <v>144</v>
      </c>
      <c r="C41" t="s">
        <v>145</v>
      </c>
      <c r="D41" t="s">
        <v>15</v>
      </c>
      <c r="E41" t="s">
        <v>38</v>
      </c>
      <c r="G41" t="s">
        <v>11</v>
      </c>
      <c r="H41" t="s">
        <v>16</v>
      </c>
      <c r="I41" s="6">
        <v>40</v>
      </c>
      <c r="J41" s="8" t="str">
        <f>IF(H41="","",IFERROR(VLOOKUP(H41,Listas!$J$2:$K$5000,2,FALSE),""))</f>
        <v>Caixa</v>
      </c>
      <c r="K41" s="9">
        <f>IF(OR(I41="",G41=""),"",IF(G41="Saída",-I41,I41))</f>
        <v>40</v>
      </c>
      <c r="L41" s="8" t="str">
        <f>IF(E41="","",IFERROR(VLOOKUP(E41,Listas!$A$2:$C$5000,3,FALSE),""))</f>
        <v>Sim</v>
      </c>
    </row>
    <row r="42" spans="1:12" x14ac:dyDescent="0.25">
      <c r="A42" s="5">
        <v>45566</v>
      </c>
      <c r="B42" t="s">
        <v>146</v>
      </c>
      <c r="C42" t="s">
        <v>147</v>
      </c>
      <c r="D42" t="s">
        <v>15</v>
      </c>
      <c r="E42" t="s">
        <v>58</v>
      </c>
      <c r="G42" t="s">
        <v>42</v>
      </c>
      <c r="H42" t="s">
        <v>21</v>
      </c>
      <c r="I42" s="6">
        <v>350</v>
      </c>
      <c r="J42" s="8" t="str">
        <f>IF(H42="","",IFERROR(VLOOKUP(H42,Listas!$J$2:$K$5000,2,FALSE),""))</f>
        <v>Banco</v>
      </c>
      <c r="K42" s="9">
        <f>IF(OR(I42="",G42=""),"",IF(G42="Saída",-I42,I42))</f>
        <v>-350</v>
      </c>
      <c r="L42" s="8" t="str">
        <f>IF(E42="","",IFERROR(VLOOKUP(E42,Listas!$A$2:$C$5000,3,FALSE),""))</f>
        <v>Sim</v>
      </c>
    </row>
    <row r="43" spans="1:12" x14ac:dyDescent="0.25">
      <c r="A43" s="5">
        <v>45570</v>
      </c>
      <c r="B43" t="s">
        <v>148</v>
      </c>
      <c r="C43" t="s">
        <v>149</v>
      </c>
      <c r="D43" t="s">
        <v>15</v>
      </c>
      <c r="E43" t="s">
        <v>10</v>
      </c>
      <c r="G43" t="s">
        <v>11</v>
      </c>
      <c r="H43" t="s">
        <v>16</v>
      </c>
      <c r="I43" s="6">
        <v>300</v>
      </c>
      <c r="J43" s="8" t="str">
        <f>IF(H43="","",IFERROR(VLOOKUP(H43,Listas!$J$2:$K$5000,2,FALSE),""))</f>
        <v>Caixa</v>
      </c>
      <c r="K43" s="9">
        <f>IF(OR(I43="",G43=""),"",IF(G43="Saída",-I43,I43))</f>
        <v>300</v>
      </c>
      <c r="L43" s="8" t="str">
        <f>IF(E43="","",IFERROR(VLOOKUP(E43,Listas!$A$2:$C$5000,3,FALSE),""))</f>
        <v>Sim</v>
      </c>
    </row>
    <row r="44" spans="1:12" x14ac:dyDescent="0.25">
      <c r="A44" s="5">
        <v>45584</v>
      </c>
      <c r="B44" t="s">
        <v>150</v>
      </c>
      <c r="C44" t="s">
        <v>151</v>
      </c>
      <c r="D44" t="s">
        <v>15</v>
      </c>
      <c r="E44" t="s">
        <v>48</v>
      </c>
      <c r="G44" t="s">
        <v>42</v>
      </c>
      <c r="H44" t="s">
        <v>16</v>
      </c>
      <c r="I44" s="6">
        <v>610</v>
      </c>
      <c r="J44" s="8" t="str">
        <f>IF(H44="","",IFERROR(VLOOKUP(H44,Listas!$J$2:$K$5000,2,FALSE),""))</f>
        <v>Caixa</v>
      </c>
      <c r="K44" s="9">
        <f>IF(OR(I44="",G44=""),"",IF(G44="Saída",-I44,I44))</f>
        <v>-610</v>
      </c>
      <c r="L44" s="8" t="str">
        <f>IF(E44="","",IFERROR(VLOOKUP(E44,Listas!$A$2:$C$5000,3,FALSE),""))</f>
        <v>Sim</v>
      </c>
    </row>
    <row r="45" spans="1:12" x14ac:dyDescent="0.25">
      <c r="A45" s="5">
        <v>45605</v>
      </c>
      <c r="B45" t="s">
        <v>152</v>
      </c>
      <c r="C45" t="s">
        <v>153</v>
      </c>
      <c r="D45" t="s">
        <v>15</v>
      </c>
      <c r="E45" t="s">
        <v>52</v>
      </c>
      <c r="G45" t="s">
        <v>42</v>
      </c>
      <c r="H45" t="s">
        <v>21</v>
      </c>
      <c r="I45" s="6">
        <v>300</v>
      </c>
      <c r="J45" s="8" t="str">
        <f>IF(H45="","",IFERROR(VLOOKUP(H45,Listas!$J$2:$K$5000,2,FALSE),""))</f>
        <v>Banco</v>
      </c>
      <c r="K45" s="9">
        <f>IF(OR(I45="",G45=""),"",IF(G45="Saída",-I45,I45))</f>
        <v>-300</v>
      </c>
      <c r="L45" s="8" t="str">
        <f>IF(E45="","",IFERROR(VLOOKUP(E45,Listas!$A$2:$C$5000,3,FALSE),""))</f>
        <v>Sim</v>
      </c>
    </row>
    <row r="46" spans="1:12" x14ac:dyDescent="0.25">
      <c r="A46" s="5">
        <v>45616</v>
      </c>
      <c r="B46" t="s">
        <v>154</v>
      </c>
      <c r="C46" t="s">
        <v>155</v>
      </c>
      <c r="D46" t="s">
        <v>15</v>
      </c>
      <c r="E46" t="s">
        <v>18</v>
      </c>
      <c r="G46" t="s">
        <v>11</v>
      </c>
      <c r="H46" t="s">
        <v>16</v>
      </c>
      <c r="I46" s="6">
        <v>220</v>
      </c>
      <c r="J46" s="8" t="str">
        <f>IF(H46="","",IFERROR(VLOOKUP(H46,Listas!$J$2:$K$5000,2,FALSE),""))</f>
        <v>Caixa</v>
      </c>
      <c r="K46" s="9">
        <f>IF(OR(I46="",G46=""),"",IF(G46="Saída",-I46,I46))</f>
        <v>220</v>
      </c>
      <c r="L46" s="8" t="str">
        <f>IF(E46="","",IFERROR(VLOOKUP(E46,Listas!$A$2:$C$5000,3,FALSE),""))</f>
        <v>Sim</v>
      </c>
    </row>
    <row r="47" spans="1:12" x14ac:dyDescent="0.25">
      <c r="A47" s="5">
        <v>45633</v>
      </c>
      <c r="B47" t="s">
        <v>156</v>
      </c>
      <c r="C47" t="s">
        <v>157</v>
      </c>
      <c r="D47" t="s">
        <v>15</v>
      </c>
      <c r="E47" t="s">
        <v>26</v>
      </c>
      <c r="G47" t="s">
        <v>11</v>
      </c>
      <c r="H47" t="s">
        <v>21</v>
      </c>
      <c r="I47" s="6">
        <v>1000</v>
      </c>
      <c r="J47" s="8" t="str">
        <f>IF(H47="","",IFERROR(VLOOKUP(H47,Listas!$J$2:$K$5000,2,FALSE),""))</f>
        <v>Banco</v>
      </c>
      <c r="K47" s="9">
        <f>IF(OR(I47="",G47=""),"",IF(G47="Saída",-I47,I47))</f>
        <v>1000</v>
      </c>
      <c r="L47" s="8" t="str">
        <f>IF(E47="","",IFERROR(VLOOKUP(E47,Listas!$A$2:$C$5000,3,FALSE),""))</f>
        <v>Sim</v>
      </c>
    </row>
    <row r="48" spans="1:12" x14ac:dyDescent="0.25">
      <c r="A48" s="5">
        <v>45646</v>
      </c>
      <c r="B48" t="s">
        <v>158</v>
      </c>
      <c r="C48" t="s">
        <v>159</v>
      </c>
      <c r="D48" t="s">
        <v>15</v>
      </c>
      <c r="E48" t="s">
        <v>64</v>
      </c>
      <c r="G48" t="s">
        <v>42</v>
      </c>
      <c r="H48" t="s">
        <v>16</v>
      </c>
      <c r="I48" s="6">
        <v>502.25</v>
      </c>
      <c r="J48" s="8" t="str">
        <f>IF(H48="","",IFERROR(VLOOKUP(H48,Listas!$J$2:$K$5000,2,FALSE),""))</f>
        <v>Caixa</v>
      </c>
      <c r="K48" s="9">
        <f>IF(OR(I48="",G48=""),"",IF(G48="Saída",-I48,I48))</f>
        <v>-502.25</v>
      </c>
      <c r="L48" s="8" t="str">
        <f>IF(E48="","",IFERROR(VLOOKUP(E48,Listas!$A$2:$C$5000,3,FALSE),""))</f>
        <v>Não</v>
      </c>
    </row>
    <row r="49" spans="1:12" x14ac:dyDescent="0.25">
      <c r="A49" s="5">
        <v>45646</v>
      </c>
      <c r="B49" t="s">
        <v>158</v>
      </c>
      <c r="C49" t="s">
        <v>160</v>
      </c>
      <c r="D49" t="s">
        <v>15</v>
      </c>
      <c r="E49" t="s">
        <v>64</v>
      </c>
      <c r="G49" t="s">
        <v>11</v>
      </c>
      <c r="H49" t="s">
        <v>21</v>
      </c>
      <c r="I49" s="6">
        <v>502.25</v>
      </c>
      <c r="J49" s="8" t="str">
        <f>IF(H49="","",IFERROR(VLOOKUP(H49,Listas!$J$2:$K$5000,2,FALSE),""))</f>
        <v>Banco</v>
      </c>
      <c r="K49" s="9">
        <f>IF(OR(I49="",G49=""),"",IF(G49="Saída",-I49,I49))</f>
        <v>502.25</v>
      </c>
      <c r="L49" s="8" t="str">
        <f>IF(E49="","",IFERROR(VLOOKUP(E49,Listas!$A$2:$C$5000,3,FALSE),""))</f>
        <v>Não</v>
      </c>
    </row>
    <row r="50" spans="1:12" x14ac:dyDescent="0.25">
      <c r="A50" s="5">
        <v>45657</v>
      </c>
      <c r="B50" t="s">
        <v>161</v>
      </c>
      <c r="C50" t="s">
        <v>162</v>
      </c>
      <c r="D50" t="s">
        <v>15</v>
      </c>
      <c r="E50" t="s">
        <v>58</v>
      </c>
      <c r="G50" t="s">
        <v>42</v>
      </c>
      <c r="H50" t="s">
        <v>21</v>
      </c>
      <c r="I50" s="6">
        <v>48.1</v>
      </c>
      <c r="J50" s="8" t="str">
        <f>IF(H50="","",IFERROR(VLOOKUP(H50,Listas!$J$2:$K$5000,2,FALSE),""))</f>
        <v>Banco</v>
      </c>
      <c r="K50" s="9">
        <f>IF(OR(I50="",G50=""),"",IF(G50="Saída",-I50,I50))</f>
        <v>-48.1</v>
      </c>
      <c r="L50" s="8" t="str">
        <f>IF(E50="","",IFERROR(VLOOKUP(E50,Listas!$A$2:$C$5000,3,FALSE),""))</f>
        <v>Sim</v>
      </c>
    </row>
    <row r="51" spans="1:12" x14ac:dyDescent="0.25">
      <c r="A51" s="5">
        <v>45696</v>
      </c>
      <c r="B51" t="s">
        <v>83</v>
      </c>
      <c r="C51" t="s">
        <v>163</v>
      </c>
      <c r="D51" t="s">
        <v>15</v>
      </c>
      <c r="E51" t="s">
        <v>10</v>
      </c>
      <c r="G51" t="s">
        <v>11</v>
      </c>
      <c r="H51" t="s">
        <v>21</v>
      </c>
      <c r="I51" s="6">
        <v>960</v>
      </c>
      <c r="J51" s="8" t="str">
        <f>IF(H51="","",IFERROR(VLOOKUP(H51,Listas!$J$2:$K$5000,2,FALSE),""))</f>
        <v>Banco</v>
      </c>
      <c r="K51" s="9">
        <f>IF(OR(I51="",G51=""),"",IF(G51="Saída",-I51,I51))</f>
        <v>960</v>
      </c>
      <c r="L51" s="8" t="str">
        <f>IF(E51="","",IFERROR(VLOOKUP(E51,Listas!$A$2:$C$5000,3,FALSE),""))</f>
        <v>Sim</v>
      </c>
    </row>
    <row r="52" spans="1:12" x14ac:dyDescent="0.25">
      <c r="A52" s="5">
        <v>45710</v>
      </c>
      <c r="B52" t="s">
        <v>90</v>
      </c>
      <c r="C52" t="s">
        <v>106</v>
      </c>
      <c r="D52" t="s">
        <v>15</v>
      </c>
      <c r="E52" t="s">
        <v>26</v>
      </c>
      <c r="G52" t="s">
        <v>11</v>
      </c>
      <c r="H52" t="s">
        <v>21</v>
      </c>
      <c r="I52" s="6">
        <v>1100</v>
      </c>
      <c r="J52" s="8" t="str">
        <f>IF(H52="","",IFERROR(VLOOKUP(H52,Listas!$J$2:$K$5000,2,FALSE),""))</f>
        <v>Banco</v>
      </c>
      <c r="K52" s="9">
        <f>IF(OR(I52="",G52=""),"",IF(G52="Saída",-I52,I52))</f>
        <v>1100</v>
      </c>
      <c r="L52" s="8" t="str">
        <f>IF(E52="","",IFERROR(VLOOKUP(E52,Listas!$A$2:$C$5000,3,FALSE),""))</f>
        <v>Sim</v>
      </c>
    </row>
    <row r="53" spans="1:12" x14ac:dyDescent="0.25">
      <c r="A53" s="5">
        <v>45714</v>
      </c>
      <c r="B53" t="s">
        <v>85</v>
      </c>
      <c r="C53" t="s">
        <v>164</v>
      </c>
      <c r="D53" t="s">
        <v>15</v>
      </c>
      <c r="E53" t="s">
        <v>48</v>
      </c>
      <c r="G53" t="s">
        <v>42</v>
      </c>
      <c r="H53" t="s">
        <v>21</v>
      </c>
      <c r="I53" s="6">
        <v>840</v>
      </c>
      <c r="J53" s="8" t="str">
        <f>IF(H53="","",IFERROR(VLOOKUP(H53,Listas!$J$2:$K$5000,2,FALSE),""))</f>
        <v>Banco</v>
      </c>
      <c r="K53" s="9">
        <f>IF(OR(I53="",G53=""),"",IF(G53="Saída",-I53,I53))</f>
        <v>-840</v>
      </c>
      <c r="L53" s="8" t="str">
        <f>IF(E53="","",IFERROR(VLOOKUP(E53,Listas!$A$2:$C$5000,3,FALSE),""))</f>
        <v>Sim</v>
      </c>
    </row>
    <row r="54" spans="1:12" x14ac:dyDescent="0.25">
      <c r="A54" s="5">
        <v>45718</v>
      </c>
      <c r="B54" t="s">
        <v>87</v>
      </c>
      <c r="C54" t="s">
        <v>89</v>
      </c>
      <c r="D54" t="s">
        <v>24</v>
      </c>
      <c r="E54" t="s">
        <v>54</v>
      </c>
      <c r="G54" t="s">
        <v>42</v>
      </c>
      <c r="H54" t="s">
        <v>21</v>
      </c>
      <c r="I54" s="6">
        <v>650</v>
      </c>
      <c r="J54" s="8" t="str">
        <f>IF(H54="","",IFERROR(VLOOKUP(H54,Listas!$J$2:$K$5000,2,FALSE),""))</f>
        <v>Banco</v>
      </c>
      <c r="K54" s="9">
        <f>IF(OR(I54="",G54=""),"",IF(G54="Saída",-I54,I54))</f>
        <v>-650</v>
      </c>
      <c r="L54" s="8" t="str">
        <f>IF(E54="","",IFERROR(VLOOKUP(E54,Listas!$A$2:$C$5000,3,FALSE),""))</f>
        <v>Sim</v>
      </c>
    </row>
    <row r="55" spans="1:12" x14ac:dyDescent="0.25">
      <c r="A55" s="5">
        <v>45719</v>
      </c>
      <c r="B55" t="s">
        <v>88</v>
      </c>
      <c r="C55" t="s">
        <v>63</v>
      </c>
      <c r="D55" t="s">
        <v>24</v>
      </c>
      <c r="E55" t="s">
        <v>56</v>
      </c>
      <c r="G55" t="s">
        <v>42</v>
      </c>
      <c r="H55" t="s">
        <v>21</v>
      </c>
      <c r="I55" s="6">
        <v>210</v>
      </c>
      <c r="J55" s="8" t="str">
        <f>IF(H55="","",IFERROR(VLOOKUP(H55,Listas!$J$2:$K$5000,2,FALSE),""))</f>
        <v>Banco</v>
      </c>
      <c r="K55" s="9">
        <f>IF(OR(I55="",G55=""),"",IF(G55="Saída",-I55,I55))</f>
        <v>-210</v>
      </c>
      <c r="L55" s="8" t="str">
        <f>IF(E55="","",IFERROR(VLOOKUP(E55,Listas!$A$2:$C$5000,3,FALSE),""))</f>
        <v>Sim</v>
      </c>
    </row>
    <row r="56" spans="1:12" x14ac:dyDescent="0.25">
      <c r="A56" s="5">
        <v>45720</v>
      </c>
      <c r="B56" t="s">
        <v>94</v>
      </c>
      <c r="C56" t="s">
        <v>91</v>
      </c>
      <c r="D56" t="s">
        <v>24</v>
      </c>
      <c r="E56" t="s">
        <v>36</v>
      </c>
      <c r="G56" t="s">
        <v>11</v>
      </c>
      <c r="H56" t="s">
        <v>21</v>
      </c>
      <c r="I56" s="6">
        <v>500</v>
      </c>
      <c r="J56" s="8" t="str">
        <f>IF(H56="","",IFERROR(VLOOKUP(H56,Listas!$J$2:$K$5000,2,FALSE),""))</f>
        <v>Banco</v>
      </c>
      <c r="K56" s="9">
        <f>IF(OR(I56="",G56=""),"",IF(G56="Saída",-I56,I56))</f>
        <v>500</v>
      </c>
      <c r="L56" s="8" t="str">
        <f>IF(E56="","",IFERROR(VLOOKUP(E56,Listas!$A$2:$C$5000,3,FALSE),""))</f>
        <v>Sim</v>
      </c>
    </row>
    <row r="57" spans="1:12" x14ac:dyDescent="0.25">
      <c r="A57" s="5">
        <v>45726</v>
      </c>
      <c r="B57" t="s">
        <v>92</v>
      </c>
      <c r="C57" t="s">
        <v>93</v>
      </c>
      <c r="D57" t="s">
        <v>24</v>
      </c>
      <c r="E57" t="s">
        <v>60</v>
      </c>
      <c r="G57" t="s">
        <v>42</v>
      </c>
      <c r="H57" t="s">
        <v>16</v>
      </c>
      <c r="I57" s="6">
        <v>100</v>
      </c>
      <c r="J57" s="8" t="str">
        <f>IF(H57="","",IFERROR(VLOOKUP(H57,Listas!$J$2:$K$5000,2,FALSE),""))</f>
        <v>Caixa</v>
      </c>
      <c r="K57" s="9">
        <f>IF(OR(I57="",G57=""),"",IF(G57="Saída",-I57,I57))</f>
        <v>-100</v>
      </c>
      <c r="L57" s="8" t="str">
        <f>IF(E57="","",IFERROR(VLOOKUP(E57,Listas!$A$2:$C$5000,3,FALSE),""))</f>
        <v>Sim</v>
      </c>
    </row>
    <row r="58" spans="1:12" x14ac:dyDescent="0.25">
      <c r="A58" s="5">
        <v>45727</v>
      </c>
      <c r="B58" t="s">
        <v>96</v>
      </c>
      <c r="C58" t="s">
        <v>55</v>
      </c>
      <c r="D58" t="s">
        <v>24</v>
      </c>
      <c r="E58" t="s">
        <v>46</v>
      </c>
      <c r="G58" t="s">
        <v>42</v>
      </c>
      <c r="H58" t="s">
        <v>21</v>
      </c>
      <c r="I58" s="6">
        <v>615</v>
      </c>
      <c r="J58" s="8" t="str">
        <f>IF(H58="","",IFERROR(VLOOKUP(H58,Listas!$J$2:$K$5000,2,FALSE),""))</f>
        <v>Banco</v>
      </c>
      <c r="K58" s="9">
        <f>IF(OR(I58="",G58=""),"",IF(G58="Saída",-I58,I58))</f>
        <v>-615</v>
      </c>
      <c r="L58" s="8" t="str">
        <f>IF(E58="","",IFERROR(VLOOKUP(E58,Listas!$A$2:$C$5000,3,FALSE),""))</f>
        <v>Sim</v>
      </c>
    </row>
    <row r="59" spans="1:12" x14ac:dyDescent="0.25">
      <c r="A59" s="5">
        <v>45728</v>
      </c>
      <c r="B59" t="s">
        <v>98</v>
      </c>
      <c r="C59" t="s">
        <v>97</v>
      </c>
      <c r="D59" t="s">
        <v>24</v>
      </c>
      <c r="E59" t="s">
        <v>41</v>
      </c>
      <c r="G59" t="s">
        <v>42</v>
      </c>
      <c r="H59" t="s">
        <v>21</v>
      </c>
      <c r="I59" s="6">
        <v>200</v>
      </c>
      <c r="J59" s="8" t="str">
        <f>IF(H59="","",IFERROR(VLOOKUP(H59,Listas!$J$2:$K$5000,2,FALSE),""))</f>
        <v>Banco</v>
      </c>
      <c r="K59" s="9">
        <f>IF(OR(I59="",G59=""),"",IF(G59="Saída",-I59,I59))</f>
        <v>-200</v>
      </c>
      <c r="L59" s="8" t="str">
        <f>IF(E59="","",IFERROR(VLOOKUP(E59,Listas!$A$2:$C$5000,3,FALSE),""))</f>
        <v>Sim</v>
      </c>
    </row>
    <row r="60" spans="1:12" x14ac:dyDescent="0.25">
      <c r="A60" s="5">
        <v>45730</v>
      </c>
      <c r="B60" t="s">
        <v>99</v>
      </c>
      <c r="C60" t="s">
        <v>165</v>
      </c>
      <c r="D60" t="s">
        <v>35</v>
      </c>
      <c r="E60" t="s">
        <v>14</v>
      </c>
      <c r="G60" t="s">
        <v>11</v>
      </c>
      <c r="H60" t="s">
        <v>21</v>
      </c>
      <c r="I60" s="6">
        <v>2000</v>
      </c>
      <c r="J60" s="8" t="str">
        <f>IF(H60="","",IFERROR(VLOOKUP(H60,Listas!$J$2:$K$5000,2,FALSE),""))</f>
        <v>Banco</v>
      </c>
      <c r="K60" s="9">
        <f>IF(OR(I60="",G60=""),"",IF(G60="Saída",-I60,I60))</f>
        <v>2000</v>
      </c>
      <c r="L60" s="8" t="str">
        <f>IF(E60="","",IFERROR(VLOOKUP(E60,Listas!$A$2:$C$5000,3,FALSE),""))</f>
        <v>Sim</v>
      </c>
    </row>
    <row r="61" spans="1:12" x14ac:dyDescent="0.25">
      <c r="A61" s="5">
        <v>45731</v>
      </c>
      <c r="B61" t="s">
        <v>100</v>
      </c>
      <c r="C61" t="s">
        <v>34</v>
      </c>
      <c r="D61" t="s">
        <v>24</v>
      </c>
      <c r="E61" t="s">
        <v>28</v>
      </c>
      <c r="G61" t="s">
        <v>11</v>
      </c>
      <c r="H61" t="s">
        <v>16</v>
      </c>
      <c r="I61" s="6">
        <v>1200</v>
      </c>
      <c r="J61" s="8" t="str">
        <f>IF(H61="","",IFERROR(VLOOKUP(H61,Listas!$J$2:$K$5000,2,FALSE),""))</f>
        <v>Caixa</v>
      </c>
      <c r="K61" s="9">
        <f>IF(OR(I61="",G61=""),"",IF(G61="Saída",-I61,I61))</f>
        <v>1200</v>
      </c>
      <c r="L61" s="8" t="str">
        <f>IF(E61="","",IFERROR(VLOOKUP(E61,Listas!$A$2:$C$5000,3,FALSE),""))</f>
        <v>Sim</v>
      </c>
    </row>
    <row r="62" spans="1:12" x14ac:dyDescent="0.25">
      <c r="A62" s="5">
        <v>45731</v>
      </c>
      <c r="B62" t="s">
        <v>105</v>
      </c>
      <c r="C62" t="s">
        <v>101</v>
      </c>
      <c r="D62" t="s">
        <v>24</v>
      </c>
      <c r="E62" t="s">
        <v>33</v>
      </c>
      <c r="G62" t="s">
        <v>11</v>
      </c>
      <c r="H62" t="s">
        <v>16</v>
      </c>
      <c r="I62" s="6">
        <v>1400</v>
      </c>
      <c r="J62" s="8" t="str">
        <f>IF(H62="","",IFERROR(VLOOKUP(H62,Listas!$J$2:$K$5000,2,FALSE),""))</f>
        <v>Caixa</v>
      </c>
      <c r="K62" s="9">
        <f>IF(OR(I62="",G62=""),"",IF(G62="Saída",-I62,I62))</f>
        <v>1400</v>
      </c>
      <c r="L62" s="8" t="str">
        <f>IF(E62="","",IFERROR(VLOOKUP(E62,Listas!$A$2:$C$5000,3,FALSE),""))</f>
        <v>Sim</v>
      </c>
    </row>
    <row r="63" spans="1:12" x14ac:dyDescent="0.25">
      <c r="A63" s="5">
        <v>45733</v>
      </c>
      <c r="B63" t="s">
        <v>102</v>
      </c>
      <c r="C63" t="s">
        <v>103</v>
      </c>
      <c r="D63" t="s">
        <v>24</v>
      </c>
      <c r="E63" t="s">
        <v>64</v>
      </c>
      <c r="G63" t="s">
        <v>42</v>
      </c>
      <c r="H63" t="s">
        <v>16</v>
      </c>
      <c r="I63" s="6">
        <v>2600</v>
      </c>
      <c r="J63" s="8" t="str">
        <f>IF(H63="","",IFERROR(VLOOKUP(H63,Listas!$J$2:$K$5000,2,FALSE),""))</f>
        <v>Caixa</v>
      </c>
      <c r="K63" s="9">
        <f>IF(OR(I63="",G63=""),"",IF(G63="Saída",-I63,I63))</f>
        <v>-2600</v>
      </c>
      <c r="L63" s="8" t="str">
        <f>IF(E63="","",IFERROR(VLOOKUP(E63,Listas!$A$2:$C$5000,3,FALSE),""))</f>
        <v>Não</v>
      </c>
    </row>
    <row r="64" spans="1:12" x14ac:dyDescent="0.25">
      <c r="A64" s="5">
        <v>45733</v>
      </c>
      <c r="B64" t="s">
        <v>102</v>
      </c>
      <c r="C64" t="s">
        <v>104</v>
      </c>
      <c r="D64" t="s">
        <v>24</v>
      </c>
      <c r="E64" t="s">
        <v>64</v>
      </c>
      <c r="G64" t="s">
        <v>11</v>
      </c>
      <c r="H64" t="s">
        <v>21</v>
      </c>
      <c r="I64" s="6">
        <v>2600</v>
      </c>
      <c r="J64" s="8" t="str">
        <f>IF(H64="","",IFERROR(VLOOKUP(H64,Listas!$J$2:$K$5000,2,FALSE),""))</f>
        <v>Banco</v>
      </c>
      <c r="K64" s="9">
        <f>IF(OR(I64="",G64=""),"",IF(G64="Saída",-I64,I64))</f>
        <v>2600</v>
      </c>
      <c r="L64" s="8" t="str">
        <f>IF(E64="","",IFERROR(VLOOKUP(E64,Listas!$A$2:$C$5000,3,FALSE),""))</f>
        <v>Não</v>
      </c>
    </row>
    <row r="65" spans="1:12" x14ac:dyDescent="0.25">
      <c r="A65" s="5">
        <v>45744</v>
      </c>
      <c r="B65" t="s">
        <v>107</v>
      </c>
      <c r="C65" t="s">
        <v>108</v>
      </c>
      <c r="D65" t="s">
        <v>35</v>
      </c>
      <c r="E65" t="s">
        <v>54</v>
      </c>
      <c r="G65" t="s">
        <v>42</v>
      </c>
      <c r="H65" t="s">
        <v>21</v>
      </c>
      <c r="I65" s="6">
        <v>800</v>
      </c>
      <c r="J65" s="8" t="str">
        <f>IF(H65="","",IFERROR(VLOOKUP(H65,Listas!$J$2:$K$5000,2,FALSE),""))</f>
        <v>Banco</v>
      </c>
      <c r="K65" s="9">
        <f>IF(OR(I65="",G65=""),"",IF(G65="Saída",-I65,I65))</f>
        <v>-800</v>
      </c>
      <c r="L65" s="8" t="str">
        <f>IF(E65="","",IFERROR(VLOOKUP(E65,Listas!$A$2:$C$5000,3,FALSE),""))</f>
        <v>Sim</v>
      </c>
    </row>
    <row r="66" spans="1:12" x14ac:dyDescent="0.25">
      <c r="A66" s="5">
        <v>45748</v>
      </c>
      <c r="B66" t="s">
        <v>111</v>
      </c>
      <c r="C66" t="s">
        <v>112</v>
      </c>
      <c r="D66" t="s">
        <v>35</v>
      </c>
      <c r="E66" t="s">
        <v>36</v>
      </c>
      <c r="G66" t="s">
        <v>11</v>
      </c>
      <c r="H66" t="s">
        <v>21</v>
      </c>
      <c r="I66" s="6">
        <v>1700</v>
      </c>
      <c r="J66" s="8" t="str">
        <f>IF(H66="","",IFERROR(VLOOKUP(H66,Listas!$J$2:$K$5000,2,FALSE),""))</f>
        <v>Banco</v>
      </c>
      <c r="K66" s="9">
        <f>IF(OR(I66="",G66=""),"",IF(G66="Saída",-I66,I66))</f>
        <v>1700</v>
      </c>
      <c r="L66" s="8" t="str">
        <f>IF(E66="","",IFERROR(VLOOKUP(E66,Listas!$A$2:$C$5000,3,FALSE),""))</f>
        <v>Sim</v>
      </c>
    </row>
    <row r="67" spans="1:12" x14ac:dyDescent="0.25">
      <c r="A67" s="5">
        <v>45749</v>
      </c>
      <c r="B67" t="s">
        <v>109</v>
      </c>
      <c r="C67" t="s">
        <v>110</v>
      </c>
      <c r="D67" t="s">
        <v>35</v>
      </c>
      <c r="E67" t="s">
        <v>56</v>
      </c>
      <c r="G67" t="s">
        <v>42</v>
      </c>
      <c r="H67" t="s">
        <v>21</v>
      </c>
      <c r="I67" s="6">
        <v>400</v>
      </c>
      <c r="J67" s="8" t="str">
        <f>IF(H67="","",IFERROR(VLOOKUP(H67,Listas!$J$2:$K$5000,2,FALSE),""))</f>
        <v>Banco</v>
      </c>
      <c r="K67" s="9">
        <f>IF(OR(I67="",G67=""),"",IF(G67="Saída",-I67,I67))</f>
        <v>-400</v>
      </c>
      <c r="L67" s="8" t="str">
        <f>IF(E67="","",IFERROR(VLOOKUP(E67,Listas!$A$2:$C$5000,3,FALSE),""))</f>
        <v>Sim</v>
      </c>
    </row>
    <row r="68" spans="1:12" x14ac:dyDescent="0.25">
      <c r="A68" s="5">
        <v>45756</v>
      </c>
      <c r="B68" t="s">
        <v>113</v>
      </c>
      <c r="C68" t="s">
        <v>166</v>
      </c>
      <c r="D68" t="s">
        <v>35</v>
      </c>
      <c r="E68" t="s">
        <v>14</v>
      </c>
      <c r="G68" t="s">
        <v>11</v>
      </c>
      <c r="H68" t="s">
        <v>21</v>
      </c>
      <c r="I68" s="6">
        <v>1500</v>
      </c>
      <c r="J68" s="8" t="str">
        <f>IF(H68="","",IFERROR(VLOOKUP(H68,Listas!$J$2:$K$5000,2,FALSE),""))</f>
        <v>Banco</v>
      </c>
      <c r="K68" s="9">
        <f>IF(OR(I68="",G68=""),"",IF(G68="Saída",-I68,I68))</f>
        <v>1500</v>
      </c>
      <c r="L68" s="8" t="str">
        <f>IF(E68="","",IFERROR(VLOOKUP(E68,Listas!$A$2:$C$5000,3,FALSE),""))</f>
        <v>Sim</v>
      </c>
    </row>
    <row r="69" spans="1:12" x14ac:dyDescent="0.25">
      <c r="A69" s="5">
        <v>45758</v>
      </c>
      <c r="B69" t="s">
        <v>118</v>
      </c>
      <c r="C69" t="s">
        <v>167</v>
      </c>
      <c r="D69" t="s">
        <v>35</v>
      </c>
      <c r="E69" t="s">
        <v>14</v>
      </c>
      <c r="G69" t="s">
        <v>11</v>
      </c>
      <c r="H69" t="s">
        <v>21</v>
      </c>
      <c r="I69" s="6">
        <v>500</v>
      </c>
      <c r="J69" s="8" t="str">
        <f>IF(H69="","",IFERROR(VLOOKUP(H69,Listas!$J$2:$K$5000,2,FALSE),""))</f>
        <v>Banco</v>
      </c>
      <c r="K69" s="9">
        <f>IF(OR(I69="",G69=""),"",IF(G69="Saída",-I69,I69))</f>
        <v>500</v>
      </c>
      <c r="L69" s="8" t="str">
        <f>IF(E69="","",IFERROR(VLOOKUP(E69,Listas!$A$2:$C$5000,3,FALSE),""))</f>
        <v>Sim</v>
      </c>
    </row>
    <row r="70" spans="1:12" x14ac:dyDescent="0.25">
      <c r="A70" s="5">
        <v>45762</v>
      </c>
      <c r="B70" t="s">
        <v>115</v>
      </c>
      <c r="C70" t="s">
        <v>69</v>
      </c>
      <c r="D70" t="s">
        <v>35</v>
      </c>
      <c r="E70" t="s">
        <v>60</v>
      </c>
      <c r="G70" t="s">
        <v>42</v>
      </c>
      <c r="H70" t="s">
        <v>21</v>
      </c>
      <c r="I70" s="6">
        <v>295</v>
      </c>
      <c r="J70" s="8" t="str">
        <f>IF(H70="","",IFERROR(VLOOKUP(H70,Listas!$J$2:$K$5000,2,FALSE),""))</f>
        <v>Banco</v>
      </c>
      <c r="K70" s="9">
        <f>IF(OR(I70="",G70=""),"",IF(G70="Saída",-I70,I70))</f>
        <v>-295</v>
      </c>
      <c r="L70" s="8" t="str">
        <f>IF(E70="","",IFERROR(VLOOKUP(E70,Listas!$A$2:$C$5000,3,FALSE),""))</f>
        <v>Sim</v>
      </c>
    </row>
    <row r="71" spans="1:12" x14ac:dyDescent="0.25">
      <c r="A71" s="5">
        <v>45769</v>
      </c>
      <c r="B71" t="s">
        <v>116</v>
      </c>
      <c r="C71" t="s">
        <v>47</v>
      </c>
      <c r="D71" t="s">
        <v>35</v>
      </c>
      <c r="E71" t="s">
        <v>41</v>
      </c>
      <c r="G71" t="s">
        <v>42</v>
      </c>
      <c r="H71" t="s">
        <v>21</v>
      </c>
      <c r="I71" s="6">
        <v>3100</v>
      </c>
      <c r="J71" s="8" t="str">
        <f>IF(H71="","",IFERROR(VLOOKUP(H71,Listas!$J$2:$K$5000,2,FALSE),""))</f>
        <v>Banco</v>
      </c>
      <c r="K71" s="9">
        <f>IF(OR(I71="",G71=""),"",IF(G71="Saída",-I71,I71))</f>
        <v>-3100</v>
      </c>
      <c r="L71" s="8" t="str">
        <f>IF(E71="","",IFERROR(VLOOKUP(E71,Listas!$A$2:$C$5000,3,FALSE),""))</f>
        <v>Sim</v>
      </c>
    </row>
    <row r="72" spans="1:12" x14ac:dyDescent="0.25">
      <c r="A72" s="5">
        <v>45771</v>
      </c>
      <c r="B72" t="s">
        <v>117</v>
      </c>
      <c r="C72" t="s">
        <v>49</v>
      </c>
      <c r="D72" t="s">
        <v>35</v>
      </c>
      <c r="E72" t="s">
        <v>41</v>
      </c>
      <c r="G72" t="s">
        <v>42</v>
      </c>
      <c r="H72" t="s">
        <v>21</v>
      </c>
      <c r="I72" s="6">
        <v>1400</v>
      </c>
      <c r="J72" s="8" t="str">
        <f>IF(H72="","",IFERROR(VLOOKUP(H72,Listas!$J$2:$K$5000,2,FALSE),""))</f>
        <v>Banco</v>
      </c>
      <c r="K72" s="9">
        <f>IF(OR(I72="",G72=""),"",IF(G72="Saída",-I72,I72))</f>
        <v>-1400</v>
      </c>
      <c r="L72" s="8" t="str">
        <f>IF(E72="","",IFERROR(VLOOKUP(E72,Listas!$A$2:$C$5000,3,FALSE),""))</f>
        <v>Sim</v>
      </c>
    </row>
    <row r="73" spans="1:12" x14ac:dyDescent="0.25">
      <c r="A73" s="5">
        <v>45772</v>
      </c>
      <c r="B73" t="s">
        <v>121</v>
      </c>
      <c r="C73" t="s">
        <v>119</v>
      </c>
      <c r="D73" t="s">
        <v>35</v>
      </c>
      <c r="E73" t="s">
        <v>28</v>
      </c>
      <c r="G73" t="s">
        <v>11</v>
      </c>
      <c r="H73" t="s">
        <v>21</v>
      </c>
      <c r="I73" s="6">
        <v>2400</v>
      </c>
      <c r="J73" s="8" t="str">
        <f>IF(H73="","",IFERROR(VLOOKUP(H73,Listas!$J$2:$K$5000,2,FALSE),""))</f>
        <v>Banco</v>
      </c>
      <c r="K73" s="9">
        <f>IF(OR(I73="",G73=""),"",IF(G73="Saída",-I73,I73))</f>
        <v>2400</v>
      </c>
      <c r="L73" s="8" t="str">
        <f>IF(E73="","",IFERROR(VLOOKUP(E73,Listas!$A$2:$C$5000,3,FALSE),""))</f>
        <v>Sim</v>
      </c>
    </row>
    <row r="74" spans="1:12" x14ac:dyDescent="0.25">
      <c r="A74" s="5">
        <v>45775</v>
      </c>
      <c r="B74" t="s">
        <v>120</v>
      </c>
      <c r="C74" t="s">
        <v>46</v>
      </c>
      <c r="D74" t="s">
        <v>35</v>
      </c>
      <c r="E74" t="s">
        <v>46</v>
      </c>
      <c r="G74" t="s">
        <v>42</v>
      </c>
      <c r="H74" t="s">
        <v>21</v>
      </c>
      <c r="I74" s="6">
        <v>2000.6</v>
      </c>
      <c r="J74" s="8" t="str">
        <f>IF(H74="","",IFERROR(VLOOKUP(H74,Listas!$J$2:$K$5000,2,FALSE),""))</f>
        <v>Banco</v>
      </c>
      <c r="K74" s="9">
        <f>IF(OR(I74="",G74=""),"",IF(G74="Saída",-I74,I74))</f>
        <v>-2000.6</v>
      </c>
      <c r="L74" s="8" t="str">
        <f>IF(E74="","",IFERROR(VLOOKUP(E74,Listas!$A$2:$C$5000,3,FALSE),""))</f>
        <v>Sim</v>
      </c>
    </row>
    <row r="75" spans="1:12" x14ac:dyDescent="0.25">
      <c r="A75" s="5">
        <v>45780</v>
      </c>
      <c r="B75" t="s">
        <v>122</v>
      </c>
      <c r="C75" t="s">
        <v>31</v>
      </c>
      <c r="D75" t="s">
        <v>35</v>
      </c>
      <c r="E75" t="s">
        <v>28</v>
      </c>
      <c r="G75" t="s">
        <v>11</v>
      </c>
      <c r="H75" t="s">
        <v>16</v>
      </c>
      <c r="I75" s="6">
        <v>2580</v>
      </c>
      <c r="J75" s="8" t="str">
        <f>IF(H75="","",IFERROR(VLOOKUP(H75,Listas!$J$2:$K$5000,2,FALSE),""))</f>
        <v>Caixa</v>
      </c>
      <c r="K75" s="9">
        <f>IF(OR(I75="",G75=""),"",IF(G75="Saída",-I75,I75))</f>
        <v>2580</v>
      </c>
      <c r="L75" s="8" t="str">
        <f>IF(E75="","",IFERROR(VLOOKUP(E75,Listas!$A$2:$C$5000,3,FALSE),""))</f>
        <v>Sim</v>
      </c>
    </row>
    <row r="76" spans="1:12" x14ac:dyDescent="0.25">
      <c r="A76" s="5">
        <v>45780</v>
      </c>
      <c r="B76" t="s">
        <v>124</v>
      </c>
      <c r="C76" t="s">
        <v>123</v>
      </c>
      <c r="D76" t="s">
        <v>35</v>
      </c>
      <c r="E76" t="s">
        <v>33</v>
      </c>
      <c r="G76" t="s">
        <v>11</v>
      </c>
      <c r="H76" t="s">
        <v>30</v>
      </c>
      <c r="I76" s="6">
        <v>2800</v>
      </c>
      <c r="J76" s="8" t="str">
        <f>IF(H76="","",IFERROR(VLOOKUP(H76,Listas!$J$2:$K$5000,2,FALSE),""))</f>
        <v>Banco</v>
      </c>
      <c r="K76" s="9">
        <f>IF(OR(I76="",G76=""),"",IF(G76="Saída",-I76,I76))</f>
        <v>2800</v>
      </c>
      <c r="L76" s="8" t="str">
        <f>IF(E76="","",IFERROR(VLOOKUP(E76,Listas!$A$2:$C$5000,3,FALSE),""))</f>
        <v>Sim</v>
      </c>
    </row>
    <row r="77" spans="1:12" x14ac:dyDescent="0.25">
      <c r="A77" s="5">
        <v>45780</v>
      </c>
      <c r="B77" t="s">
        <v>129</v>
      </c>
      <c r="C77" t="s">
        <v>39</v>
      </c>
      <c r="D77" t="s">
        <v>35</v>
      </c>
      <c r="E77" t="s">
        <v>33</v>
      </c>
      <c r="G77" t="s">
        <v>11</v>
      </c>
      <c r="H77" t="s">
        <v>16</v>
      </c>
      <c r="I77" s="6">
        <v>540</v>
      </c>
      <c r="J77" s="8" t="str">
        <f>IF(H77="","",IFERROR(VLOOKUP(H77,Listas!$J$2:$K$5000,2,FALSE),""))</f>
        <v>Caixa</v>
      </c>
      <c r="K77" s="9">
        <f>IF(OR(I77="",G77=""),"",IF(G77="Saída",-I77,I77))</f>
        <v>540</v>
      </c>
      <c r="L77" s="8" t="str">
        <f>IF(E77="","",IFERROR(VLOOKUP(E77,Listas!$A$2:$C$5000,3,FALSE),""))</f>
        <v>Sim</v>
      </c>
    </row>
    <row r="78" spans="1:12" x14ac:dyDescent="0.25">
      <c r="A78" s="5">
        <v>45782</v>
      </c>
      <c r="B78" t="s">
        <v>125</v>
      </c>
      <c r="C78" t="s">
        <v>103</v>
      </c>
      <c r="D78" t="s">
        <v>35</v>
      </c>
      <c r="E78" t="s">
        <v>64</v>
      </c>
      <c r="G78" t="s">
        <v>42</v>
      </c>
      <c r="H78" t="s">
        <v>16</v>
      </c>
      <c r="I78" s="6">
        <v>3100</v>
      </c>
      <c r="J78" s="8" t="str">
        <f>IF(H78="","",IFERROR(VLOOKUP(H78,Listas!$J$2:$K$5000,2,FALSE),""))</f>
        <v>Caixa</v>
      </c>
      <c r="K78" s="9">
        <f>IF(OR(I78="",G78=""),"",IF(G78="Saída",-I78,I78))</f>
        <v>-3100</v>
      </c>
      <c r="L78" s="8" t="str">
        <f>IF(E78="","",IFERROR(VLOOKUP(E78,Listas!$A$2:$C$5000,3,FALSE),""))</f>
        <v>Não</v>
      </c>
    </row>
    <row r="79" spans="1:12" x14ac:dyDescent="0.25">
      <c r="A79" s="5">
        <v>45782</v>
      </c>
      <c r="B79" t="s">
        <v>125</v>
      </c>
      <c r="C79" t="s">
        <v>104</v>
      </c>
      <c r="D79" t="s">
        <v>35</v>
      </c>
      <c r="E79" t="s">
        <v>64</v>
      </c>
      <c r="G79" t="s">
        <v>11</v>
      </c>
      <c r="H79" t="s">
        <v>21</v>
      </c>
      <c r="I79" s="6">
        <v>3100</v>
      </c>
      <c r="J79" s="8" t="str">
        <f>IF(H79="","",IFERROR(VLOOKUP(H79,Listas!$J$2:$K$5000,2,FALSE),""))</f>
        <v>Banco</v>
      </c>
      <c r="K79" s="9">
        <f>IF(OR(I79="",G79=""),"",IF(G79="Saída",-I79,I79))</f>
        <v>3100</v>
      </c>
      <c r="L79" s="8" t="str">
        <f>IF(E79="","",IFERROR(VLOOKUP(E79,Listas!$A$2:$C$5000,3,FALSE),""))</f>
        <v>Não</v>
      </c>
    </row>
    <row r="80" spans="1:12" x14ac:dyDescent="0.25">
      <c r="A80" s="5">
        <v>45783</v>
      </c>
      <c r="B80" t="s">
        <v>126</v>
      </c>
      <c r="C80" t="s">
        <v>51</v>
      </c>
      <c r="D80" t="s">
        <v>35</v>
      </c>
      <c r="E80" t="s">
        <v>44</v>
      </c>
      <c r="G80" t="s">
        <v>42</v>
      </c>
      <c r="H80" t="s">
        <v>21</v>
      </c>
      <c r="I80" s="6">
        <v>3100</v>
      </c>
      <c r="J80" s="8" t="str">
        <f>IF(H80="","",IFERROR(VLOOKUP(H80,Listas!$J$2:$K$5000,2,FALSE),""))</f>
        <v>Banco</v>
      </c>
      <c r="K80" s="9">
        <f>IF(OR(I80="",G80=""),"",IF(G80="Saída",-I80,I80))</f>
        <v>-3100</v>
      </c>
      <c r="L80" s="8" t="str">
        <f>IF(E80="","",IFERROR(VLOOKUP(E80,Listas!$A$2:$C$5000,3,FALSE),""))</f>
        <v>Sim</v>
      </c>
    </row>
    <row r="81" spans="1:12" x14ac:dyDescent="0.25">
      <c r="A81" s="5">
        <v>45785</v>
      </c>
      <c r="B81" t="s">
        <v>127</v>
      </c>
      <c r="C81" t="s">
        <v>53</v>
      </c>
      <c r="D81" t="s">
        <v>35</v>
      </c>
      <c r="E81" t="s">
        <v>44</v>
      </c>
      <c r="G81" t="s">
        <v>42</v>
      </c>
      <c r="H81" t="s">
        <v>21</v>
      </c>
      <c r="I81" s="6">
        <v>1770</v>
      </c>
      <c r="J81" s="8" t="str">
        <f>IF(H81="","",IFERROR(VLOOKUP(H81,Listas!$J$2:$K$5000,2,FALSE),""))</f>
        <v>Banco</v>
      </c>
      <c r="K81" s="9">
        <f>IF(OR(I81="",G81=""),"",IF(G81="Saída",-I81,I81))</f>
        <v>-1770</v>
      </c>
      <c r="L81" s="8" t="str">
        <f>IF(E81="","",IFERROR(VLOOKUP(E81,Listas!$A$2:$C$5000,3,FALSE),""))</f>
        <v>Sim</v>
      </c>
    </row>
    <row r="82" spans="1:12" x14ac:dyDescent="0.25">
      <c r="A82" s="5">
        <v>45787</v>
      </c>
      <c r="B82" t="s">
        <v>128</v>
      </c>
      <c r="C82" t="s">
        <v>50</v>
      </c>
      <c r="D82" t="s">
        <v>35</v>
      </c>
      <c r="E82" t="s">
        <v>50</v>
      </c>
      <c r="G82" t="s">
        <v>42</v>
      </c>
      <c r="H82" t="s">
        <v>21</v>
      </c>
      <c r="I82" s="6">
        <v>780</v>
      </c>
      <c r="J82" s="8" t="str">
        <f>IF(H82="","",IFERROR(VLOOKUP(H82,Listas!$J$2:$K$5000,2,FALSE),""))</f>
        <v>Banco</v>
      </c>
      <c r="K82" s="9">
        <f>IF(OR(I82="",G82=""),"",IF(G82="Saída",-I82,I82))</f>
        <v>-780</v>
      </c>
      <c r="L82" s="8" t="str">
        <f>IF(E82="","",IFERROR(VLOOKUP(E82,Listas!$A$2:$C$5000,3,FALSE),""))</f>
        <v>Sim</v>
      </c>
    </row>
    <row r="83" spans="1:12" x14ac:dyDescent="0.25">
      <c r="A83" s="5">
        <v>45795</v>
      </c>
      <c r="B83" t="s">
        <v>133</v>
      </c>
      <c r="C83" t="s">
        <v>130</v>
      </c>
      <c r="D83" t="s">
        <v>15</v>
      </c>
      <c r="E83" t="s">
        <v>18</v>
      </c>
      <c r="G83" t="s">
        <v>11</v>
      </c>
      <c r="H83" t="s">
        <v>21</v>
      </c>
      <c r="I83" s="6">
        <v>500</v>
      </c>
      <c r="J83" s="8" t="str">
        <f>IF(H83="","",IFERROR(VLOOKUP(H83,Listas!$J$2:$K$5000,2,FALSE),""))</f>
        <v>Banco</v>
      </c>
      <c r="K83" s="9">
        <f>IF(OR(I83="",G83=""),"",IF(G83="Saída",-I83,I83))</f>
        <v>500</v>
      </c>
      <c r="L83" s="8" t="str">
        <f>IF(E83="","",IFERROR(VLOOKUP(E83,Listas!$A$2:$C$5000,3,FALSE),""))</f>
        <v>Sim</v>
      </c>
    </row>
    <row r="84" spans="1:12" x14ac:dyDescent="0.25">
      <c r="A84" s="5">
        <v>45813</v>
      </c>
      <c r="B84" t="s">
        <v>131</v>
      </c>
      <c r="C84" t="s">
        <v>132</v>
      </c>
      <c r="D84" t="s">
        <v>15</v>
      </c>
      <c r="E84" t="s">
        <v>52</v>
      </c>
      <c r="G84" t="s">
        <v>42</v>
      </c>
      <c r="H84" t="s">
        <v>21</v>
      </c>
      <c r="I84" s="6">
        <v>520</v>
      </c>
      <c r="J84" s="8" t="str">
        <f>IF(H84="","",IFERROR(VLOOKUP(H84,Listas!$J$2:$K$5000,2,FALSE),""))</f>
        <v>Banco</v>
      </c>
      <c r="K84" s="9">
        <f>IF(OR(I84="",G84=""),"",IF(G84="Saída",-I84,I84))</f>
        <v>-520</v>
      </c>
      <c r="L84" s="8" t="str">
        <f>IF(E84="","",IFERROR(VLOOKUP(E84,Listas!$A$2:$C$5000,3,FALSE),""))</f>
        <v>Sim</v>
      </c>
    </row>
    <row r="85" spans="1:12" x14ac:dyDescent="0.25">
      <c r="A85" s="5">
        <v>45822</v>
      </c>
      <c r="B85" t="s">
        <v>140</v>
      </c>
      <c r="C85" t="s">
        <v>134</v>
      </c>
      <c r="D85" t="s">
        <v>15</v>
      </c>
      <c r="E85" t="s">
        <v>26</v>
      </c>
      <c r="G85" t="s">
        <v>11</v>
      </c>
      <c r="H85" t="s">
        <v>16</v>
      </c>
      <c r="I85" s="6">
        <v>820</v>
      </c>
      <c r="J85" s="8" t="str">
        <f>IF(H85="","",IFERROR(VLOOKUP(H85,Listas!$J$2:$K$5000,2,FALSE),""))</f>
        <v>Caixa</v>
      </c>
      <c r="K85" s="9">
        <f>IF(OR(I85="",G85=""),"",IF(G85="Saída",-I85,I85))</f>
        <v>820</v>
      </c>
      <c r="L85" s="8" t="str">
        <f>IF(E85="","",IFERROR(VLOOKUP(E85,Listas!$A$2:$C$5000,3,FALSE),""))</f>
        <v>Sim</v>
      </c>
    </row>
    <row r="86" spans="1:12" x14ac:dyDescent="0.25">
      <c r="A86" s="5">
        <v>45850</v>
      </c>
      <c r="B86" t="s">
        <v>135</v>
      </c>
      <c r="C86" t="s">
        <v>86</v>
      </c>
      <c r="D86" t="s">
        <v>40</v>
      </c>
      <c r="E86" t="s">
        <v>48</v>
      </c>
      <c r="G86" t="s">
        <v>42</v>
      </c>
      <c r="H86" t="s">
        <v>21</v>
      </c>
      <c r="I86" s="6">
        <v>1200</v>
      </c>
      <c r="J86" s="8" t="str">
        <f>IF(H86="","",IFERROR(VLOOKUP(H86,Listas!$J$2:$K$5000,2,FALSE),""))</f>
        <v>Banco</v>
      </c>
      <c r="K86" s="9">
        <f>IF(OR(I86="",G86=""),"",IF(G86="Saída",-I86,I86))</f>
        <v>-1200</v>
      </c>
      <c r="L86" s="8" t="str">
        <f>IF(E86="","",IFERROR(VLOOKUP(E86,Listas!$A$2:$C$5000,3,FALSE),""))</f>
        <v>Sim</v>
      </c>
    </row>
    <row r="87" spans="1:12" x14ac:dyDescent="0.25">
      <c r="A87" s="5">
        <v>45891</v>
      </c>
      <c r="B87" t="s">
        <v>136</v>
      </c>
      <c r="C87" t="s">
        <v>139</v>
      </c>
      <c r="D87" t="s">
        <v>40</v>
      </c>
      <c r="E87" t="s">
        <v>46</v>
      </c>
      <c r="G87" t="s">
        <v>42</v>
      </c>
      <c r="H87" t="s">
        <v>21</v>
      </c>
      <c r="I87" s="6">
        <v>600</v>
      </c>
      <c r="J87" s="8" t="str">
        <f>IF(H87="","",IFERROR(VLOOKUP(H87,Listas!$J$2:$K$5000,2,FALSE),""))</f>
        <v>Banco</v>
      </c>
      <c r="K87" s="9">
        <f>IF(OR(I87="",G87=""),"",IF(G87="Saída",-I87,I87))</f>
        <v>-600</v>
      </c>
      <c r="L87" s="8" t="str">
        <f>IF(E87="","",IFERROR(VLOOKUP(E87,Listas!$A$2:$C$5000,3,FALSE),""))</f>
        <v>Sim</v>
      </c>
    </row>
    <row r="88" spans="1:12" x14ac:dyDescent="0.25">
      <c r="A88" s="5">
        <v>45892</v>
      </c>
      <c r="B88" t="s">
        <v>144</v>
      </c>
      <c r="C88" t="s">
        <v>141</v>
      </c>
      <c r="D88" t="s">
        <v>40</v>
      </c>
      <c r="E88" t="s">
        <v>33</v>
      </c>
      <c r="G88" t="s">
        <v>11</v>
      </c>
      <c r="H88" t="s">
        <v>30</v>
      </c>
      <c r="I88" s="6">
        <v>1200</v>
      </c>
      <c r="J88" s="8" t="str">
        <f>IF(H88="","",IFERROR(VLOOKUP(H88,Listas!$J$2:$K$5000,2,FALSE),""))</f>
        <v>Banco</v>
      </c>
      <c r="K88" s="9">
        <f>IF(OR(I88="",G88=""),"",IF(G88="Saída",-I88,I88))</f>
        <v>1200</v>
      </c>
      <c r="L88" s="8" t="str">
        <f>IF(E88="","",IFERROR(VLOOKUP(E88,Listas!$A$2:$C$5000,3,FALSE),""))</f>
        <v>Sim</v>
      </c>
    </row>
    <row r="89" spans="1:12" x14ac:dyDescent="0.25">
      <c r="A89" s="5">
        <v>45894</v>
      </c>
      <c r="B89" t="s">
        <v>138</v>
      </c>
      <c r="C89" t="s">
        <v>168</v>
      </c>
      <c r="D89" t="s">
        <v>40</v>
      </c>
      <c r="E89" t="s">
        <v>41</v>
      </c>
      <c r="G89" t="s">
        <v>42</v>
      </c>
      <c r="H89" t="s">
        <v>21</v>
      </c>
      <c r="I89" s="6">
        <v>1650</v>
      </c>
      <c r="J89" s="8" t="str">
        <f>IF(H89="","",IFERROR(VLOOKUP(H89,Listas!$J$2:$K$5000,2,FALSE),""))</f>
        <v>Banco</v>
      </c>
      <c r="K89" s="9">
        <f>IF(OR(I89="",G89=""),"",IF(G89="Saída",-I89,I89))</f>
        <v>-1650</v>
      </c>
      <c r="L89" s="8" t="str">
        <f>IF(E89="","",IFERROR(VLOOKUP(E89,Listas!$A$2:$C$5000,3,FALSE),""))</f>
        <v>Sim</v>
      </c>
    </row>
    <row r="90" spans="1:12" x14ac:dyDescent="0.25">
      <c r="A90" s="5">
        <v>45905</v>
      </c>
      <c r="B90" t="s">
        <v>142</v>
      </c>
      <c r="C90" t="s">
        <v>143</v>
      </c>
      <c r="D90" t="s">
        <v>15</v>
      </c>
      <c r="E90" t="s">
        <v>62</v>
      </c>
      <c r="G90" t="s">
        <v>42</v>
      </c>
      <c r="H90" t="s">
        <v>16</v>
      </c>
      <c r="I90" s="6">
        <v>168.9</v>
      </c>
      <c r="J90" s="8" t="str">
        <f>IF(H90="","",IFERROR(VLOOKUP(H90,Listas!$J$2:$K$5000,2,FALSE),""))</f>
        <v>Caixa</v>
      </c>
      <c r="K90" s="9">
        <f>IF(OR(I90="",G90=""),"",IF(G90="Saída",-I90,I90))</f>
        <v>-168.9</v>
      </c>
      <c r="L90" s="8" t="str">
        <f>IF(E90="","",IFERROR(VLOOKUP(E90,Listas!$A$2:$C$5000,3,FALSE),""))</f>
        <v>Sim</v>
      </c>
    </row>
    <row r="91" spans="1:12" x14ac:dyDescent="0.25">
      <c r="A91" s="5">
        <v>45912</v>
      </c>
      <c r="B91" t="s">
        <v>148</v>
      </c>
      <c r="C91" t="s">
        <v>169</v>
      </c>
      <c r="D91" t="s">
        <v>15</v>
      </c>
      <c r="E91" t="s">
        <v>14</v>
      </c>
      <c r="G91" t="s">
        <v>11</v>
      </c>
      <c r="H91" t="s">
        <v>21</v>
      </c>
      <c r="I91" s="6">
        <v>500</v>
      </c>
      <c r="J91" s="8" t="str">
        <f>IF(H91="","",IFERROR(VLOOKUP(H91,Listas!$J$2:$K$5000,2,FALSE),""))</f>
        <v>Banco</v>
      </c>
      <c r="K91" s="9">
        <f>IF(OR(I91="",G91=""),"",IF(G91="Saída",-I91,I91))</f>
        <v>500</v>
      </c>
      <c r="L91" s="8" t="str">
        <f>IF(E91="","",IFERROR(VLOOKUP(E91,Listas!$A$2:$C$5000,3,FALSE),""))</f>
        <v>Sim</v>
      </c>
    </row>
    <row r="92" spans="1:12" x14ac:dyDescent="0.25">
      <c r="A92" s="5">
        <v>45927</v>
      </c>
      <c r="B92" t="s">
        <v>154</v>
      </c>
      <c r="C92" t="s">
        <v>170</v>
      </c>
      <c r="D92" t="s">
        <v>15</v>
      </c>
      <c r="E92" t="s">
        <v>26</v>
      </c>
      <c r="G92" t="s">
        <v>11</v>
      </c>
      <c r="H92" t="s">
        <v>21</v>
      </c>
      <c r="I92" s="6">
        <v>600</v>
      </c>
      <c r="J92" s="8" t="str">
        <f>IF(H92="","",IFERROR(VLOOKUP(H92,Listas!$J$2:$K$5000,2,FALSE),""))</f>
        <v>Banco</v>
      </c>
      <c r="K92" s="9">
        <f>IF(OR(I92="",G92=""),"",IF(G92="Saída",-I92,I92))</f>
        <v>600</v>
      </c>
      <c r="L92" s="8" t="str">
        <f>IF(E92="","",IFERROR(VLOOKUP(E92,Listas!$A$2:$C$5000,3,FALSE),""))</f>
        <v>Sim</v>
      </c>
    </row>
    <row r="93" spans="1:12" x14ac:dyDescent="0.25">
      <c r="A93" s="5">
        <v>45931</v>
      </c>
      <c r="B93" t="s">
        <v>146</v>
      </c>
      <c r="C93" t="s">
        <v>147</v>
      </c>
      <c r="D93" t="s">
        <v>15</v>
      </c>
      <c r="E93" t="s">
        <v>58</v>
      </c>
      <c r="G93" t="s">
        <v>42</v>
      </c>
      <c r="H93" t="s">
        <v>21</v>
      </c>
      <c r="I93" s="6">
        <v>360</v>
      </c>
      <c r="J93" s="8" t="str">
        <f>IF(H93="","",IFERROR(VLOOKUP(H93,Listas!$J$2:$K$5000,2,FALSE),""))</f>
        <v>Banco</v>
      </c>
      <c r="K93" s="9">
        <f>IF(OR(I93="",G93=""),"",IF(G93="Saída",-I93,I93))</f>
        <v>-360</v>
      </c>
      <c r="L93" s="8" t="str">
        <f>IF(E93="","",IFERROR(VLOOKUP(E93,Listas!$A$2:$C$5000,3,FALSE),""))</f>
        <v>Sim</v>
      </c>
    </row>
    <row r="94" spans="1:12" x14ac:dyDescent="0.25">
      <c r="A94" s="5">
        <v>45934</v>
      </c>
      <c r="B94" t="s">
        <v>156</v>
      </c>
      <c r="C94" t="s">
        <v>171</v>
      </c>
      <c r="D94" t="s">
        <v>15</v>
      </c>
      <c r="E94" t="s">
        <v>10</v>
      </c>
      <c r="G94" t="s">
        <v>11</v>
      </c>
      <c r="H94" t="s">
        <v>16</v>
      </c>
      <c r="I94" s="6">
        <v>300</v>
      </c>
      <c r="J94" s="8" t="str">
        <f>IF(H94="","",IFERROR(VLOOKUP(H94,Listas!$J$2:$K$5000,2,FALSE),""))</f>
        <v>Caixa</v>
      </c>
      <c r="K94" s="9">
        <f>IF(OR(I94="",G94=""),"",IF(G94="Saída",-I94,I94))</f>
        <v>300</v>
      </c>
      <c r="L94" s="8" t="str">
        <f>IF(E94="","",IFERROR(VLOOKUP(E94,Listas!$A$2:$C$5000,3,FALSE),""))</f>
        <v>Sim</v>
      </c>
    </row>
    <row r="95" spans="1:12" x14ac:dyDescent="0.25">
      <c r="A95" s="5">
        <v>45947</v>
      </c>
      <c r="B95" t="s">
        <v>172</v>
      </c>
      <c r="C95" t="s">
        <v>145</v>
      </c>
      <c r="D95" t="s">
        <v>15</v>
      </c>
      <c r="E95" t="s">
        <v>38</v>
      </c>
      <c r="G95" t="s">
        <v>11</v>
      </c>
      <c r="H95" t="s">
        <v>16</v>
      </c>
      <c r="I95" s="6">
        <v>95.3</v>
      </c>
      <c r="J95" s="8" t="str">
        <f>IF(H95="","",IFERROR(VLOOKUP(H95,Listas!$J$2:$K$5000,2,FALSE),""))</f>
        <v>Caixa</v>
      </c>
      <c r="K95" s="9">
        <f>IF(OR(I95="",G95=""),"",IF(G95="Saída",-I95,I95))</f>
        <v>95.3</v>
      </c>
      <c r="L95" s="8" t="str">
        <f>IF(E95="","",IFERROR(VLOOKUP(E95,Listas!$A$2:$C$5000,3,FALSE),""))</f>
        <v>Sim</v>
      </c>
    </row>
    <row r="96" spans="1:12" x14ac:dyDescent="0.25">
      <c r="A96" s="5">
        <v>45948</v>
      </c>
      <c r="B96" t="s">
        <v>150</v>
      </c>
      <c r="C96" t="s">
        <v>151</v>
      </c>
      <c r="D96" t="s">
        <v>15</v>
      </c>
      <c r="E96" t="s">
        <v>48</v>
      </c>
      <c r="G96" t="s">
        <v>42</v>
      </c>
      <c r="H96" t="s">
        <v>16</v>
      </c>
      <c r="I96" s="6">
        <v>900</v>
      </c>
      <c r="J96" s="8" t="str">
        <f>IF(H96="","",IFERROR(VLOOKUP(H96,Listas!$J$2:$K$5000,2,FALSE),""))</f>
        <v>Caixa</v>
      </c>
      <c r="K96" s="9">
        <f>IF(OR(I96="",G96=""),"",IF(G96="Saída",-I96,I96))</f>
        <v>-900</v>
      </c>
      <c r="L96" s="8" t="str">
        <f>IF(E96="","",IFERROR(VLOOKUP(E96,Listas!$A$2:$C$5000,3,FALSE),""))</f>
        <v>Sim</v>
      </c>
    </row>
    <row r="97" spans="1:12" x14ac:dyDescent="0.25">
      <c r="A97" s="5">
        <v>45969</v>
      </c>
      <c r="B97" t="s">
        <v>152</v>
      </c>
      <c r="C97" t="s">
        <v>153</v>
      </c>
      <c r="D97" t="s">
        <v>15</v>
      </c>
      <c r="E97" t="s">
        <v>52</v>
      </c>
      <c r="G97" t="s">
        <v>42</v>
      </c>
      <c r="H97" t="s">
        <v>21</v>
      </c>
      <c r="I97" s="6">
        <v>600</v>
      </c>
      <c r="J97" s="8" t="str">
        <f>IF(H97="","",IFERROR(VLOOKUP(H97,Listas!$J$2:$K$5000,2,FALSE),""))</f>
        <v>Banco</v>
      </c>
      <c r="K97" s="9">
        <f>IF(OR(I97="",G97=""),"",IF(G97="Saída",-I97,I97))</f>
        <v>-600</v>
      </c>
      <c r="L97" s="8" t="str">
        <f>IF(E97="","",IFERROR(VLOOKUP(E97,Listas!$A$2:$C$5000,3,FALSE),""))</f>
        <v>Sim</v>
      </c>
    </row>
    <row r="98" spans="1:12" x14ac:dyDescent="0.25">
      <c r="A98" s="5">
        <v>45976</v>
      </c>
      <c r="B98" t="s">
        <v>173</v>
      </c>
      <c r="C98" t="s">
        <v>157</v>
      </c>
      <c r="D98" t="s">
        <v>15</v>
      </c>
      <c r="E98" t="s">
        <v>26</v>
      </c>
      <c r="G98" t="s">
        <v>11</v>
      </c>
      <c r="H98" t="s">
        <v>21</v>
      </c>
      <c r="I98" s="6">
        <v>900</v>
      </c>
      <c r="J98" s="8" t="str">
        <f>IF(H98="","",IFERROR(VLOOKUP(H98,Listas!$J$2:$K$5000,2,FALSE),""))</f>
        <v>Banco</v>
      </c>
      <c r="K98" s="9">
        <f>IF(OR(I98="",G98=""),"",IF(G98="Saída",-I98,I98))</f>
        <v>900</v>
      </c>
      <c r="L98" s="8" t="str">
        <f>IF(E98="","",IFERROR(VLOOKUP(E98,Listas!$A$2:$C$5000,3,FALSE),""))</f>
        <v>Sim</v>
      </c>
    </row>
    <row r="99" spans="1:12" x14ac:dyDescent="0.25">
      <c r="A99" s="5">
        <v>45993</v>
      </c>
      <c r="B99" t="s">
        <v>174</v>
      </c>
      <c r="C99" t="s">
        <v>155</v>
      </c>
      <c r="D99" t="s">
        <v>15</v>
      </c>
      <c r="E99" t="s">
        <v>18</v>
      </c>
      <c r="G99" t="s">
        <v>11</v>
      </c>
      <c r="H99" t="s">
        <v>16</v>
      </c>
      <c r="I99" s="6">
        <v>350</v>
      </c>
      <c r="J99" s="8" t="str">
        <f>IF(H99="","",IFERROR(VLOOKUP(H99,Listas!$J$2:$K$5000,2,FALSE),""))</f>
        <v>Caixa</v>
      </c>
      <c r="K99" s="9">
        <f>IF(OR(I99="",G99=""),"",IF(G99="Saída",-I99,I99))</f>
        <v>350</v>
      </c>
      <c r="L99" s="8" t="str">
        <f>IF(E99="","",IFERROR(VLOOKUP(E99,Listas!$A$2:$C$5000,3,FALSE),""))</f>
        <v>Sim</v>
      </c>
    </row>
    <row r="100" spans="1:12" x14ac:dyDescent="0.25">
      <c r="A100" s="5">
        <v>46011</v>
      </c>
      <c r="B100" t="s">
        <v>158</v>
      </c>
      <c r="C100" t="s">
        <v>159</v>
      </c>
      <c r="D100" t="s">
        <v>15</v>
      </c>
      <c r="E100" t="s">
        <v>64</v>
      </c>
      <c r="G100" t="s">
        <v>42</v>
      </c>
      <c r="H100" t="s">
        <v>16</v>
      </c>
      <c r="I100" s="6">
        <v>361.8</v>
      </c>
      <c r="J100" s="8" t="str">
        <f>IF(H100="","",IFERROR(VLOOKUP(H100,Listas!$J$2:$K$5000,2,FALSE),""))</f>
        <v>Caixa</v>
      </c>
      <c r="K100" s="9">
        <f>IF(OR(I100="",G100=""),"",IF(G100="Saída",-I100,I100))</f>
        <v>-361.8</v>
      </c>
      <c r="L100" s="8" t="str">
        <f>IF(E100="","",IFERROR(VLOOKUP(E100,Listas!$A$2:$C$5000,3,FALSE),""))</f>
        <v>Não</v>
      </c>
    </row>
    <row r="101" spans="1:12" x14ac:dyDescent="0.25">
      <c r="A101" s="5">
        <v>46011</v>
      </c>
      <c r="B101" t="s">
        <v>158</v>
      </c>
      <c r="C101" t="s">
        <v>160</v>
      </c>
      <c r="D101" t="s">
        <v>15</v>
      </c>
      <c r="E101" t="s">
        <v>64</v>
      </c>
      <c r="G101" t="s">
        <v>11</v>
      </c>
      <c r="H101" t="s">
        <v>21</v>
      </c>
      <c r="I101" s="6">
        <v>361.8</v>
      </c>
      <c r="J101" s="8" t="str">
        <f>IF(H101="","",IFERROR(VLOOKUP(H101,Listas!$J$2:$K$5000,2,FALSE),""))</f>
        <v>Banco</v>
      </c>
      <c r="K101" s="9">
        <f>IF(OR(I101="",G101=""),"",IF(G101="Saída",-I101,I101))</f>
        <v>361.8</v>
      </c>
      <c r="L101" s="8" t="str">
        <f>IF(E101="","",IFERROR(VLOOKUP(E101,Listas!$A$2:$C$5000,3,FALSE),""))</f>
        <v>Não</v>
      </c>
    </row>
    <row r="102" spans="1:12" x14ac:dyDescent="0.25">
      <c r="A102" s="5">
        <v>46022</v>
      </c>
      <c r="B102" t="s">
        <v>161</v>
      </c>
      <c r="C102" t="s">
        <v>175</v>
      </c>
      <c r="D102" t="s">
        <v>15</v>
      </c>
      <c r="E102" t="s">
        <v>58</v>
      </c>
      <c r="G102" t="s">
        <v>42</v>
      </c>
      <c r="H102" t="s">
        <v>21</v>
      </c>
      <c r="I102" s="6">
        <v>52.4</v>
      </c>
      <c r="J102" s="8" t="str">
        <f>IF(H102="","",IFERROR(VLOOKUP(H102,Listas!$J$2:$K$5000,2,FALSE),""))</f>
        <v>Banco</v>
      </c>
      <c r="K102" s="9">
        <f>IF(OR(I102="",G102=""),"",IF(G102="Saída",-I102,I102))</f>
        <v>-52.4</v>
      </c>
      <c r="L102" s="8" t="str">
        <f>IF(E102="","",IFERROR(VLOOKUP(E102,Listas!$A$2:$C$5000,3,FALSE),""))</f>
        <v>Sim</v>
      </c>
    </row>
    <row r="103" spans="1:12" x14ac:dyDescent="0.25">
      <c r="A103" s="5">
        <v>46034</v>
      </c>
      <c r="B103" t="s">
        <v>83</v>
      </c>
      <c r="C103" t="s">
        <v>176</v>
      </c>
      <c r="D103" t="s">
        <v>15</v>
      </c>
      <c r="E103" t="s">
        <v>14</v>
      </c>
      <c r="F103" t="s">
        <v>13</v>
      </c>
      <c r="G103" t="s">
        <v>11</v>
      </c>
      <c r="H103" t="s">
        <v>21</v>
      </c>
      <c r="I103" s="6">
        <v>1000</v>
      </c>
      <c r="J103" s="8" t="str">
        <f>IF(H103="","",IFERROR(VLOOKUP(H103,Listas!$J$2:$K$5000,2,FALSE),""))</f>
        <v>Banco</v>
      </c>
      <c r="K103" s="9">
        <f>IF(OR(I103="",G103=""),"",IF(G103="Saída",-I103,I103))</f>
        <v>1000</v>
      </c>
      <c r="L103" s="8" t="str">
        <f>IF(E103="","",IFERROR(VLOOKUP(E103,Listas!$A$2:$C$5000,3,FALSE),""))</f>
        <v>Sim</v>
      </c>
    </row>
    <row r="104" spans="1:12" x14ac:dyDescent="0.25">
      <c r="A104" s="5">
        <v>46042</v>
      </c>
      <c r="B104" t="s">
        <v>85</v>
      </c>
      <c r="C104" t="s">
        <v>177</v>
      </c>
      <c r="D104" t="s">
        <v>40</v>
      </c>
      <c r="E104" t="s">
        <v>41</v>
      </c>
      <c r="F104" t="s">
        <v>47</v>
      </c>
      <c r="G104" t="s">
        <v>42</v>
      </c>
      <c r="H104" t="s">
        <v>21</v>
      </c>
      <c r="I104" s="6">
        <v>450</v>
      </c>
      <c r="J104" s="8" t="str">
        <f>IF(H104="","",IFERROR(VLOOKUP(H104,Listas!$J$2:$K$5000,2,FALSE),""))</f>
        <v>Banco</v>
      </c>
      <c r="K104" s="9">
        <f>IF(OR(I104="",G104=""),"",IF(G104="Saída",-I104,I104))</f>
        <v>-450</v>
      </c>
      <c r="L104" s="8" t="str">
        <f>IF(E104="","",IFERROR(VLOOKUP(E104,Listas!$A$2:$C$5000,3,FALSE),""))</f>
        <v>Sim</v>
      </c>
    </row>
    <row r="105" spans="1:12" x14ac:dyDescent="0.25">
      <c r="A105" s="5">
        <v>46073</v>
      </c>
      <c r="B105" t="s">
        <v>90</v>
      </c>
      <c r="C105" t="s">
        <v>178</v>
      </c>
      <c r="D105" t="s">
        <v>17</v>
      </c>
      <c r="E105" t="s">
        <v>14</v>
      </c>
      <c r="F105" t="s">
        <v>13</v>
      </c>
      <c r="G105" t="s">
        <v>11</v>
      </c>
      <c r="H105" t="s">
        <v>21</v>
      </c>
      <c r="I105" s="6">
        <v>2500</v>
      </c>
      <c r="J105" s="8" t="str">
        <f>IF(H105="","",IFERROR(VLOOKUP(H105,Listas!$J$2:$K$5000,2,FALSE),""))</f>
        <v>Banco</v>
      </c>
      <c r="K105" s="9">
        <f>IF(OR(I105="",G105=""),"",IF(G105="Saída",-I105,I105))</f>
        <v>2500</v>
      </c>
      <c r="L105" s="8" t="str">
        <f>IF(E105="","",IFERROR(VLOOKUP(E105,Listas!$A$2:$C$5000,3,FALSE),""))</f>
        <v>Sim</v>
      </c>
    </row>
    <row r="106" spans="1:12" x14ac:dyDescent="0.25">
      <c r="A106" s="5">
        <v>46077</v>
      </c>
      <c r="B106" t="s">
        <v>87</v>
      </c>
      <c r="C106" t="s">
        <v>110</v>
      </c>
      <c r="D106" t="s">
        <v>17</v>
      </c>
      <c r="E106" t="s">
        <v>56</v>
      </c>
      <c r="G106" t="s">
        <v>42</v>
      </c>
      <c r="H106" t="s">
        <v>21</v>
      </c>
      <c r="I106" s="6">
        <v>515</v>
      </c>
      <c r="J106" s="8" t="str">
        <f>IF(H106="","",IFERROR(VLOOKUP(H106,Listas!$J$2:$K$5000,2,FALSE),""))</f>
        <v>Banco</v>
      </c>
      <c r="K106" s="9">
        <f>IF(OR(I106="",G106=""),"",IF(G106="Saída",-I106,I106))</f>
        <v>-515</v>
      </c>
      <c r="L106" s="8" t="str">
        <f>IF(E106="","",IFERROR(VLOOKUP(E106,Listas!$A$2:$C$5000,3,FALSE),""))</f>
        <v>Sim</v>
      </c>
    </row>
    <row r="107" spans="1:12" x14ac:dyDescent="0.25">
      <c r="A107" s="5">
        <v>46080</v>
      </c>
      <c r="B107" t="s">
        <v>94</v>
      </c>
      <c r="C107" t="s">
        <v>166</v>
      </c>
      <c r="D107" t="s">
        <v>17</v>
      </c>
      <c r="E107" t="s">
        <v>14</v>
      </c>
      <c r="F107" t="s">
        <v>19</v>
      </c>
      <c r="G107" t="s">
        <v>11</v>
      </c>
      <c r="H107" t="s">
        <v>21</v>
      </c>
      <c r="I107" s="6">
        <v>1500</v>
      </c>
      <c r="J107" s="8" t="str">
        <f>IF(H107="","",IFERROR(VLOOKUP(H107,Listas!$J$2:$K$5000,2,FALSE),""))</f>
        <v>Banco</v>
      </c>
      <c r="K107" s="9">
        <f>IF(OR(I107="",G107=""),"",IF(G107="Saída",-I107,I107))</f>
        <v>1500</v>
      </c>
      <c r="L107" s="8" t="str">
        <f>IF(E107="","",IFERROR(VLOOKUP(E107,Listas!$A$2:$C$5000,3,FALSE),""))</f>
        <v>Sim</v>
      </c>
    </row>
    <row r="108" spans="1:12" x14ac:dyDescent="0.25">
      <c r="A108" s="5">
        <v>46084</v>
      </c>
      <c r="B108" t="s">
        <v>88</v>
      </c>
      <c r="C108" t="s">
        <v>63</v>
      </c>
      <c r="D108" t="s">
        <v>29</v>
      </c>
      <c r="E108" t="s">
        <v>56</v>
      </c>
      <c r="F108" t="s">
        <v>63</v>
      </c>
      <c r="G108" t="s">
        <v>42</v>
      </c>
      <c r="H108" t="s">
        <v>16</v>
      </c>
      <c r="I108" s="6">
        <v>48</v>
      </c>
      <c r="J108" s="8" t="str">
        <f>IF(H108="","",IFERROR(VLOOKUP(H108,Listas!$J$2:$K$5000,2,FALSE),""))</f>
        <v>Caixa</v>
      </c>
      <c r="K108" s="9">
        <f>IF(OR(I108="",G108=""),"",IF(G108="Saída",-I108,I108))</f>
        <v>-48</v>
      </c>
      <c r="L108" s="8" t="str">
        <f>IF(E108="","",IFERROR(VLOOKUP(E108,Listas!$A$2:$C$5000,3,FALSE),""))</f>
        <v>Sim</v>
      </c>
    </row>
    <row r="109" spans="1:12" x14ac:dyDescent="0.25">
      <c r="A109" s="5">
        <v>46086</v>
      </c>
      <c r="B109" t="s">
        <v>92</v>
      </c>
      <c r="C109" t="s">
        <v>179</v>
      </c>
      <c r="D109" t="s">
        <v>29</v>
      </c>
      <c r="E109" t="s">
        <v>54</v>
      </c>
      <c r="G109" t="s">
        <v>42</v>
      </c>
      <c r="H109" t="s">
        <v>21</v>
      </c>
      <c r="I109" s="6">
        <v>342</v>
      </c>
      <c r="J109" s="8" t="str">
        <f>IF(H109="","",IFERROR(VLOOKUP(H109,Listas!$J$2:$K$5000,2,FALSE),""))</f>
        <v>Banco</v>
      </c>
      <c r="K109" s="9">
        <f>IF(OR(I109="",G109=""),"",IF(G109="Saída",-I109,I109))</f>
        <v>-342</v>
      </c>
      <c r="L109" s="8" t="str">
        <f>IF(E109="","",IFERROR(VLOOKUP(E109,Listas!$A$2:$C$5000,3,FALSE),""))</f>
        <v>Sim</v>
      </c>
    </row>
    <row r="110" spans="1:12" x14ac:dyDescent="0.25">
      <c r="A110" s="5">
        <v>46091</v>
      </c>
      <c r="B110" t="s">
        <v>99</v>
      </c>
      <c r="C110" t="s">
        <v>91</v>
      </c>
      <c r="D110" t="s">
        <v>29</v>
      </c>
      <c r="E110" t="s">
        <v>36</v>
      </c>
      <c r="F110" t="s">
        <v>43</v>
      </c>
      <c r="G110" t="s">
        <v>11</v>
      </c>
      <c r="H110" t="s">
        <v>21</v>
      </c>
      <c r="I110" s="6">
        <v>150</v>
      </c>
      <c r="J110" s="8" t="str">
        <f>IF(H110="","",IFERROR(VLOOKUP(H110,Listas!$J$2:$K$5000,2,FALSE),""))</f>
        <v>Banco</v>
      </c>
      <c r="K110" s="9">
        <f>IF(OR(I110="",G110=""),"",IF(G110="Saída",-I110,I110))</f>
        <v>150</v>
      </c>
      <c r="L110" s="8" t="str">
        <f>IF(E110="","",IFERROR(VLOOKUP(E110,Listas!$A$2:$C$5000,3,FALSE),""))</f>
        <v>Sim</v>
      </c>
    </row>
    <row r="111" spans="1:12" x14ac:dyDescent="0.25">
      <c r="A111" s="5">
        <v>46094</v>
      </c>
      <c r="B111" t="s">
        <v>96</v>
      </c>
      <c r="C111" t="s">
        <v>55</v>
      </c>
      <c r="D111" t="s">
        <v>29</v>
      </c>
      <c r="E111" t="s">
        <v>46</v>
      </c>
      <c r="F111" t="s">
        <v>55</v>
      </c>
      <c r="G111" t="s">
        <v>42</v>
      </c>
      <c r="H111" t="s">
        <v>21</v>
      </c>
      <c r="I111" s="6">
        <v>612.4</v>
      </c>
      <c r="J111" s="8" t="str">
        <f>IF(H111="","",IFERROR(VLOOKUP(H111,Listas!$J$2:$K$5000,2,FALSE),""))</f>
        <v>Banco</v>
      </c>
      <c r="K111" s="9">
        <f>IF(OR(I111="",G111=""),"",IF(G111="Saída",-I111,I111))</f>
        <v>-612.4</v>
      </c>
      <c r="L111" s="8" t="str">
        <f>IF(E111="","",IFERROR(VLOOKUP(E111,Listas!$A$2:$C$5000,3,FALSE),""))</f>
        <v>Sim</v>
      </c>
    </row>
    <row r="112" spans="1:12" x14ac:dyDescent="0.25">
      <c r="A112" s="5">
        <v>46095</v>
      </c>
      <c r="B112" t="s">
        <v>100</v>
      </c>
      <c r="C112" t="s">
        <v>180</v>
      </c>
      <c r="D112" t="s">
        <v>29</v>
      </c>
      <c r="E112" t="s">
        <v>28</v>
      </c>
      <c r="F112" t="s">
        <v>34</v>
      </c>
      <c r="G112" t="s">
        <v>11</v>
      </c>
      <c r="H112" t="s">
        <v>16</v>
      </c>
      <c r="I112" s="6">
        <v>1235</v>
      </c>
      <c r="J112" s="8" t="str">
        <f>IF(H112="","",IFERROR(VLOOKUP(H112,Listas!$J$2:$K$5000,2,FALSE),""))</f>
        <v>Caixa</v>
      </c>
      <c r="K112" s="9">
        <f>IF(OR(I112="",G112=""),"",IF(G112="Saída",-I112,I112))</f>
        <v>1235</v>
      </c>
      <c r="L112" s="8" t="str">
        <f>IF(E112="","",IFERROR(VLOOKUP(E112,Listas!$A$2:$C$5000,3,FALSE),""))</f>
        <v>Sim</v>
      </c>
    </row>
    <row r="113" spans="1:12" x14ac:dyDescent="0.25">
      <c r="A113" s="5">
        <v>46095</v>
      </c>
      <c r="B113" t="s">
        <v>105</v>
      </c>
      <c r="C113" t="s">
        <v>101</v>
      </c>
      <c r="D113" t="s">
        <v>29</v>
      </c>
      <c r="E113" t="s">
        <v>33</v>
      </c>
      <c r="F113" t="s">
        <v>37</v>
      </c>
      <c r="G113" t="s">
        <v>11</v>
      </c>
      <c r="H113" t="s">
        <v>16</v>
      </c>
      <c r="I113" s="6">
        <v>1482.5</v>
      </c>
      <c r="J113" s="8" t="str">
        <f>IF(H113="","",IFERROR(VLOOKUP(H113,Listas!$J$2:$K$5000,2,FALSE),""))</f>
        <v>Caixa</v>
      </c>
      <c r="K113" s="9">
        <f>IF(OR(I113="",G113=""),"",IF(G113="Saída",-I113,I113))</f>
        <v>1482.5</v>
      </c>
      <c r="L113" s="8" t="str">
        <f>IF(E113="","",IFERROR(VLOOKUP(E113,Listas!$A$2:$C$5000,3,FALSE),""))</f>
        <v>Sim</v>
      </c>
    </row>
    <row r="114" spans="1:12" x14ac:dyDescent="0.25">
      <c r="A114" s="5">
        <v>46095</v>
      </c>
      <c r="B114" t="s">
        <v>111</v>
      </c>
      <c r="C114" t="s">
        <v>181</v>
      </c>
      <c r="D114" t="s">
        <v>29</v>
      </c>
      <c r="E114" t="s">
        <v>18</v>
      </c>
      <c r="G114" t="s">
        <v>11</v>
      </c>
      <c r="H114" t="s">
        <v>16</v>
      </c>
      <c r="I114" s="6">
        <v>60</v>
      </c>
      <c r="J114" s="8" t="str">
        <f>IF(H114="","",IFERROR(VLOOKUP(H114,Listas!$J$2:$K$5000,2,FALSE),""))</f>
        <v>Caixa</v>
      </c>
      <c r="K114" s="9">
        <f>IF(OR(I114="",G114=""),"",IF(G114="Saída",-I114,I114))</f>
        <v>60</v>
      </c>
      <c r="L114" s="8" t="str">
        <f>IF(E114="","",IFERROR(VLOOKUP(E114,Listas!$A$2:$C$5000,3,FALSE),""))</f>
        <v>Sim</v>
      </c>
    </row>
    <row r="115" spans="1:12" x14ac:dyDescent="0.25">
      <c r="A115" s="5">
        <v>46095</v>
      </c>
      <c r="B115" t="s">
        <v>98</v>
      </c>
      <c r="C115" t="s">
        <v>182</v>
      </c>
      <c r="D115" t="s">
        <v>29</v>
      </c>
      <c r="E115" t="s">
        <v>62</v>
      </c>
      <c r="F115" t="s">
        <v>45</v>
      </c>
      <c r="G115" t="s">
        <v>42</v>
      </c>
      <c r="H115" t="s">
        <v>16</v>
      </c>
      <c r="I115" s="6">
        <v>200</v>
      </c>
      <c r="J115" s="8" t="str">
        <f>IF(H115="","",IFERROR(VLOOKUP(H115,Listas!$J$2:$K$5000,2,FALSE),""))</f>
        <v>Caixa</v>
      </c>
      <c r="K115" s="9">
        <f>IF(OR(I115="",G115=""),"",IF(G115="Saída",-I115,I115))</f>
        <v>-200</v>
      </c>
      <c r="L115" s="8" t="str">
        <f>IF(E115="","",IFERROR(VLOOKUP(E115,Listas!$A$2:$C$5000,3,FALSE),""))</f>
        <v>Sim</v>
      </c>
    </row>
    <row r="116" spans="1:12" x14ac:dyDescent="0.25">
      <c r="A116" s="5">
        <v>46097</v>
      </c>
      <c r="B116" t="s">
        <v>107</v>
      </c>
      <c r="C116" t="s">
        <v>97</v>
      </c>
      <c r="D116" t="s">
        <v>29</v>
      </c>
      <c r="E116" t="s">
        <v>41</v>
      </c>
      <c r="F116" t="s">
        <v>47</v>
      </c>
      <c r="G116" t="s">
        <v>42</v>
      </c>
      <c r="H116" t="s">
        <v>21</v>
      </c>
      <c r="I116" s="6">
        <v>180</v>
      </c>
      <c r="J116" s="8" t="str">
        <f>IF(H116="","",IFERROR(VLOOKUP(H116,Listas!$J$2:$K$5000,2,FALSE),""))</f>
        <v>Banco</v>
      </c>
      <c r="K116" s="9">
        <f>IF(OR(I116="",G116=""),"",IF(G116="Saída",-I116,I116))</f>
        <v>-180</v>
      </c>
      <c r="L116" s="8" t="str">
        <f>IF(E116="","",IFERROR(VLOOKUP(E116,Listas!$A$2:$C$5000,3,FALSE),""))</f>
        <v>Sim</v>
      </c>
    </row>
    <row r="117" spans="1:12" x14ac:dyDescent="0.25">
      <c r="A117" s="5">
        <v>46097</v>
      </c>
      <c r="B117" t="s">
        <v>102</v>
      </c>
      <c r="C117" t="s">
        <v>103</v>
      </c>
      <c r="D117" t="s">
        <v>29</v>
      </c>
      <c r="E117" t="s">
        <v>64</v>
      </c>
      <c r="G117" t="s">
        <v>42</v>
      </c>
      <c r="H117" t="s">
        <v>16</v>
      </c>
      <c r="I117" s="6">
        <v>2529.5</v>
      </c>
      <c r="J117" s="8" t="str">
        <f>IF(H117="","",IFERROR(VLOOKUP(H117,Listas!$J$2:$K$5000,2,FALSE),""))</f>
        <v>Caixa</v>
      </c>
      <c r="K117" s="9">
        <f>IF(OR(I117="",G117=""),"",IF(G117="Saída",-I117,I117))</f>
        <v>-2529.5</v>
      </c>
      <c r="L117" s="8" t="str">
        <f>IF(E117="","",IFERROR(VLOOKUP(E117,Listas!$A$2:$C$5000,3,FALSE),""))</f>
        <v>Não</v>
      </c>
    </row>
    <row r="118" spans="1:12" x14ac:dyDescent="0.25">
      <c r="A118" s="5">
        <v>46097</v>
      </c>
      <c r="B118" t="s">
        <v>102</v>
      </c>
      <c r="C118" t="s">
        <v>104</v>
      </c>
      <c r="D118" t="s">
        <v>29</v>
      </c>
      <c r="E118" t="s">
        <v>64</v>
      </c>
      <c r="G118" t="s">
        <v>11</v>
      </c>
      <c r="H118" t="s">
        <v>21</v>
      </c>
      <c r="I118" s="6">
        <v>2529.5</v>
      </c>
      <c r="J118" s="8" t="str">
        <f>IF(H118="","",IFERROR(VLOOKUP(H118,Listas!$J$2:$K$5000,2,FALSE),""))</f>
        <v>Banco</v>
      </c>
      <c r="K118" s="9">
        <f>IF(OR(I118="",G118=""),"",IF(G118="Saída",-I118,I118))</f>
        <v>2529.5</v>
      </c>
      <c r="L118" s="8" t="str">
        <f>IF(E118="","",IFERROR(VLOOKUP(E118,Listas!$A$2:$C$5000,3,FALSE),""))</f>
        <v>Não</v>
      </c>
    </row>
    <row r="119" spans="1:12" x14ac:dyDescent="0.25">
      <c r="A119" s="5">
        <v>46099</v>
      </c>
      <c r="B119" t="s">
        <v>109</v>
      </c>
      <c r="C119" t="s">
        <v>93</v>
      </c>
      <c r="D119" t="s">
        <v>29</v>
      </c>
      <c r="E119" t="s">
        <v>60</v>
      </c>
      <c r="F119" t="s">
        <v>69</v>
      </c>
      <c r="G119" t="s">
        <v>42</v>
      </c>
      <c r="H119" t="s">
        <v>21</v>
      </c>
      <c r="I119" s="6">
        <v>65</v>
      </c>
      <c r="J119" s="8" t="str">
        <f>IF(H119="","",IFERROR(VLOOKUP(H119,Listas!$J$2:$K$5000,2,FALSE),""))</f>
        <v>Banco</v>
      </c>
      <c r="K119" s="9">
        <f>IF(OR(I119="",G119=""),"",IF(G119="Saída",-I119,I119))</f>
        <v>-65</v>
      </c>
      <c r="L119" s="8" t="str">
        <f>IF(E119="","",IFERROR(VLOOKUP(E119,Listas!$A$2:$C$5000,3,FALSE),""))</f>
        <v>Sim</v>
      </c>
    </row>
    <row r="120" spans="1:12" x14ac:dyDescent="0.25">
      <c r="A120" s="5">
        <v>46101</v>
      </c>
      <c r="B120" t="s">
        <v>115</v>
      </c>
      <c r="C120" t="s">
        <v>108</v>
      </c>
      <c r="D120" t="s">
        <v>17</v>
      </c>
      <c r="E120" t="s">
        <v>54</v>
      </c>
      <c r="F120" t="s">
        <v>61</v>
      </c>
      <c r="G120" t="s">
        <v>42</v>
      </c>
      <c r="H120" t="s">
        <v>21</v>
      </c>
      <c r="I120" s="6">
        <v>590</v>
      </c>
      <c r="J120" s="8" t="str">
        <f>IF(H120="","",IFERROR(VLOOKUP(H120,Listas!$J$2:$K$5000,2,FALSE),""))</f>
        <v>Banco</v>
      </c>
      <c r="K120" s="9">
        <f>IF(OR(I120="",G120=""),"",IF(G120="Saída",-I120,I120))</f>
        <v>-590</v>
      </c>
      <c r="L120" s="8" t="str">
        <f>IF(E120="","",IFERROR(VLOOKUP(E120,Listas!$A$2:$C$5000,3,FALSE),""))</f>
        <v>Sim</v>
      </c>
    </row>
    <row r="121" spans="1:12" x14ac:dyDescent="0.25">
      <c r="A121" s="5">
        <v>46108</v>
      </c>
      <c r="B121" t="s">
        <v>116</v>
      </c>
      <c r="C121" t="s">
        <v>69</v>
      </c>
      <c r="D121" t="s">
        <v>17</v>
      </c>
      <c r="E121" t="s">
        <v>60</v>
      </c>
      <c r="F121" t="s">
        <v>69</v>
      </c>
      <c r="G121" t="s">
        <v>42</v>
      </c>
      <c r="H121" t="s">
        <v>21</v>
      </c>
      <c r="I121" s="6">
        <v>310</v>
      </c>
      <c r="J121" s="8" t="str">
        <f>IF(H121="","",IFERROR(VLOOKUP(H121,Listas!$J$2:$K$5000,2,FALSE),""))</f>
        <v>Banco</v>
      </c>
      <c r="K121" s="9">
        <f>IF(OR(I121="",G121=""),"",IF(G121="Saída",-I121,I121))</f>
        <v>-310</v>
      </c>
      <c r="L121" s="8" t="str">
        <f>IF(E121="","",IFERROR(VLOOKUP(E121,Listas!$A$2:$C$5000,3,FALSE),""))</f>
        <v>Sim</v>
      </c>
    </row>
    <row r="122" spans="1:12" x14ac:dyDescent="0.25">
      <c r="A122" s="5">
        <v>46109</v>
      </c>
      <c r="B122" t="s">
        <v>113</v>
      </c>
      <c r="C122" t="s">
        <v>119</v>
      </c>
      <c r="D122" t="s">
        <v>17</v>
      </c>
      <c r="E122" t="s">
        <v>28</v>
      </c>
      <c r="F122" t="s">
        <v>27</v>
      </c>
      <c r="G122" t="s">
        <v>11</v>
      </c>
      <c r="H122" t="s">
        <v>21</v>
      </c>
      <c r="I122" s="6">
        <v>2400</v>
      </c>
      <c r="J122" s="8" t="str">
        <f>IF(H122="","",IFERROR(VLOOKUP(H122,Listas!$J$2:$K$5000,2,FALSE),""))</f>
        <v>Banco</v>
      </c>
      <c r="K122" s="9">
        <f>IF(OR(I122="",G122=""),"",IF(G122="Saída",-I122,I122))</f>
        <v>2400</v>
      </c>
      <c r="L122" s="8" t="str">
        <f>IF(E122="","",IFERROR(VLOOKUP(E122,Listas!$A$2:$C$5000,3,FALSE),""))</f>
        <v>Sim</v>
      </c>
    </row>
    <row r="123" spans="1:12" x14ac:dyDescent="0.25">
      <c r="A123" s="5">
        <v>46113</v>
      </c>
      <c r="B123" t="s">
        <v>117</v>
      </c>
      <c r="C123" t="s">
        <v>183</v>
      </c>
      <c r="D123" t="s">
        <v>17</v>
      </c>
      <c r="E123" t="s">
        <v>58</v>
      </c>
      <c r="F123" t="s">
        <v>67</v>
      </c>
      <c r="G123" t="s">
        <v>42</v>
      </c>
      <c r="H123" t="s">
        <v>21</v>
      </c>
      <c r="I123" s="6">
        <v>185</v>
      </c>
      <c r="J123" s="8" t="str">
        <f>IF(H123="","",IFERROR(VLOOKUP(H123,Listas!$J$2:$K$5000,2,FALSE),""))</f>
        <v>Banco</v>
      </c>
      <c r="K123" s="9">
        <f>IF(OR(I123="",G123=""),"",IF(G123="Saída",-I123,I123))</f>
        <v>-185</v>
      </c>
      <c r="L123" s="8" t="str">
        <f>IF(E123="","",IFERROR(VLOOKUP(E123,Listas!$A$2:$C$5000,3,FALSE),""))</f>
        <v>Sim</v>
      </c>
    </row>
    <row r="124" spans="1:12" x14ac:dyDescent="0.25">
      <c r="A124" s="5">
        <v>46114</v>
      </c>
      <c r="B124" t="s">
        <v>118</v>
      </c>
      <c r="C124" t="s">
        <v>112</v>
      </c>
      <c r="D124" t="s">
        <v>17</v>
      </c>
      <c r="E124" t="s">
        <v>36</v>
      </c>
      <c r="G124" t="s">
        <v>11</v>
      </c>
      <c r="H124" t="s">
        <v>21</v>
      </c>
      <c r="I124" s="6">
        <v>2500</v>
      </c>
      <c r="J124" s="8" t="str">
        <f>IF(H124="","",IFERROR(VLOOKUP(H124,Listas!$J$2:$K$5000,2,FALSE),""))</f>
        <v>Banco</v>
      </c>
      <c r="K124" s="9">
        <f>IF(OR(I124="",G124=""),"",IF(G124="Saída",-I124,I124))</f>
        <v>2500</v>
      </c>
      <c r="L124" s="8" t="str">
        <f>IF(E124="","",IFERROR(VLOOKUP(E124,Listas!$A$2:$C$5000,3,FALSE),""))</f>
        <v>Sim</v>
      </c>
    </row>
    <row r="125" spans="1:12" x14ac:dyDescent="0.25">
      <c r="A125" s="5">
        <v>46118</v>
      </c>
      <c r="B125" t="s">
        <v>121</v>
      </c>
      <c r="C125" t="s">
        <v>184</v>
      </c>
      <c r="D125" t="s">
        <v>15</v>
      </c>
      <c r="E125" t="s">
        <v>10</v>
      </c>
      <c r="G125" t="s">
        <v>11</v>
      </c>
      <c r="H125" t="s">
        <v>21</v>
      </c>
      <c r="I125" s="6">
        <v>760</v>
      </c>
      <c r="J125" s="8" t="str">
        <f>IF(H125="","",IFERROR(VLOOKUP(H125,Listas!$J$2:$K$5000,2,FALSE),""))</f>
        <v>Banco</v>
      </c>
      <c r="K125" s="9">
        <f>IF(OR(I125="",G125=""),"",IF(G125="Saída",-I125,I125))</f>
        <v>760</v>
      </c>
      <c r="L125" s="8" t="str">
        <f>IF(E125="","",IFERROR(VLOOKUP(E125,Listas!$A$2:$C$5000,3,FALSE),""))</f>
        <v>Sim</v>
      </c>
    </row>
    <row r="126" spans="1:12" x14ac:dyDescent="0.25">
      <c r="A126" s="5">
        <v>46120</v>
      </c>
      <c r="B126" t="s">
        <v>120</v>
      </c>
      <c r="C126" t="s">
        <v>164</v>
      </c>
      <c r="D126" t="s">
        <v>15</v>
      </c>
      <c r="E126" t="s">
        <v>48</v>
      </c>
      <c r="G126" t="s">
        <v>42</v>
      </c>
      <c r="H126" t="s">
        <v>21</v>
      </c>
      <c r="I126" s="6">
        <v>640</v>
      </c>
      <c r="J126" s="8" t="str">
        <f>IF(H126="","",IFERROR(VLOOKUP(H126,Listas!$J$2:$K$5000,2,FALSE),""))</f>
        <v>Banco</v>
      </c>
      <c r="K126" s="9">
        <f>IF(OR(I126="",G126=""),"",IF(G126="Saída",-I126,I126))</f>
        <v>-640</v>
      </c>
      <c r="L126" s="8" t="str">
        <f>IF(E126="","",IFERROR(VLOOKUP(E126,Listas!$A$2:$C$5000,3,FALSE),""))</f>
        <v>Sim</v>
      </c>
    </row>
    <row r="127" spans="1:12" x14ac:dyDescent="0.25">
      <c r="A127" s="5">
        <v>46122</v>
      </c>
      <c r="B127" t="s">
        <v>122</v>
      </c>
      <c r="C127" t="s">
        <v>106</v>
      </c>
      <c r="D127" t="s">
        <v>15</v>
      </c>
      <c r="E127" t="s">
        <v>26</v>
      </c>
      <c r="G127" t="s">
        <v>11</v>
      </c>
      <c r="H127" t="s">
        <v>21</v>
      </c>
      <c r="I127" s="6">
        <v>900</v>
      </c>
      <c r="J127" s="8" t="str">
        <f>IF(H127="","",IFERROR(VLOOKUP(H127,Listas!$J$2:$K$5000,2,FALSE),""))</f>
        <v>Banco</v>
      </c>
      <c r="K127" s="9">
        <f>IF(OR(I127="",G127=""),"",IF(G127="Saída",-I127,I127))</f>
        <v>900</v>
      </c>
      <c r="L127" s="8" t="str">
        <f>IF(E127="","",IFERROR(VLOOKUP(E127,Listas!$A$2:$C$5000,3,FALSE),""))</f>
        <v>Sim</v>
      </c>
    </row>
    <row r="128" spans="1:12" x14ac:dyDescent="0.25">
      <c r="A128" s="5">
        <v>46129</v>
      </c>
      <c r="B128" t="s">
        <v>126</v>
      </c>
      <c r="C128" t="s">
        <v>185</v>
      </c>
      <c r="D128" t="s">
        <v>15</v>
      </c>
      <c r="E128" t="s">
        <v>60</v>
      </c>
      <c r="G128" t="s">
        <v>42</v>
      </c>
      <c r="H128" t="s">
        <v>21</v>
      </c>
      <c r="I128" s="6">
        <v>40</v>
      </c>
      <c r="J128" s="8" t="str">
        <f>IF(H128="","",IFERROR(VLOOKUP(H128,Listas!$J$2:$K$5000,2,FALSE),""))</f>
        <v>Banco</v>
      </c>
      <c r="K128" s="9">
        <f>IF(OR(I128="",G128=""),"",IF(G128="Saída",-I128,I128))</f>
        <v>-40</v>
      </c>
      <c r="L128" s="8" t="str">
        <f>IF(E128="","",IFERROR(VLOOKUP(E128,Listas!$A$2:$C$5000,3,FALSE),""))</f>
        <v>Sim</v>
      </c>
    </row>
    <row r="129" spans="1:12" x14ac:dyDescent="0.25">
      <c r="A129" s="5">
        <v>46130</v>
      </c>
      <c r="B129" t="s">
        <v>124</v>
      </c>
      <c r="C129" t="s">
        <v>186</v>
      </c>
      <c r="D129" t="s">
        <v>15</v>
      </c>
      <c r="E129" t="s">
        <v>10</v>
      </c>
      <c r="G129" t="s">
        <v>11</v>
      </c>
      <c r="H129" t="s">
        <v>16</v>
      </c>
      <c r="I129" s="6">
        <v>340</v>
      </c>
      <c r="J129" s="8" t="str">
        <f>IF(H129="","",IFERROR(VLOOKUP(H129,Listas!$J$2:$K$5000,2,FALSE),""))</f>
        <v>Caixa</v>
      </c>
      <c r="K129" s="9">
        <f>IF(OR(I129="",G129=""),"",IF(G129="Saída",-I129,I129))</f>
        <v>340</v>
      </c>
      <c r="L129" s="8" t="str">
        <f>IF(E129="","",IFERROR(VLOOKUP(E129,Listas!$A$2:$C$5000,3,FALSE),""))</f>
        <v>Sim</v>
      </c>
    </row>
    <row r="130" spans="1:12" x14ac:dyDescent="0.25">
      <c r="A130" s="5">
        <v>46132</v>
      </c>
      <c r="B130" t="s">
        <v>129</v>
      </c>
      <c r="C130" t="s">
        <v>167</v>
      </c>
      <c r="D130" t="s">
        <v>17</v>
      </c>
      <c r="E130" t="s">
        <v>14</v>
      </c>
      <c r="F130" t="s">
        <v>23</v>
      </c>
      <c r="G130" t="s">
        <v>11</v>
      </c>
      <c r="H130" t="s">
        <v>21</v>
      </c>
      <c r="I130" s="6">
        <v>500</v>
      </c>
      <c r="J130" s="8" t="str">
        <f>IF(H130="","",IFERROR(VLOOKUP(H130,Listas!$J$2:$K$5000,2,FALSE),""))</f>
        <v>Banco</v>
      </c>
      <c r="K130" s="9">
        <f>IF(OR(I130="",G130=""),"",IF(G130="Saída",-I130,I130))</f>
        <v>500</v>
      </c>
      <c r="L130" s="8" t="str">
        <f>IF(E130="","",IFERROR(VLOOKUP(E130,Listas!$A$2:$C$5000,3,FALSE),""))</f>
        <v>Sim</v>
      </c>
    </row>
    <row r="131" spans="1:12" x14ac:dyDescent="0.25">
      <c r="A131" s="5">
        <v>46134</v>
      </c>
      <c r="B131" t="s">
        <v>127</v>
      </c>
      <c r="C131" t="s">
        <v>47</v>
      </c>
      <c r="D131" t="s">
        <v>17</v>
      </c>
      <c r="E131" t="s">
        <v>41</v>
      </c>
      <c r="F131" t="s">
        <v>47</v>
      </c>
      <c r="G131" t="s">
        <v>42</v>
      </c>
      <c r="H131" t="s">
        <v>21</v>
      </c>
      <c r="I131" s="6">
        <v>3900</v>
      </c>
      <c r="J131" s="8" t="str">
        <f>IF(H131="","",IFERROR(VLOOKUP(H131,Listas!$J$2:$K$5000,2,FALSE),""))</f>
        <v>Banco</v>
      </c>
      <c r="K131" s="9">
        <f>IF(OR(I131="",G131=""),"",IF(G131="Saída",-I131,I131))</f>
        <v>-3900</v>
      </c>
      <c r="L131" s="8" t="str">
        <f>IF(E131="","",IFERROR(VLOOKUP(E131,Listas!$A$2:$C$5000,3,FALSE),""))</f>
        <v>Sim</v>
      </c>
    </row>
    <row r="132" spans="1:12" x14ac:dyDescent="0.25">
      <c r="A132" s="5">
        <v>46136</v>
      </c>
      <c r="B132" t="s">
        <v>128</v>
      </c>
      <c r="C132" t="s">
        <v>49</v>
      </c>
      <c r="D132" t="s">
        <v>17</v>
      </c>
      <c r="E132" t="s">
        <v>41</v>
      </c>
      <c r="F132" t="s">
        <v>49</v>
      </c>
      <c r="G132" t="s">
        <v>42</v>
      </c>
      <c r="H132" t="s">
        <v>21</v>
      </c>
      <c r="I132" s="6">
        <v>1150</v>
      </c>
      <c r="J132" s="8" t="str">
        <f>IF(H132="","",IFERROR(VLOOKUP(H132,Listas!$J$2:$K$5000,2,FALSE),""))</f>
        <v>Banco</v>
      </c>
      <c r="K132" s="9">
        <f>IF(OR(I132="",G132=""),"",IF(G132="Saída",-I132,I132))</f>
        <v>-1150</v>
      </c>
      <c r="L132" s="8" t="str">
        <f>IF(E132="","",IFERROR(VLOOKUP(E132,Listas!$A$2:$C$5000,3,FALSE),""))</f>
        <v>Sim</v>
      </c>
    </row>
    <row r="133" spans="1:12" x14ac:dyDescent="0.25">
      <c r="A133" s="5">
        <v>46140</v>
      </c>
      <c r="B133" t="s">
        <v>131</v>
      </c>
      <c r="C133" t="s">
        <v>46</v>
      </c>
      <c r="D133" t="s">
        <v>17</v>
      </c>
      <c r="E133" t="s">
        <v>46</v>
      </c>
      <c r="G133" t="s">
        <v>42</v>
      </c>
      <c r="H133" t="s">
        <v>21</v>
      </c>
      <c r="I133" s="6">
        <v>2980.6</v>
      </c>
      <c r="J133" s="8" t="str">
        <f>IF(H133="","",IFERROR(VLOOKUP(H133,Listas!$J$2:$K$5000,2,FALSE),""))</f>
        <v>Banco</v>
      </c>
      <c r="K133" s="9">
        <f>IF(OR(I133="",G133=""),"",IF(G133="Saída",-I133,I133))</f>
        <v>-2980.6</v>
      </c>
      <c r="L133" s="8" t="str">
        <f>IF(E133="","",IFERROR(VLOOKUP(E133,Listas!$A$2:$C$5000,3,FALSE),""))</f>
        <v>Sim</v>
      </c>
    </row>
    <row r="134" spans="1:12" x14ac:dyDescent="0.25">
      <c r="A134" s="5">
        <v>46144</v>
      </c>
      <c r="B134" t="s">
        <v>133</v>
      </c>
      <c r="C134" t="s">
        <v>187</v>
      </c>
      <c r="D134" t="s">
        <v>17</v>
      </c>
      <c r="E134" t="s">
        <v>28</v>
      </c>
      <c r="F134" t="s">
        <v>31</v>
      </c>
      <c r="G134" t="s">
        <v>11</v>
      </c>
      <c r="H134" t="s">
        <v>30</v>
      </c>
      <c r="I134" s="6">
        <v>3870</v>
      </c>
      <c r="J134" s="8" t="str">
        <f>IF(H134="","",IFERROR(VLOOKUP(H134,Listas!$J$2:$K$5000,2,FALSE),""))</f>
        <v>Banco</v>
      </c>
      <c r="K134" s="9">
        <f>IF(OR(I134="",G134=""),"",IF(G134="Saída",-I134,I134))</f>
        <v>3870</v>
      </c>
      <c r="L134" s="8" t="str">
        <f>IF(E134="","",IFERROR(VLOOKUP(E134,Listas!$A$2:$C$5000,3,FALSE),""))</f>
        <v>Sim</v>
      </c>
    </row>
    <row r="135" spans="1:12" x14ac:dyDescent="0.25">
      <c r="A135" s="5">
        <v>46145</v>
      </c>
      <c r="B135" t="s">
        <v>140</v>
      </c>
      <c r="C135" t="s">
        <v>123</v>
      </c>
      <c r="D135" t="s">
        <v>17</v>
      </c>
      <c r="E135" t="s">
        <v>33</v>
      </c>
      <c r="F135" t="s">
        <v>37</v>
      </c>
      <c r="G135" t="s">
        <v>11</v>
      </c>
      <c r="H135" t="s">
        <v>30</v>
      </c>
      <c r="I135" s="6">
        <v>6315.2</v>
      </c>
      <c r="J135" s="8" t="str">
        <f>IF(H135="","",IFERROR(VLOOKUP(H135,Listas!$J$2:$K$5000,2,FALSE),""))</f>
        <v>Banco</v>
      </c>
      <c r="K135" s="9">
        <f>IF(OR(I135="",G135=""),"",IF(G135="Saída",-I135,I135))</f>
        <v>6315.2</v>
      </c>
      <c r="L135" s="8" t="str">
        <f>IF(E135="","",IFERROR(VLOOKUP(E135,Listas!$A$2:$C$5000,3,FALSE),""))</f>
        <v>Sim</v>
      </c>
    </row>
    <row r="136" spans="1:12" x14ac:dyDescent="0.25">
      <c r="A136" s="5">
        <v>46145</v>
      </c>
      <c r="B136" t="s">
        <v>144</v>
      </c>
      <c r="C136" t="s">
        <v>39</v>
      </c>
      <c r="D136" t="s">
        <v>17</v>
      </c>
      <c r="E136" t="s">
        <v>33</v>
      </c>
      <c r="F136" t="s">
        <v>39</v>
      </c>
      <c r="G136" t="s">
        <v>11</v>
      </c>
      <c r="H136" t="s">
        <v>16</v>
      </c>
      <c r="I136" s="6">
        <v>640</v>
      </c>
      <c r="J136" s="8" t="str">
        <f>IF(H136="","",IFERROR(VLOOKUP(H136,Listas!$J$2:$K$5000,2,FALSE),""))</f>
        <v>Caixa</v>
      </c>
      <c r="K136" s="9">
        <f>IF(OR(I136="",G136=""),"",IF(G136="Saída",-I136,I136))</f>
        <v>640</v>
      </c>
      <c r="L136" s="8" t="str">
        <f>IF(E136="","",IFERROR(VLOOKUP(E136,Listas!$A$2:$C$5000,3,FALSE),""))</f>
        <v>Sim</v>
      </c>
    </row>
    <row r="137" spans="1:12" x14ac:dyDescent="0.25">
      <c r="A137" s="5">
        <v>46146</v>
      </c>
      <c r="B137" t="s">
        <v>135</v>
      </c>
      <c r="C137" t="s">
        <v>51</v>
      </c>
      <c r="D137" t="s">
        <v>17</v>
      </c>
      <c r="E137" t="s">
        <v>44</v>
      </c>
      <c r="F137" t="s">
        <v>51</v>
      </c>
      <c r="G137" t="s">
        <v>42</v>
      </c>
      <c r="H137" t="s">
        <v>21</v>
      </c>
      <c r="I137" s="6">
        <v>3280</v>
      </c>
      <c r="J137" s="8" t="str">
        <f>IF(H137="","",IFERROR(VLOOKUP(H137,Listas!$J$2:$K$5000,2,FALSE),""))</f>
        <v>Banco</v>
      </c>
      <c r="K137" s="9">
        <f>IF(OR(I137="",G137=""),"",IF(G137="Saída",-I137,I137))</f>
        <v>-3280</v>
      </c>
      <c r="L137" s="8" t="str">
        <f>IF(E137="","",IFERROR(VLOOKUP(E137,Listas!$A$2:$C$5000,3,FALSE),""))</f>
        <v>Sim</v>
      </c>
    </row>
    <row r="138" spans="1:12" x14ac:dyDescent="0.25">
      <c r="A138" s="5">
        <v>46146</v>
      </c>
      <c r="B138" t="s">
        <v>136</v>
      </c>
      <c r="C138" t="s">
        <v>59</v>
      </c>
      <c r="D138" t="s">
        <v>17</v>
      </c>
      <c r="E138" t="s">
        <v>50</v>
      </c>
      <c r="F138" t="s">
        <v>59</v>
      </c>
      <c r="G138" t="s">
        <v>42</v>
      </c>
      <c r="H138" t="s">
        <v>16</v>
      </c>
      <c r="I138" s="6">
        <v>420</v>
      </c>
      <c r="J138" s="8" t="str">
        <f>IF(H138="","",IFERROR(VLOOKUP(H138,Listas!$J$2:$K$5000,2,FALSE),""))</f>
        <v>Caixa</v>
      </c>
      <c r="K138" s="9">
        <f>IF(OR(I138="",G138=""),"",IF(G138="Saída",-I138,I138))</f>
        <v>-420</v>
      </c>
      <c r="L138" s="8" t="str">
        <f>IF(E138="","",IFERROR(VLOOKUP(E138,Listas!$A$2:$C$5000,3,FALSE),""))</f>
        <v>Sim</v>
      </c>
    </row>
    <row r="139" spans="1:12" x14ac:dyDescent="0.25">
      <c r="A139" s="5">
        <v>46147</v>
      </c>
      <c r="B139" t="s">
        <v>138</v>
      </c>
      <c r="C139" t="s">
        <v>53</v>
      </c>
      <c r="D139" t="s">
        <v>17</v>
      </c>
      <c r="E139" t="s">
        <v>44</v>
      </c>
      <c r="F139" t="s">
        <v>53</v>
      </c>
      <c r="G139" t="s">
        <v>42</v>
      </c>
      <c r="H139" t="s">
        <v>21</v>
      </c>
      <c r="I139" s="6">
        <v>1640</v>
      </c>
      <c r="J139" s="8" t="str">
        <f>IF(H139="","",IFERROR(VLOOKUP(H139,Listas!$J$2:$K$5000,2,FALSE),""))</f>
        <v>Banco</v>
      </c>
      <c r="K139" s="9">
        <f>IF(OR(I139="",G139=""),"",IF(G139="Saída",-I139,I139))</f>
        <v>-1640</v>
      </c>
      <c r="L139" s="8" t="str">
        <f>IF(E139="","",IFERROR(VLOOKUP(E139,Listas!$A$2:$C$5000,3,FALSE),""))</f>
        <v>Sim</v>
      </c>
    </row>
    <row r="140" spans="1:12" x14ac:dyDescent="0.25">
      <c r="A140" s="5">
        <v>46148</v>
      </c>
      <c r="B140" t="s">
        <v>142</v>
      </c>
      <c r="C140" t="s">
        <v>50</v>
      </c>
      <c r="D140" t="s">
        <v>17</v>
      </c>
      <c r="E140" t="s">
        <v>50</v>
      </c>
      <c r="G140" t="s">
        <v>42</v>
      </c>
      <c r="H140" t="s">
        <v>21</v>
      </c>
      <c r="I140" s="6">
        <v>860</v>
      </c>
      <c r="J140" s="8" t="str">
        <f>IF(H140="","",IFERROR(VLOOKUP(H140,Listas!$J$2:$K$5000,2,FALSE),""))</f>
        <v>Banco</v>
      </c>
      <c r="K140" s="9">
        <f>IF(OR(I140="",G140=""),"",IF(G140="Saída",-I140,I140))</f>
        <v>-860</v>
      </c>
      <c r="L140" s="8" t="str">
        <f>IF(E140="","",IFERROR(VLOOKUP(E140,Listas!$A$2:$C$5000,3,FALSE),""))</f>
        <v>Sim</v>
      </c>
    </row>
    <row r="141" spans="1:12" x14ac:dyDescent="0.25">
      <c r="A141" s="5">
        <v>46157</v>
      </c>
      <c r="B141" t="s">
        <v>146</v>
      </c>
      <c r="C141" t="s">
        <v>188</v>
      </c>
      <c r="D141" t="s">
        <v>15</v>
      </c>
      <c r="E141" t="s">
        <v>58</v>
      </c>
      <c r="F141" t="s">
        <v>68</v>
      </c>
      <c r="G141" t="s">
        <v>42</v>
      </c>
      <c r="H141" t="s">
        <v>21</v>
      </c>
      <c r="I141" s="6">
        <v>46.6</v>
      </c>
      <c r="J141" s="8" t="str">
        <f>IF(H141="","",IFERROR(VLOOKUP(H141,Listas!$J$2:$K$5000,2,FALSE),""))</f>
        <v>Banco</v>
      </c>
      <c r="K141" s="9">
        <f>IF(OR(I141="",G141=""),"",IF(G141="Saída",-I141,I141))</f>
        <v>-46.6</v>
      </c>
      <c r="L141" s="8" t="str">
        <f>IF(E141="","",IFERROR(VLOOKUP(E141,Listas!$A$2:$C$5000,3,FALSE),""))</f>
        <v>Sim</v>
      </c>
    </row>
    <row r="142" spans="1:12" x14ac:dyDescent="0.25">
      <c r="A142" s="5">
        <v>46165</v>
      </c>
      <c r="B142" t="s">
        <v>148</v>
      </c>
      <c r="C142" t="s">
        <v>170</v>
      </c>
      <c r="D142" t="s">
        <v>15</v>
      </c>
      <c r="E142" t="s">
        <v>26</v>
      </c>
      <c r="G142" t="s">
        <v>11</v>
      </c>
      <c r="H142" t="s">
        <v>21</v>
      </c>
      <c r="I142" s="6">
        <v>1000</v>
      </c>
      <c r="J142" s="8" t="str">
        <f>IF(H142="","",IFERROR(VLOOKUP(H142,Listas!$J$2:$K$5000,2,FALSE),""))</f>
        <v>Banco</v>
      </c>
      <c r="K142" s="9">
        <f>IF(OR(I142="",G142=""),"",IF(G142="Saída",-I142,I142))</f>
        <v>1000</v>
      </c>
      <c r="L142" s="8" t="str">
        <f>IF(E142="","",IFERROR(VLOOKUP(E142,Listas!$A$2:$C$5000,3,FALSE),""))</f>
        <v>Sim</v>
      </c>
    </row>
    <row r="143" spans="1:12" x14ac:dyDescent="0.25">
      <c r="A143" s="5">
        <v>46172</v>
      </c>
      <c r="B143" t="s">
        <v>150</v>
      </c>
      <c r="C143" t="s">
        <v>151</v>
      </c>
      <c r="D143" t="s">
        <v>15</v>
      </c>
      <c r="E143" t="s">
        <v>48</v>
      </c>
      <c r="G143" t="s">
        <v>42</v>
      </c>
      <c r="H143" t="s">
        <v>16</v>
      </c>
      <c r="I143" s="6">
        <v>430</v>
      </c>
      <c r="J143" s="8" t="str">
        <f>IF(H143="","",IFERROR(VLOOKUP(H143,Listas!$J$2:$K$5000,2,FALSE),""))</f>
        <v>Caixa</v>
      </c>
      <c r="K143" s="9">
        <f>IF(OR(I143="",G143=""),"",IF(G143="Saída",-I143,I143))</f>
        <v>-430</v>
      </c>
      <c r="L143" s="8" t="str">
        <f>IF(E143="","",IFERROR(VLOOKUP(E143,Listas!$A$2:$C$5000,3,FALSE),""))</f>
        <v>Sim</v>
      </c>
    </row>
    <row r="144" spans="1:12" x14ac:dyDescent="0.25">
      <c r="A144" s="5">
        <v>46178</v>
      </c>
      <c r="B144" t="s">
        <v>152</v>
      </c>
      <c r="C144" t="s">
        <v>86</v>
      </c>
      <c r="D144" t="s">
        <v>40</v>
      </c>
      <c r="E144" t="s">
        <v>48</v>
      </c>
      <c r="G144" t="s">
        <v>42</v>
      </c>
      <c r="H144" t="s">
        <v>21</v>
      </c>
      <c r="I144" s="6">
        <v>1210</v>
      </c>
      <c r="J144" s="8" t="str">
        <f>IF(H144="","",IFERROR(VLOOKUP(H144,Listas!$J$2:$K$5000,2,FALSE),""))</f>
        <v>Banco</v>
      </c>
      <c r="K144" s="9">
        <f>IF(OR(I144="",G144=""),"",IF(G144="Saída",-I144,I144))</f>
        <v>-1210</v>
      </c>
      <c r="L144" s="8" t="str">
        <f>IF(E144="","",IFERROR(VLOOKUP(E144,Listas!$A$2:$C$5000,3,FALSE),""))</f>
        <v>Sim</v>
      </c>
    </row>
    <row r="145" spans="1:12" x14ac:dyDescent="0.25">
      <c r="A145" s="5">
        <v>46185</v>
      </c>
      <c r="B145" t="s">
        <v>161</v>
      </c>
      <c r="C145" t="s">
        <v>132</v>
      </c>
      <c r="D145" t="s">
        <v>15</v>
      </c>
      <c r="E145" t="s">
        <v>52</v>
      </c>
      <c r="G145" t="s">
        <v>42</v>
      </c>
      <c r="H145" t="s">
        <v>21</v>
      </c>
      <c r="I145" s="6">
        <v>60</v>
      </c>
      <c r="J145" s="8" t="str">
        <f>IF(H145="","",IFERROR(VLOOKUP(H145,Listas!$J$2:$K$5000,2,FALSE),""))</f>
        <v>Banco</v>
      </c>
      <c r="K145" s="9">
        <f>IF(OR(I145="",G145=""),"",IF(G145="Saída",-I145,I145))</f>
        <v>-60</v>
      </c>
      <c r="L145" s="8" t="str">
        <f>IF(E145="","",IFERROR(VLOOKUP(E145,Listas!$A$2:$C$5000,3,FALSE),""))</f>
        <v>Sim</v>
      </c>
    </row>
    <row r="146" spans="1:12" x14ac:dyDescent="0.25">
      <c r="A146" s="5">
        <v>46188</v>
      </c>
      <c r="B146" t="s">
        <v>189</v>
      </c>
      <c r="C146" t="s">
        <v>70</v>
      </c>
      <c r="D146" t="s">
        <v>17</v>
      </c>
      <c r="E146" t="s">
        <v>62</v>
      </c>
      <c r="F146" t="s">
        <v>70</v>
      </c>
      <c r="G146" t="s">
        <v>42</v>
      </c>
      <c r="H146" t="s">
        <v>16</v>
      </c>
      <c r="I146" s="6">
        <v>96.4</v>
      </c>
      <c r="J146" s="8" t="str">
        <f>IF(H146="","",IFERROR(VLOOKUP(H146,Listas!$J$2:$K$5000,2,FALSE),""))</f>
        <v>Caixa</v>
      </c>
      <c r="K146" s="9">
        <f>IF(OR(I146="",G146=""),"",IF(G146="Saída",-I146,I146))</f>
        <v>-96.4</v>
      </c>
      <c r="L146" s="8" t="str">
        <f>IF(E146="","",IFERROR(VLOOKUP(E146,Listas!$A$2:$C$5000,3,FALSE),""))</f>
        <v>Sim</v>
      </c>
    </row>
    <row r="147" spans="1:12" x14ac:dyDescent="0.25">
      <c r="A147" s="5">
        <v>46193</v>
      </c>
      <c r="B147" t="s">
        <v>154</v>
      </c>
      <c r="C147" t="s">
        <v>190</v>
      </c>
      <c r="D147" t="s">
        <v>15</v>
      </c>
      <c r="E147" t="s">
        <v>18</v>
      </c>
      <c r="G147" t="s">
        <v>11</v>
      </c>
      <c r="H147" t="s">
        <v>21</v>
      </c>
      <c r="I147" s="6">
        <v>310.1</v>
      </c>
      <c r="J147" s="8" t="str">
        <f>IF(H147="","",IFERROR(VLOOKUP(H147,Listas!$J$2:$K$5000,2,FALSE),""))</f>
        <v>Banco</v>
      </c>
      <c r="K147" s="9">
        <f>IF(OR(I147="",G147=""),"",IF(G147="Saída",-I147,I147))</f>
        <v>310.1</v>
      </c>
      <c r="L147" s="8" t="str">
        <f>IF(E147="","",IFERROR(VLOOKUP(E147,Listas!$A$2:$C$5000,3,FALSE),""))</f>
        <v>Sim</v>
      </c>
    </row>
    <row r="148" spans="1:12" x14ac:dyDescent="0.25">
      <c r="A148" s="5">
        <v>46195</v>
      </c>
      <c r="B148" t="s">
        <v>191</v>
      </c>
      <c r="C148" t="s">
        <v>192</v>
      </c>
      <c r="D148" t="s">
        <v>40</v>
      </c>
      <c r="E148" t="s">
        <v>41</v>
      </c>
      <c r="F148" t="s">
        <v>47</v>
      </c>
      <c r="G148" t="s">
        <v>42</v>
      </c>
      <c r="H148" t="s">
        <v>21</v>
      </c>
      <c r="I148" s="6">
        <v>200</v>
      </c>
      <c r="J148" s="8" t="str">
        <f>IF(H148="","",IFERROR(VLOOKUP(H148,Listas!$J$2:$K$5000,2,FALSE),""))</f>
        <v>Banco</v>
      </c>
      <c r="K148" s="9">
        <f>IF(OR(I148="",G148=""),"",IF(G148="Saída",-I148,I148))</f>
        <v>-200</v>
      </c>
      <c r="L148" s="8" t="str">
        <f>IF(E148="","",IFERROR(VLOOKUP(E148,Listas!$A$2:$C$5000,3,FALSE),""))</f>
        <v>Sim</v>
      </c>
    </row>
    <row r="149" spans="1:12" x14ac:dyDescent="0.25">
      <c r="A149" s="5">
        <v>46207</v>
      </c>
      <c r="B149" t="s">
        <v>156</v>
      </c>
      <c r="C149" t="s">
        <v>145</v>
      </c>
      <c r="D149" t="s">
        <v>15</v>
      </c>
      <c r="E149" t="s">
        <v>38</v>
      </c>
      <c r="G149" t="s">
        <v>11</v>
      </c>
      <c r="H149" t="s">
        <v>16</v>
      </c>
      <c r="I149" s="6">
        <v>79.9</v>
      </c>
      <c r="J149" s="8" t="str">
        <f>IF(H149="","",IFERROR(VLOOKUP(H149,Listas!$J$2:$K$5000,2,FALSE),""))</f>
        <v>Caixa</v>
      </c>
      <c r="K149" s="9">
        <f>IF(OR(I149="",G149=""),"",IF(G149="Saída",-I149,I149))</f>
        <v>79.9</v>
      </c>
      <c r="L149" s="8" t="str">
        <f>IF(E149="","",IFERROR(VLOOKUP(E149,Listas!$A$2:$C$5000,3,FALSE),""))</f>
        <v>Sim</v>
      </c>
    </row>
    <row r="150" spans="1:12" x14ac:dyDescent="0.25">
      <c r="A150" s="5">
        <v>46213</v>
      </c>
      <c r="B150" t="s">
        <v>193</v>
      </c>
      <c r="C150" t="s">
        <v>143</v>
      </c>
      <c r="D150" t="s">
        <v>15</v>
      </c>
      <c r="E150" t="s">
        <v>62</v>
      </c>
      <c r="F150" t="s">
        <v>70</v>
      </c>
      <c r="G150" t="s">
        <v>42</v>
      </c>
      <c r="H150" t="s">
        <v>16</v>
      </c>
      <c r="I150" s="6">
        <v>95.2</v>
      </c>
      <c r="J150" s="8" t="str">
        <f>IF(H150="","",IFERROR(VLOOKUP(H150,Listas!$J$2:$K$5000,2,FALSE),""))</f>
        <v>Caixa</v>
      </c>
      <c r="K150" s="9">
        <f>IF(OR(I150="",G150=""),"",IF(G150="Saída",-I150,I150))</f>
        <v>-95.2</v>
      </c>
      <c r="L150" s="8" t="str">
        <f>IF(E150="","",IFERROR(VLOOKUP(E150,Listas!$A$2:$C$5000,3,FALSE),""))</f>
        <v>Sim</v>
      </c>
    </row>
    <row r="151" spans="1:12" x14ac:dyDescent="0.25">
      <c r="A151" s="5">
        <v>46221</v>
      </c>
      <c r="B151" t="s">
        <v>172</v>
      </c>
      <c r="C151" t="s">
        <v>194</v>
      </c>
      <c r="D151" t="s">
        <v>40</v>
      </c>
      <c r="E151" t="s">
        <v>26</v>
      </c>
      <c r="G151" t="s">
        <v>11</v>
      </c>
      <c r="H151" t="s">
        <v>21</v>
      </c>
      <c r="I151" s="6">
        <v>250</v>
      </c>
      <c r="J151" s="8" t="str">
        <f>IF(H151="","",IFERROR(VLOOKUP(H151,Listas!$J$2:$K$5000,2,FALSE),""))</f>
        <v>Banco</v>
      </c>
      <c r="K151" s="9">
        <f>IF(OR(I151="",G151=""),"",IF(G151="Saída",-I151,I151))</f>
        <v>250</v>
      </c>
      <c r="L151" s="8" t="str">
        <f>IF(E151="","",IFERROR(VLOOKUP(E151,Listas!$A$2:$C$5000,3,FALSE),""))</f>
        <v>Sim</v>
      </c>
    </row>
    <row r="152" spans="1:12" x14ac:dyDescent="0.25">
      <c r="A152" s="5">
        <v>46273</v>
      </c>
      <c r="B152" t="s">
        <v>173</v>
      </c>
      <c r="C152" t="s">
        <v>195</v>
      </c>
      <c r="D152" t="s">
        <v>15</v>
      </c>
      <c r="E152" t="s">
        <v>10</v>
      </c>
      <c r="G152" t="s">
        <v>11</v>
      </c>
      <c r="H152" t="s">
        <v>16</v>
      </c>
      <c r="I152" s="6">
        <v>120</v>
      </c>
      <c r="J152" s="8" t="str">
        <f>IF(H152="","",IFERROR(VLOOKUP(H152,Listas!$J$2:$K$5000,2,FALSE),""))</f>
        <v>Caixa</v>
      </c>
      <c r="K152" s="9">
        <f>IF(OR(I152="",G152=""),"",IF(G152="Saída",-I152,I152))</f>
        <v>120</v>
      </c>
      <c r="L152" s="8" t="str">
        <f>IF(E152="","",IFERROR(VLOOKUP(E152,Listas!$A$2:$C$5000,3,FALSE),""))</f>
        <v>Sim</v>
      </c>
    </row>
    <row r="153" spans="1:12" x14ac:dyDescent="0.25">
      <c r="A153" s="5">
        <v>46277</v>
      </c>
      <c r="B153" t="s">
        <v>174</v>
      </c>
      <c r="C153" t="s">
        <v>196</v>
      </c>
      <c r="D153" t="s">
        <v>15</v>
      </c>
      <c r="E153" t="s">
        <v>26</v>
      </c>
      <c r="G153" t="s">
        <v>11</v>
      </c>
      <c r="H153" t="s">
        <v>16</v>
      </c>
      <c r="I153" s="6">
        <v>350</v>
      </c>
      <c r="J153" s="8" t="str">
        <f>IF(H153="","",IFERROR(VLOOKUP(H153,Listas!$J$2:$K$5000,2,FALSE),""))</f>
        <v>Caixa</v>
      </c>
      <c r="K153" s="9">
        <f>IF(OR(I153="",G153=""),"",IF(G153="Saída",-I153,I153))</f>
        <v>350</v>
      </c>
      <c r="L153" s="8" t="str">
        <f>IF(E153="","",IFERROR(VLOOKUP(E153,Listas!$A$2:$C$5000,3,FALSE),""))</f>
        <v>Sim</v>
      </c>
    </row>
    <row r="154" spans="1:12" x14ac:dyDescent="0.25">
      <c r="A154" s="5">
        <v>46280</v>
      </c>
      <c r="B154" t="s">
        <v>197</v>
      </c>
      <c r="C154" t="s">
        <v>198</v>
      </c>
      <c r="D154" t="s">
        <v>15</v>
      </c>
      <c r="E154" t="s">
        <v>52</v>
      </c>
      <c r="G154" t="s">
        <v>42</v>
      </c>
      <c r="H154" t="s">
        <v>16</v>
      </c>
      <c r="I154" s="6">
        <v>85</v>
      </c>
      <c r="J154" s="8" t="str">
        <f>IF(H154="","",IFERROR(VLOOKUP(H154,Listas!$J$2:$K$5000,2,FALSE),""))</f>
        <v>Caixa</v>
      </c>
      <c r="K154" s="9">
        <f>IF(OR(I154="",G154=""),"",IF(G154="Saída",-I154,I154))</f>
        <v>-85</v>
      </c>
      <c r="L154" s="8" t="str">
        <f>IF(E154="","",IFERROR(VLOOKUP(E154,Listas!$A$2:$C$5000,3,FALSE),""))</f>
        <v>Sim</v>
      </c>
    </row>
    <row r="155" spans="1:12" x14ac:dyDescent="0.25">
      <c r="A155" s="5">
        <v>46283</v>
      </c>
      <c r="B155" t="s">
        <v>199</v>
      </c>
      <c r="C155" t="s">
        <v>200</v>
      </c>
      <c r="D155" t="s">
        <v>17</v>
      </c>
      <c r="E155" t="s">
        <v>36</v>
      </c>
      <c r="G155" t="s">
        <v>11</v>
      </c>
      <c r="H155" t="s">
        <v>21</v>
      </c>
      <c r="I155" s="6">
        <v>250</v>
      </c>
      <c r="J155" s="8" t="str">
        <f>IF(H155="","",IFERROR(VLOOKUP(H155,Listas!$J$2:$K$5000,2,FALSE),""))</f>
        <v>Banco</v>
      </c>
      <c r="K155" s="9">
        <f>IF(OR(I155="",G155=""),"",IF(G155="Saída",-I155,I155))</f>
        <v>250</v>
      </c>
      <c r="L155" s="8" t="str">
        <f>IF(E155="","",IFERROR(VLOOKUP(E155,Listas!$A$2:$C$5000,3,FALSE),""))</f>
        <v>Sim</v>
      </c>
    </row>
    <row r="156" spans="1:12" x14ac:dyDescent="0.25">
      <c r="A156" s="5">
        <v>46287</v>
      </c>
      <c r="B156" t="s">
        <v>201</v>
      </c>
      <c r="C156" t="s">
        <v>202</v>
      </c>
      <c r="D156" t="s">
        <v>15</v>
      </c>
      <c r="E156" t="s">
        <v>58</v>
      </c>
      <c r="F156" t="s">
        <v>67</v>
      </c>
      <c r="G156" t="s">
        <v>42</v>
      </c>
      <c r="H156" t="s">
        <v>21</v>
      </c>
      <c r="I156" s="6">
        <v>198.5</v>
      </c>
      <c r="J156" s="8" t="str">
        <f>IF(H156="","",IFERROR(VLOOKUP(H156,Listas!$J$2:$K$5000,2,FALSE),""))</f>
        <v>Banco</v>
      </c>
      <c r="K156" s="9">
        <f>IF(OR(I156="",G156=""),"",IF(G156="Saída",-I156,I156))</f>
        <v>-198.5</v>
      </c>
      <c r="L156" s="8" t="str">
        <f>IF(E156="","",IFERROR(VLOOKUP(E156,Listas!$A$2:$C$5000,3,FALSE),""))</f>
        <v>Sim</v>
      </c>
    </row>
    <row r="157" spans="1:12" x14ac:dyDescent="0.25">
      <c r="A157" s="5">
        <v>46291</v>
      </c>
      <c r="B157" t="s">
        <v>203</v>
      </c>
      <c r="C157" t="s">
        <v>204</v>
      </c>
      <c r="D157" t="s">
        <v>15</v>
      </c>
      <c r="E157" t="s">
        <v>52</v>
      </c>
      <c r="G157" t="s">
        <v>42</v>
      </c>
      <c r="H157" t="s">
        <v>16</v>
      </c>
      <c r="I157" s="6">
        <v>64.3</v>
      </c>
      <c r="J157" s="8" t="str">
        <f>IF(H157="","",IFERROR(VLOOKUP(H157,Listas!$J$2:$K$5000,2,FALSE),""))</f>
        <v>Caixa</v>
      </c>
      <c r="K157" s="9">
        <f>IF(OR(I157="",G157=""),"",IF(G157="Saída",-I157,I157))</f>
        <v>-64.3</v>
      </c>
      <c r="L157" s="8" t="str">
        <f>IF(E157="","",IFERROR(VLOOKUP(E157,Listas!$A$2:$C$5000,3,FALSE),""))</f>
        <v>Sim</v>
      </c>
    </row>
    <row r="158" spans="1:12" x14ac:dyDescent="0.25">
      <c r="A158" s="5">
        <v>46295</v>
      </c>
      <c r="B158" t="s">
        <v>205</v>
      </c>
      <c r="C158" t="s">
        <v>206</v>
      </c>
      <c r="D158" t="s">
        <v>15</v>
      </c>
      <c r="E158" t="s">
        <v>58</v>
      </c>
      <c r="F158" t="s">
        <v>68</v>
      </c>
      <c r="G158" t="s">
        <v>42</v>
      </c>
      <c r="H158" t="s">
        <v>21</v>
      </c>
      <c r="I158" s="6">
        <v>6.2</v>
      </c>
      <c r="J158" s="8" t="str">
        <f>IF(H158="","",IFERROR(VLOOKUP(H158,Listas!$J$2:$K$5000,2,FALSE),""))</f>
        <v>Banco</v>
      </c>
      <c r="K158" s="9">
        <f>IF(OR(I158="",G158=""),"",IF(G158="Saída",-I158,I158))</f>
        <v>-6.2</v>
      </c>
      <c r="L158" s="8" t="str">
        <f>IF(E158="","",IFERROR(VLOOKUP(E158,Listas!$A$2:$C$5000,3,FALSE),""))</f>
        <v>Sim</v>
      </c>
    </row>
  </sheetData>
  <autoFilter ref="A1:L5000"/>
  <conditionalFormatting sqref="F2:F5000">
    <cfRule type="expression" dxfId="0" priority="1">
      <formula>AND($F2&lt;&gt;"",COUNTIFS(Listas!$E$2:$E$5000,$F2,Listas!$F$2:$F$5000,$E2)=0)</formula>
    </cfRule>
  </conditionalFormatting>
  <dataValidations count="6">
    <dataValidation type="list" allowBlank="1" showInputMessage="1" promptTitle="Atividade" prompt="Escolha a atividade na lista." showErrorMessage="1" errorStyle="stop" errorTitle="Valor fora da lista" error="Escolha uma atividade da lista (separador Listas)." sqref="D2:D5000">
      <formula1>Listas!$H$2:$H$5000</formula1>
    </dataValidation>
    <dataValidation type="list" allowBlank="1" showInputMessage="1" promptTitle="Rubrica" prompt="Escolha a rubrica na lista." showErrorMessage="1" errorStyle="stop" errorTitle="Valor fora da lista" error="Escolha uma rubrica da lista (separador Listas)." sqref="E2:E5000">
      <formula1>Listas!$A$2:$A$5000</formula1>
    </dataValidation>
    <dataValidation type="list" allowBlank="1" showInputMessage="1" promptTitle="Sub-rubrica" prompt="A lista mostra só as sub-rubricas da rubrica escolhida. Escolha primeiro a rubrica. Pode deixar em branco." showErrorMessage="1" errorStyle="warning" errorTitle="Valor fora da lista" error="Esta sub-rubrica não pertence à rubrica escolhida. Confirme a rubrica e a sub-rubrica." sqref="F2:F5000">
      <formula1>OFFSET(Listas!$E$2,MATCH($E2,Listas!$F$2:$F$5000,0)-1,0,COUNTIF(Listas!$F$2:$F$5000,$E2),1)</formula1>
    </dataValidation>
    <dataValidation type="list" allowBlank="1" showInputMessage="1" promptTitle="Tipo" prompt="Entrada: o dinheiro entrou. Saída: o dinheiro saiu." showErrorMessage="1" errorStyle="stop" errorTitle="Valor fora da lista" error="Escolha Entrada ou Saída." sqref="G2:G5000">
      <formula1>"Entrada,Saída"</formula1>
    </dataValidation>
    <dataValidation type="list" allowBlank="1" showInputMessage="1" promptTitle="Meio" prompt="Escolha como o dinheiro entrou ou saiu." showErrorMessage="1" errorStyle="stop" errorTitle="Valor fora da lista" error="Escolha um meio da lista (separador Listas)." sqref="H2:H5000">
      <formula1>Listas!$J$2:$J$5000</formula1>
    </dataValidation>
    <dataValidation type="custom" allowBlank="1" showInputMessage="1" promptTitle="Calculado sozinho" prompt="Não escreva nesta coluna." sqref="J2:L5000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40" customWidth="1"/>
    <col min="4" max="4" width="20" customWidth="1"/>
    <col min="5" max="5" width="16" customWidth="1"/>
    <col min="6" max="7" width="13" customWidth="1"/>
    <col min="8" max="8" width="36" customWidth="1"/>
  </cols>
  <sheetData>
    <row r="1" ht="45" customHeight="1" spans="1:8" x14ac:dyDescent="0.25">
      <c r="A1" s="4" t="s">
        <v>3</v>
      </c>
      <c r="B1" s="4" t="s">
        <v>207</v>
      </c>
      <c r="C1" s="4" t="s">
        <v>78</v>
      </c>
      <c r="D1" s="4" t="s">
        <v>6</v>
      </c>
      <c r="E1" s="4" t="s">
        <v>79</v>
      </c>
      <c r="F1" s="4" t="s">
        <v>208</v>
      </c>
      <c r="G1" s="4" t="s">
        <v>209</v>
      </c>
      <c r="H1" s="4" t="s">
        <v>210</v>
      </c>
    </row>
    <row r="2" spans="1:7" x14ac:dyDescent="0.25">
      <c r="A2" t="s">
        <v>211</v>
      </c>
      <c r="B2" t="s">
        <v>212</v>
      </c>
      <c r="C2" t="s">
        <v>213</v>
      </c>
      <c r="D2" t="s">
        <v>15</v>
      </c>
      <c r="E2" s="6">
        <v>1000</v>
      </c>
      <c r="F2" s="5">
        <v>45762</v>
      </c>
      <c r="G2" s="5">
        <v>46034</v>
      </c>
    </row>
    <row r="3" spans="1:7" x14ac:dyDescent="0.25">
      <c r="A3" t="s">
        <v>214</v>
      </c>
      <c r="B3" t="s">
        <v>215</v>
      </c>
      <c r="C3" t="s">
        <v>216</v>
      </c>
      <c r="D3" t="s">
        <v>40</v>
      </c>
      <c r="E3" s="6">
        <v>450</v>
      </c>
      <c r="F3" s="5">
        <v>45894</v>
      </c>
      <c r="G3" s="5">
        <v>46042</v>
      </c>
    </row>
    <row r="4" spans="1:7" x14ac:dyDescent="0.25">
      <c r="A4" t="s">
        <v>211</v>
      </c>
      <c r="B4" t="s">
        <v>217</v>
      </c>
      <c r="C4" t="s">
        <v>218</v>
      </c>
      <c r="D4" t="s">
        <v>17</v>
      </c>
      <c r="E4" s="6">
        <v>250</v>
      </c>
      <c r="F4" s="5">
        <v>46114</v>
      </c>
      <c r="G4" s="5">
        <v>46283</v>
      </c>
    </row>
    <row r="5" spans="1:8" x14ac:dyDescent="0.25">
      <c r="A5" t="s">
        <v>211</v>
      </c>
      <c r="B5" t="s">
        <v>219</v>
      </c>
      <c r="C5" t="s">
        <v>220</v>
      </c>
      <c r="D5" t="s">
        <v>15</v>
      </c>
      <c r="E5" s="6">
        <v>120</v>
      </c>
      <c r="F5" s="5">
        <v>46173</v>
      </c>
      <c r="G5" s="5">
        <v>46273</v>
      </c>
      <c r="H5" t="s">
        <v>221</v>
      </c>
    </row>
    <row r="6" spans="1:8" x14ac:dyDescent="0.25">
      <c r="A6" t="s">
        <v>214</v>
      </c>
      <c r="B6" t="s">
        <v>222</v>
      </c>
      <c r="C6" t="s">
        <v>223</v>
      </c>
      <c r="D6" t="s">
        <v>15</v>
      </c>
      <c r="E6" s="6">
        <v>64.3</v>
      </c>
      <c r="F6" s="5">
        <v>46218</v>
      </c>
      <c r="G6" s="5">
        <v>46291</v>
      </c>
      <c r="H6" t="s">
        <v>224</v>
      </c>
    </row>
    <row r="7" spans="1:8" x14ac:dyDescent="0.25">
      <c r="A7" t="s">
        <v>211</v>
      </c>
      <c r="B7" t="s">
        <v>225</v>
      </c>
      <c r="C7" t="s">
        <v>226</v>
      </c>
      <c r="D7" t="s">
        <v>15</v>
      </c>
      <c r="E7" s="6">
        <v>300</v>
      </c>
      <c r="F7" s="5">
        <v>46286</v>
      </c>
      <c r="H7" t="s">
        <v>227</v>
      </c>
    </row>
    <row r="8" spans="1:8" x14ac:dyDescent="0.25">
      <c r="A8" t="s">
        <v>214</v>
      </c>
      <c r="B8" t="s">
        <v>228</v>
      </c>
      <c r="C8" t="s">
        <v>229</v>
      </c>
      <c r="D8" t="s">
        <v>40</v>
      </c>
      <c r="E8" s="6">
        <v>180</v>
      </c>
      <c r="F8" s="5">
        <v>46289</v>
      </c>
      <c r="H8" t="s">
        <v>230</v>
      </c>
    </row>
  </sheetData>
  <autoFilter ref="A1:H5000"/>
  <dataValidations count="2">
    <dataValidation type="list" allowBlank="1" showInputMessage="1" promptTitle="Tipo" prompt="A receber: alguém nos deve. A pagar: nós devemos." showErrorMessage="1" errorStyle="stop" errorTitle="Valor fora da lista" error="Escolha A receber ou A pagar." sqref="A2:A5000">
      <formula1>"A receber,A pagar"</formula1>
    </dataValidation>
    <dataValidation type="list" allowBlank="1" showInputMessage="1" promptTitle="Atividade" prompt="Escolha a atividade na lista." showErrorMessage="1" errorStyle="stop" errorTitle="Valor fora da lista" error="Escolha uma atividade da lista (separador Listas)." sqref="D2:D5000">
      <formula1>Listas!$H$2:$H$5000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3" max="3" width="30" customWidth="1"/>
    <col min="4" max="4" width="26" customWidth="1"/>
    <col min="5" max="5" width="16" customWidth="1"/>
  </cols>
  <sheetData>
    <row r="1" ht="45" customHeight="1" spans="1:5" x14ac:dyDescent="0.25">
      <c r="A1" s="4" t="s">
        <v>231</v>
      </c>
      <c r="B1" s="4" t="s">
        <v>3</v>
      </c>
      <c r="C1" s="4" t="s">
        <v>2</v>
      </c>
      <c r="D1" s="4" t="s">
        <v>5</v>
      </c>
      <c r="E1" s="4" t="s">
        <v>232</v>
      </c>
    </row>
    <row r="2" spans="1:5" x14ac:dyDescent="0.25">
      <c r="A2" t="s">
        <v>17</v>
      </c>
      <c r="B2" t="s">
        <v>11</v>
      </c>
      <c r="C2" t="s">
        <v>28</v>
      </c>
      <c r="D2" t="s">
        <v>27</v>
      </c>
      <c r="E2" s="6">
        <v>2400</v>
      </c>
    </row>
    <row r="3" spans="1:5" x14ac:dyDescent="0.25">
      <c r="A3" t="s">
        <v>17</v>
      </c>
      <c r="B3" t="s">
        <v>11</v>
      </c>
      <c r="C3" t="s">
        <v>28</v>
      </c>
      <c r="D3" t="s">
        <v>31</v>
      </c>
      <c r="E3" s="6">
        <v>3500</v>
      </c>
    </row>
    <row r="4" spans="1:5" x14ac:dyDescent="0.25">
      <c r="A4" t="s">
        <v>17</v>
      </c>
      <c r="B4" t="s">
        <v>11</v>
      </c>
      <c r="C4" t="s">
        <v>33</v>
      </c>
      <c r="D4" t="s">
        <v>37</v>
      </c>
      <c r="E4" s="6">
        <v>5800</v>
      </c>
    </row>
    <row r="5" spans="1:5" x14ac:dyDescent="0.25">
      <c r="A5" t="s">
        <v>17</v>
      </c>
      <c r="B5" t="s">
        <v>11</v>
      </c>
      <c r="C5" t="s">
        <v>33</v>
      </c>
      <c r="D5" t="s">
        <v>39</v>
      </c>
      <c r="E5" s="6">
        <v>800</v>
      </c>
    </row>
    <row r="6" spans="1:5" x14ac:dyDescent="0.25">
      <c r="A6" t="s">
        <v>17</v>
      </c>
      <c r="B6" t="s">
        <v>11</v>
      </c>
      <c r="C6" t="s">
        <v>36</v>
      </c>
      <c r="E6" s="6">
        <v>3000</v>
      </c>
    </row>
    <row r="7" spans="1:5" x14ac:dyDescent="0.25">
      <c r="A7" t="s">
        <v>17</v>
      </c>
      <c r="B7" t="s">
        <v>11</v>
      </c>
      <c r="C7" t="s">
        <v>14</v>
      </c>
      <c r="D7" t="s">
        <v>13</v>
      </c>
      <c r="E7" s="6">
        <v>2500</v>
      </c>
    </row>
    <row r="8" spans="1:5" x14ac:dyDescent="0.25">
      <c r="A8" t="s">
        <v>17</v>
      </c>
      <c r="B8" t="s">
        <v>11</v>
      </c>
      <c r="C8" t="s">
        <v>14</v>
      </c>
      <c r="D8" t="s">
        <v>19</v>
      </c>
      <c r="E8" s="6">
        <v>1500</v>
      </c>
    </row>
    <row r="9" spans="1:5" x14ac:dyDescent="0.25">
      <c r="A9" t="s">
        <v>17</v>
      </c>
      <c r="B9" t="s">
        <v>11</v>
      </c>
      <c r="C9" t="s">
        <v>14</v>
      </c>
      <c r="D9" t="s">
        <v>23</v>
      </c>
      <c r="E9" s="6">
        <v>500</v>
      </c>
    </row>
    <row r="10" spans="1:5" x14ac:dyDescent="0.25">
      <c r="A10" t="s">
        <v>17</v>
      </c>
      <c r="B10" t="s">
        <v>42</v>
      </c>
      <c r="C10" t="s">
        <v>41</v>
      </c>
      <c r="D10" t="s">
        <v>47</v>
      </c>
      <c r="E10" s="6">
        <v>3600</v>
      </c>
    </row>
    <row r="11" spans="1:5" x14ac:dyDescent="0.25">
      <c r="A11" t="s">
        <v>17</v>
      </c>
      <c r="B11" t="s">
        <v>42</v>
      </c>
      <c r="C11" t="s">
        <v>41</v>
      </c>
      <c r="D11" t="s">
        <v>49</v>
      </c>
      <c r="E11" s="6">
        <v>1200</v>
      </c>
    </row>
    <row r="12" spans="1:5" x14ac:dyDescent="0.25">
      <c r="A12" t="s">
        <v>17</v>
      </c>
      <c r="B12" t="s">
        <v>42</v>
      </c>
      <c r="C12" t="s">
        <v>44</v>
      </c>
      <c r="D12" t="s">
        <v>51</v>
      </c>
      <c r="E12" s="6">
        <v>3000</v>
      </c>
    </row>
    <row r="13" spans="1:5" x14ac:dyDescent="0.25">
      <c r="A13" t="s">
        <v>17</v>
      </c>
      <c r="B13" t="s">
        <v>42</v>
      </c>
      <c r="C13" t="s">
        <v>44</v>
      </c>
      <c r="D13" t="s">
        <v>53</v>
      </c>
      <c r="E13" s="6">
        <v>1800</v>
      </c>
    </row>
    <row r="14" spans="1:5" x14ac:dyDescent="0.25">
      <c r="A14" t="s">
        <v>17</v>
      </c>
      <c r="B14" t="s">
        <v>42</v>
      </c>
      <c r="C14" t="s">
        <v>46</v>
      </c>
      <c r="E14" s="6">
        <v>2700</v>
      </c>
    </row>
    <row r="15" spans="1:5" x14ac:dyDescent="0.25">
      <c r="A15" t="s">
        <v>17</v>
      </c>
      <c r="B15" t="s">
        <v>42</v>
      </c>
      <c r="C15" t="s">
        <v>50</v>
      </c>
      <c r="E15" s="6">
        <v>900</v>
      </c>
    </row>
    <row r="16" spans="1:5" x14ac:dyDescent="0.25">
      <c r="A16" t="s">
        <v>17</v>
      </c>
      <c r="B16" t="s">
        <v>42</v>
      </c>
      <c r="C16" t="s">
        <v>50</v>
      </c>
      <c r="D16" t="s">
        <v>59</v>
      </c>
      <c r="E16" s="6">
        <v>400</v>
      </c>
    </row>
    <row r="17" spans="1:5" x14ac:dyDescent="0.25">
      <c r="A17" t="s">
        <v>17</v>
      </c>
      <c r="B17" t="s">
        <v>42</v>
      </c>
      <c r="C17" t="s">
        <v>56</v>
      </c>
      <c r="E17" s="6">
        <v>600</v>
      </c>
    </row>
    <row r="18" spans="1:5" x14ac:dyDescent="0.25">
      <c r="A18" t="s">
        <v>17</v>
      </c>
      <c r="B18" t="s">
        <v>42</v>
      </c>
      <c r="C18" t="s">
        <v>60</v>
      </c>
      <c r="D18" t="s">
        <v>69</v>
      </c>
      <c r="E18" s="6">
        <v>300</v>
      </c>
    </row>
    <row r="19" spans="1:5" x14ac:dyDescent="0.25">
      <c r="A19" t="s">
        <v>17</v>
      </c>
      <c r="B19" t="s">
        <v>42</v>
      </c>
      <c r="C19" t="s">
        <v>58</v>
      </c>
      <c r="D19" t="s">
        <v>67</v>
      </c>
      <c r="E19" s="6">
        <v>185</v>
      </c>
    </row>
    <row r="20" spans="1:5" x14ac:dyDescent="0.25">
      <c r="A20" t="s">
        <v>17</v>
      </c>
      <c r="B20" t="s">
        <v>42</v>
      </c>
      <c r="C20" t="s">
        <v>54</v>
      </c>
      <c r="D20" t="s">
        <v>61</v>
      </c>
      <c r="E20" s="6">
        <v>650</v>
      </c>
    </row>
    <row r="21" spans="1:5" x14ac:dyDescent="0.25">
      <c r="A21" t="s">
        <v>17</v>
      </c>
      <c r="B21" t="s">
        <v>42</v>
      </c>
      <c r="C21" t="s">
        <v>62</v>
      </c>
      <c r="D21" t="s">
        <v>70</v>
      </c>
      <c r="E21" s="6">
        <v>200</v>
      </c>
    </row>
    <row r="22" spans="1:5" x14ac:dyDescent="0.25">
      <c r="A22" t="s">
        <v>22</v>
      </c>
      <c r="B22" t="s">
        <v>11</v>
      </c>
      <c r="C22" t="s">
        <v>10</v>
      </c>
      <c r="E22" s="6">
        <v>1200</v>
      </c>
    </row>
    <row r="23" spans="1:5" x14ac:dyDescent="0.25">
      <c r="A23" t="s">
        <v>22</v>
      </c>
      <c r="B23" t="s">
        <v>11</v>
      </c>
      <c r="C23" t="s">
        <v>18</v>
      </c>
      <c r="E23" s="6">
        <v>800</v>
      </c>
    </row>
    <row r="24" spans="1:5" x14ac:dyDescent="0.25">
      <c r="A24" t="s">
        <v>22</v>
      </c>
      <c r="B24" t="s">
        <v>11</v>
      </c>
      <c r="C24" t="s">
        <v>14</v>
      </c>
      <c r="E24" s="6">
        <v>4500</v>
      </c>
    </row>
    <row r="25" spans="1:5" x14ac:dyDescent="0.25">
      <c r="A25" t="s">
        <v>22</v>
      </c>
      <c r="B25" t="s">
        <v>11</v>
      </c>
      <c r="C25" t="s">
        <v>26</v>
      </c>
      <c r="E25" s="6">
        <v>3600</v>
      </c>
    </row>
    <row r="26" spans="1:5" x14ac:dyDescent="0.25">
      <c r="A26" t="s">
        <v>22</v>
      </c>
      <c r="B26" t="s">
        <v>11</v>
      </c>
      <c r="C26" t="s">
        <v>28</v>
      </c>
      <c r="E26" s="6">
        <v>6000</v>
      </c>
    </row>
    <row r="27" spans="1:5" x14ac:dyDescent="0.25">
      <c r="A27" t="s">
        <v>22</v>
      </c>
      <c r="B27" t="s">
        <v>11</v>
      </c>
      <c r="C27" t="s">
        <v>33</v>
      </c>
      <c r="E27" s="6">
        <v>5500</v>
      </c>
    </row>
    <row r="28" spans="1:5" x14ac:dyDescent="0.25">
      <c r="A28" t="s">
        <v>22</v>
      </c>
      <c r="B28" t="s">
        <v>11</v>
      </c>
      <c r="C28" t="s">
        <v>36</v>
      </c>
      <c r="E28" s="6">
        <v>2500</v>
      </c>
    </row>
    <row r="29" spans="1:5" x14ac:dyDescent="0.25">
      <c r="A29" t="s">
        <v>22</v>
      </c>
      <c r="B29" t="s">
        <v>11</v>
      </c>
      <c r="C29" t="s">
        <v>38</v>
      </c>
      <c r="E29" s="6">
        <v>100</v>
      </c>
    </row>
    <row r="30" spans="1:5" x14ac:dyDescent="0.25">
      <c r="A30" t="s">
        <v>22</v>
      </c>
      <c r="B30" t="s">
        <v>42</v>
      </c>
      <c r="C30" t="s">
        <v>41</v>
      </c>
      <c r="E30" s="6">
        <v>6200</v>
      </c>
    </row>
    <row r="31" spans="1:5" x14ac:dyDescent="0.25">
      <c r="A31" t="s">
        <v>22</v>
      </c>
      <c r="B31" t="s">
        <v>42</v>
      </c>
      <c r="C31" t="s">
        <v>44</v>
      </c>
      <c r="E31" s="6">
        <v>4600</v>
      </c>
    </row>
    <row r="32" spans="1:5" x14ac:dyDescent="0.25">
      <c r="A32" t="s">
        <v>22</v>
      </c>
      <c r="B32" t="s">
        <v>42</v>
      </c>
      <c r="C32" t="s">
        <v>46</v>
      </c>
      <c r="E32" s="6">
        <v>3000</v>
      </c>
    </row>
    <row r="33" spans="1:5" x14ac:dyDescent="0.25">
      <c r="A33" t="s">
        <v>22</v>
      </c>
      <c r="B33" t="s">
        <v>42</v>
      </c>
      <c r="C33" t="s">
        <v>48</v>
      </c>
      <c r="E33" s="6">
        <v>3000</v>
      </c>
    </row>
    <row r="34" spans="1:5" x14ac:dyDescent="0.25">
      <c r="A34" t="s">
        <v>22</v>
      </c>
      <c r="B34" t="s">
        <v>42</v>
      </c>
      <c r="C34" t="s">
        <v>50</v>
      </c>
      <c r="E34" s="6">
        <v>800</v>
      </c>
    </row>
    <row r="35" spans="1:5" x14ac:dyDescent="0.25">
      <c r="A35" t="s">
        <v>22</v>
      </c>
      <c r="B35" t="s">
        <v>42</v>
      </c>
      <c r="C35" t="s">
        <v>52</v>
      </c>
      <c r="E35" s="6">
        <v>900</v>
      </c>
    </row>
    <row r="36" spans="1:5" x14ac:dyDescent="0.25">
      <c r="A36" t="s">
        <v>22</v>
      </c>
      <c r="B36" t="s">
        <v>42</v>
      </c>
      <c r="C36" t="s">
        <v>54</v>
      </c>
      <c r="E36" s="6">
        <v>1300</v>
      </c>
    </row>
    <row r="37" spans="1:5" x14ac:dyDescent="0.25">
      <c r="A37" t="s">
        <v>22</v>
      </c>
      <c r="B37" t="s">
        <v>42</v>
      </c>
      <c r="C37" t="s">
        <v>56</v>
      </c>
      <c r="E37" s="6">
        <v>600</v>
      </c>
    </row>
    <row r="38" spans="1:5" x14ac:dyDescent="0.25">
      <c r="A38" t="s">
        <v>22</v>
      </c>
      <c r="B38" t="s">
        <v>42</v>
      </c>
      <c r="C38" t="s">
        <v>58</v>
      </c>
      <c r="E38" s="6">
        <v>420</v>
      </c>
    </row>
    <row r="39" spans="1:5" x14ac:dyDescent="0.25">
      <c r="A39" t="s">
        <v>22</v>
      </c>
      <c r="B39" t="s">
        <v>42</v>
      </c>
      <c r="C39" t="s">
        <v>60</v>
      </c>
      <c r="E39" s="6">
        <v>400</v>
      </c>
    </row>
    <row r="40" spans="1:5" x14ac:dyDescent="0.25">
      <c r="A40" t="s">
        <v>22</v>
      </c>
      <c r="B40" t="s">
        <v>42</v>
      </c>
      <c r="C40" t="s">
        <v>62</v>
      </c>
      <c r="E40" s="6">
        <v>150</v>
      </c>
    </row>
  </sheetData>
  <autoFilter ref="A1:E5000"/>
  <conditionalFormatting sqref="D2:D5000">
    <cfRule type="expression" dxfId="1" priority="1">
      <formula>AND($D2&lt;&gt;"",COUNTIFS(Listas!$E$2:$E$5000,$D2,Listas!$F$2:$F$5000,$C2)=0)</formula>
    </cfRule>
  </conditionalFormatting>
  <dataValidations count="4">
    <dataValidation type="list" allowBlank="1" showInputMessage="1" promptTitle="Âmbito" prompt="Escolha um orçamento da lista. Para criar um novo, acrescente o nome na coluna Orçamento do separador Listas." showErrorMessage="1" errorStyle="stop" errorTitle="Valor fora da lista" error="Escolha um orçamento da lista (separador Listas)." sqref="A2:A5000">
      <formula1>Listas!$M$2:$M$5000</formula1>
    </dataValidation>
    <dataValidation type="list" allowBlank="1" showInputMessage="1" promptTitle="Tipo" prompt="Entrada: receita orçada. Saída: despesa orçada." showErrorMessage="1" errorStyle="stop" errorTitle="Valor fora da lista" error="Escolha Entrada ou Saída." sqref="B2:B5000">
      <formula1>"Entrada,Saída"</formula1>
    </dataValidation>
    <dataValidation type="list" allowBlank="1" showInputMessage="1" promptTitle="Rubrica" prompt="Escolha a rubrica na lista." showErrorMessage="1" errorStyle="stop" errorTitle="Valor fora da lista" error="Escolha uma rubrica da lista (separador Listas)." sqref="C2:C5000">
      <formula1>Listas!$A$2:$A$5000</formula1>
    </dataValidation>
    <dataValidation type="list" allowBlank="1" showInputMessage="1" promptTitle="Sub-rubrica" prompt="A lista mostra só as sub-rubricas da rubrica escolhida. Escolha primeiro a rubrica. Pode deixar em branco." showErrorMessage="1" errorStyle="warning" errorTitle="Valor fora da lista" error="Esta sub-rubrica não pertence à rubrica escolhida. Confirme a rubrica e a sub-rubrica." sqref="D2:D5000">
      <formula1>OFFSET(Listas!$E$2,MATCH($C2,Listas!$F$2:$F$5000,0)-1,0,COUNTIF(Listas!$F$2:$F$5000,$C2),1)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0" customWidth="1"/>
    <col min="3" max="3" width="28" customWidth="1"/>
    <col min="4" max="4" width="14" customWidth="1"/>
    <col min="5" max="5" width="10" customWidth="1"/>
    <col min="6" max="6" width="16" customWidth="1"/>
  </cols>
  <sheetData>
    <row r="1" ht="45" customHeight="1" spans="1:6" x14ac:dyDescent="0.25">
      <c r="A1" s="4" t="s">
        <v>71</v>
      </c>
      <c r="B1" s="4" t="s">
        <v>6</v>
      </c>
      <c r="C1" s="4" t="s">
        <v>3</v>
      </c>
      <c r="D1" s="4" t="s">
        <v>233</v>
      </c>
      <c r="E1" s="4" t="s">
        <v>234</v>
      </c>
      <c r="F1" s="4" t="s">
        <v>235</v>
      </c>
    </row>
    <row r="2" spans="1:6" x14ac:dyDescent="0.25">
      <c r="A2" s="5">
        <v>46142</v>
      </c>
      <c r="B2" t="s">
        <v>17</v>
      </c>
      <c r="C2" t="s">
        <v>236</v>
      </c>
      <c r="D2" t="s">
        <v>237</v>
      </c>
      <c r="F2" s="6">
        <v>2400</v>
      </c>
    </row>
    <row r="3" spans="1:6" x14ac:dyDescent="0.25">
      <c r="A3" s="5">
        <v>46142</v>
      </c>
      <c r="B3" t="s">
        <v>17</v>
      </c>
      <c r="C3" t="s">
        <v>238</v>
      </c>
      <c r="D3" t="s">
        <v>239</v>
      </c>
      <c r="F3" s="6">
        <v>380</v>
      </c>
    </row>
    <row r="4" spans="1:6" x14ac:dyDescent="0.25">
      <c r="A4" s="5">
        <v>46142</v>
      </c>
      <c r="B4" t="s">
        <v>17</v>
      </c>
      <c r="C4" t="s">
        <v>240</v>
      </c>
      <c r="D4" t="s">
        <v>241</v>
      </c>
      <c r="F4" s="6">
        <v>150</v>
      </c>
    </row>
  </sheetData>
  <autoFilter ref="A1:F5000"/>
  <dataValidations count="1">
    <dataValidation type="list" allowBlank="1" showInputMessage="1" promptTitle="Atividade" prompt="Escolha a atividade na lista." showErrorMessage="1" errorStyle="stop" errorTitle="Valor fora da lista" error="Escolha uma atividade da lista (separador Listas)." sqref="B2:B5000">
      <formula1>Listas!$H$2:$H$5000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46" customWidth="1"/>
    <col min="2" max="2" width="34" customWidth="1"/>
    <col min="3" max="3" width="56" customWidth="1"/>
  </cols>
  <sheetData>
    <row r="1" spans="1:2" x14ac:dyDescent="0.25">
      <c r="A1" s="10" t="s">
        <v>242</v>
      </c>
      <c r="B1" s="11" t="s">
        <v>243</v>
      </c>
    </row>
    <row r="2" spans="1:2" x14ac:dyDescent="0.25">
      <c r="A2" s="10" t="s">
        <v>244</v>
      </c>
      <c r="B2" s="12">
        <v>1</v>
      </c>
    </row>
    <row r="4" spans="1:2" x14ac:dyDescent="0.25">
      <c r="A4" s="10" t="s">
        <v>6</v>
      </c>
      <c r="B4" s="11" t="s">
        <v>17</v>
      </c>
    </row>
    <row r="5" spans="1:3" x14ac:dyDescent="0.25">
      <c r="A5" s="10" t="s">
        <v>245</v>
      </c>
      <c r="B5" s="13">
        <v>46142</v>
      </c>
      <c r="C5" s="14" t="s">
        <v>246</v>
      </c>
    </row>
    <row r="6" spans="1:2" x14ac:dyDescent="0.25">
      <c r="A6" s="10" t="s">
        <v>247</v>
      </c>
      <c r="B6" s="13">
        <v>46145</v>
      </c>
    </row>
    <row r="7" spans="1:3" x14ac:dyDescent="0.25">
      <c r="A7" s="10" t="s">
        <v>248</v>
      </c>
      <c r="B7" s="13">
        <v>46188</v>
      </c>
      <c r="C7" s="14" t="s">
        <v>249</v>
      </c>
    </row>
    <row r="8" spans="1:3" x14ac:dyDescent="0.25">
      <c r="A8" s="10" t="s">
        <v>250</v>
      </c>
      <c r="B8" s="13"/>
      <c r="C8" s="14" t="s">
        <v>251</v>
      </c>
    </row>
    <row r="9" spans="1:3" x14ac:dyDescent="0.25">
      <c r="A9" s="10" t="s">
        <v>252</v>
      </c>
      <c r="B9" s="11"/>
      <c r="C9" s="14" t="s">
        <v>253</v>
      </c>
    </row>
    <row r="11" spans="1:1" x14ac:dyDescent="0.25">
      <c r="A11" s="15" t="s">
        <v>254</v>
      </c>
    </row>
    <row r="12" spans="1:2" x14ac:dyDescent="0.25">
      <c r="A12" s="4" t="s">
        <v>255</v>
      </c>
      <c r="B12" s="4" t="s">
        <v>256</v>
      </c>
    </row>
    <row r="13" spans="1:2" x14ac:dyDescent="0.25">
      <c r="A13" s="11" t="s">
        <v>257</v>
      </c>
      <c r="B13" s="11" t="s">
        <v>258</v>
      </c>
    </row>
    <row r="14" spans="1:2" x14ac:dyDescent="0.25">
      <c r="A14" s="11" t="s">
        <v>259</v>
      </c>
      <c r="B14" s="11" t="s">
        <v>260</v>
      </c>
    </row>
    <row r="15" spans="1:2" x14ac:dyDescent="0.25">
      <c r="A15" s="11" t="s">
        <v>261</v>
      </c>
      <c r="B15" s="11" t="s">
        <v>262</v>
      </c>
    </row>
    <row r="16" spans="1:2" x14ac:dyDescent="0.25">
      <c r="A16" s="11" t="s">
        <v>263</v>
      </c>
      <c r="B16" s="11" t="s">
        <v>264</v>
      </c>
    </row>
    <row r="17" spans="1:2" x14ac:dyDescent="0.25">
      <c r="A17" s="11" t="s">
        <v>265</v>
      </c>
      <c r="B17" s="11" t="s">
        <v>266</v>
      </c>
    </row>
    <row r="18" ht="18" customHeight="1" spans="1:2" x14ac:dyDescent="0.25">
      <c r="A18" s="11"/>
      <c r="B18" s="11"/>
    </row>
    <row r="19" ht="18" customHeight="1" spans="1:2" x14ac:dyDescent="0.25">
      <c r="A19" s="11"/>
      <c r="B19" s="11"/>
    </row>
    <row r="20" ht="18" customHeight="1" spans="1:2" x14ac:dyDescent="0.25">
      <c r="A20" s="11"/>
      <c r="B20" s="11"/>
    </row>
    <row r="22" spans="1:3" x14ac:dyDescent="0.25">
      <c r="A22" s="15" t="s">
        <v>210</v>
      </c>
      <c r="C22" s="14" t="s">
        <v>267</v>
      </c>
    </row>
    <row r="23" spans="1:1" x14ac:dyDescent="0.25">
      <c r="A23" s="11" t="s">
        <v>268</v>
      </c>
    </row>
    <row r="24" ht="18" customHeight="1" spans="1:1" x14ac:dyDescent="0.25">
      <c r="A24" s="11"/>
    </row>
    <row r="25" ht="18" customHeight="1" spans="1:1" x14ac:dyDescent="0.25">
      <c r="A25" s="11"/>
    </row>
    <row r="26" ht="18" customHeight="1" spans="1:1" x14ac:dyDescent="0.25">
      <c r="A26" s="11"/>
    </row>
    <row r="27" ht="18" customHeight="1" spans="1:1" x14ac:dyDescent="0.25">
      <c r="A27" s="11"/>
    </row>
    <row r="29" spans="1:3" x14ac:dyDescent="0.25">
      <c r="A29" s="15" t="s">
        <v>269</v>
      </c>
      <c r="C29" s="14" t="s">
        <v>270</v>
      </c>
    </row>
    <row r="30" spans="1:2" x14ac:dyDescent="0.25">
      <c r="A30" s="4" t="s">
        <v>271</v>
      </c>
      <c r="B30" s="4" t="s">
        <v>272</v>
      </c>
    </row>
    <row r="31" spans="1:2" x14ac:dyDescent="0.25">
      <c r="A31" s="16" t="s">
        <v>273</v>
      </c>
      <c r="B31" s="11"/>
    </row>
    <row r="32" spans="1:2" x14ac:dyDescent="0.25">
      <c r="A32" s="16" t="s">
        <v>274</v>
      </c>
      <c r="B32" s="11"/>
    </row>
  </sheetData>
  <dataValidations count="3">
    <dataValidation type="list" allowBlank="1" showInputMessage="1" promptTitle="Tipo de relatório" prompt="Escolha o tipo na lista." showErrorMessage="1" errorStyle="stop" errorTitle="Valor fora da lista" error="Escolha um dos tipos de relatório da lista." sqref="B1">
      <formula1>"Pegada de direção,Relatório de evento,Fim de ano letivo,Fim de ano fiscal"</formula1>
    </dataValidation>
    <dataValidation type="list" allowBlank="1" showInputMessage="1" promptTitle="Atividade" prompt="Escolha uma atividade da lista." showErrorMessage="1" errorStyle="stop" errorTitle="Valor fora da lista" error="Escolha uma atividade da lista (separador Listas)." sqref="B4">
      <formula1>Listas!$H$2:$H$5000</formula1>
    </dataValidation>
    <dataValidation type="list" allowBlank="1" showInputMessage="1" promptTitle="Orçamento a usar" prompt="Escolha um orçamento da lista, ou deixe em branco." showErrorMessage="1" errorStyle="stop" errorTitle="Valor fora da lista" error="Escolha um orçamento da lista (separador Listas)." sqref="B9">
      <formula1>Listas!$M$2:$M$5000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46" customWidth="1"/>
    <col min="2" max="2" width="34" customWidth="1"/>
    <col min="3" max="3" width="56" customWidth="1"/>
  </cols>
  <sheetData>
    <row r="1" spans="1:2" x14ac:dyDescent="0.25">
      <c r="A1" s="10" t="s">
        <v>242</v>
      </c>
      <c r="B1" s="11" t="s">
        <v>243</v>
      </c>
    </row>
    <row r="2" spans="1:2" x14ac:dyDescent="0.25">
      <c r="A2" s="10" t="s">
        <v>244</v>
      </c>
      <c r="B2" s="12">
        <v>1</v>
      </c>
    </row>
    <row r="4" spans="1:2" x14ac:dyDescent="0.25">
      <c r="A4" s="10" t="s">
        <v>6</v>
      </c>
      <c r="B4" s="11" t="s">
        <v>29</v>
      </c>
    </row>
    <row r="5" spans="1:3" x14ac:dyDescent="0.25">
      <c r="A5" s="10" t="s">
        <v>245</v>
      </c>
      <c r="B5" s="13">
        <v>46095</v>
      </c>
      <c r="C5" s="14" t="s">
        <v>246</v>
      </c>
    </row>
    <row r="6" spans="1:2" x14ac:dyDescent="0.25">
      <c r="A6" s="10" t="s">
        <v>247</v>
      </c>
      <c r="B6" s="13">
        <v>46095</v>
      </c>
    </row>
    <row r="7" spans="1:3" x14ac:dyDescent="0.25">
      <c r="A7" s="10" t="s">
        <v>248</v>
      </c>
      <c r="B7" s="13"/>
      <c r="C7" s="14" t="s">
        <v>249</v>
      </c>
    </row>
    <row r="8" spans="1:3" x14ac:dyDescent="0.25">
      <c r="A8" s="10" t="s">
        <v>250</v>
      </c>
      <c r="B8" s="13">
        <v>46099</v>
      </c>
      <c r="C8" s="14" t="s">
        <v>251</v>
      </c>
    </row>
    <row r="9" spans="1:3" x14ac:dyDescent="0.25">
      <c r="A9" s="10" t="s">
        <v>252</v>
      </c>
      <c r="B9" s="11"/>
      <c r="C9" s="14" t="s">
        <v>253</v>
      </c>
    </row>
    <row r="11" spans="1:1" x14ac:dyDescent="0.25">
      <c r="A11" s="15" t="s">
        <v>254</v>
      </c>
    </row>
    <row r="12" spans="1:2" x14ac:dyDescent="0.25">
      <c r="A12" s="4" t="s">
        <v>255</v>
      </c>
      <c r="B12" s="4" t="s">
        <v>256</v>
      </c>
    </row>
    <row r="13" spans="1:2" x14ac:dyDescent="0.25">
      <c r="A13" s="11" t="s">
        <v>34</v>
      </c>
      <c r="B13" s="11" t="s">
        <v>275</v>
      </c>
    </row>
    <row r="14" spans="1:2" x14ac:dyDescent="0.25">
      <c r="A14" s="11" t="s">
        <v>276</v>
      </c>
      <c r="B14" s="11" t="s">
        <v>277</v>
      </c>
    </row>
    <row r="15" ht="18" customHeight="1" spans="1:2" x14ac:dyDescent="0.25">
      <c r="A15" s="11"/>
      <c r="B15" s="11"/>
    </row>
    <row r="16" ht="18" customHeight="1" spans="1:2" x14ac:dyDescent="0.25">
      <c r="A16" s="11"/>
      <c r="B16" s="11"/>
    </row>
    <row r="17" ht="18" customHeight="1" spans="1:2" x14ac:dyDescent="0.25">
      <c r="A17" s="11"/>
      <c r="B17" s="11"/>
    </row>
    <row r="18" ht="18" customHeight="1" spans="1:2" x14ac:dyDescent="0.25">
      <c r="A18" s="11"/>
      <c r="B18" s="11"/>
    </row>
    <row r="19" ht="18" customHeight="1" spans="1:2" x14ac:dyDescent="0.25">
      <c r="A19" s="11"/>
      <c r="B19" s="11"/>
    </row>
    <row r="20" ht="18" customHeight="1" spans="1:2" x14ac:dyDescent="0.25">
      <c r="A20" s="11"/>
      <c r="B20" s="11"/>
    </row>
    <row r="22" spans="1:3" x14ac:dyDescent="0.25">
      <c r="A22" s="15" t="s">
        <v>210</v>
      </c>
      <c r="C22" s="14" t="s">
        <v>267</v>
      </c>
    </row>
    <row r="23" spans="1:1" x14ac:dyDescent="0.25">
      <c r="A23" s="11" t="s">
        <v>278</v>
      </c>
    </row>
    <row r="24" ht="18" customHeight="1" spans="1:1" x14ac:dyDescent="0.25">
      <c r="A24" s="11"/>
    </row>
    <row r="25" ht="18" customHeight="1" spans="1:1" x14ac:dyDescent="0.25">
      <c r="A25" s="11"/>
    </row>
    <row r="26" ht="18" customHeight="1" spans="1:1" x14ac:dyDescent="0.25">
      <c r="A26" s="11"/>
    </row>
    <row r="27" ht="18" customHeight="1" spans="1:1" x14ac:dyDescent="0.25">
      <c r="A27" s="11"/>
    </row>
    <row r="29" spans="1:3" x14ac:dyDescent="0.25">
      <c r="A29" s="15" t="s">
        <v>269</v>
      </c>
      <c r="C29" s="14" t="s">
        <v>270</v>
      </c>
    </row>
    <row r="30" spans="1:2" x14ac:dyDescent="0.25">
      <c r="A30" s="4" t="s">
        <v>271</v>
      </c>
      <c r="B30" s="4" t="s">
        <v>272</v>
      </c>
    </row>
    <row r="31" spans="1:2" x14ac:dyDescent="0.25">
      <c r="A31" s="16" t="s">
        <v>273</v>
      </c>
      <c r="B31" s="11"/>
    </row>
    <row r="32" spans="1:2" x14ac:dyDescent="0.25">
      <c r="A32" s="16" t="s">
        <v>274</v>
      </c>
      <c r="B32" s="11"/>
    </row>
  </sheetData>
  <dataValidations count="3">
    <dataValidation type="list" allowBlank="1" showInputMessage="1" promptTitle="Tipo de relatório" prompt="Escolha o tipo na lista." showErrorMessage="1" errorStyle="stop" errorTitle="Valor fora da lista" error="Escolha um dos tipos de relatório da lista." sqref="B1">
      <formula1>"Pegada de direção,Relatório de evento,Fim de ano letivo,Fim de ano fiscal"</formula1>
    </dataValidation>
    <dataValidation type="list" allowBlank="1" showInputMessage="1" promptTitle="Atividade" prompt="Escolha uma atividade da lista." showErrorMessage="1" errorStyle="stop" errorTitle="Valor fora da lista" error="Escolha uma atividade da lista (separador Listas)." sqref="B4">
      <formula1>Listas!$H$2:$H$5000</formula1>
    </dataValidation>
    <dataValidation type="list" allowBlank="1" showInputMessage="1" promptTitle="Orçamento a usar" prompt="Escolha um orçamento da lista, ou deixe em branco." showErrorMessage="1" errorStyle="stop" errorTitle="Valor fora da lista" error="Escolha um orçamento da lista (separador Listas)." sqref="B9">
      <formula1>Listas!$M$2:$M$5000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FormatPr defaultRowHeight="15" outlineLevelRow="0" outlineLevelCol="0" x14ac:dyDescent="55"/>
  <cols>
    <col min="1" max="1" width="46" customWidth="1"/>
    <col min="2" max="2" width="34" customWidth="1"/>
    <col min="3" max="3" width="56" customWidth="1"/>
  </cols>
  <sheetData>
    <row r="1" spans="1:2" x14ac:dyDescent="0.25">
      <c r="A1" s="10" t="s">
        <v>242</v>
      </c>
      <c r="B1" s="11" t="s">
        <v>279</v>
      </c>
    </row>
    <row r="2" spans="1:2" x14ac:dyDescent="0.25">
      <c r="A2" s="10" t="s">
        <v>244</v>
      </c>
      <c r="B2" s="12">
        <v>1</v>
      </c>
    </row>
    <row r="4" spans="1:3" x14ac:dyDescent="0.25">
      <c r="A4" s="10" t="s">
        <v>280</v>
      </c>
      <c r="B4" s="13"/>
      <c r="C4" s="14" t="s">
        <v>281</v>
      </c>
    </row>
    <row r="5" spans="1:2" x14ac:dyDescent="0.25">
      <c r="A5" s="10" t="s">
        <v>282</v>
      </c>
      <c r="B5" s="13">
        <v>46295</v>
      </c>
    </row>
    <row r="6" spans="1:2" x14ac:dyDescent="0.25">
      <c r="A6" s="10" t="s">
        <v>283</v>
      </c>
      <c r="B6" s="11" t="s">
        <v>284</v>
      </c>
    </row>
    <row r="7" spans="1:2" x14ac:dyDescent="0.25">
      <c r="A7" s="10" t="s">
        <v>285</v>
      </c>
      <c r="B7" s="11" t="s">
        <v>286</v>
      </c>
    </row>
    <row r="8" spans="1:2" x14ac:dyDescent="0.25">
      <c r="A8" s="10" t="s">
        <v>287</v>
      </c>
      <c r="B8" s="17">
        <v>13265.05</v>
      </c>
    </row>
    <row r="9" spans="1:3" x14ac:dyDescent="0.25">
      <c r="A9" s="10" t="s">
        <v>288</v>
      </c>
      <c r="B9" s="17">
        <v>6</v>
      </c>
      <c r="C9" s="14" t="s">
        <v>289</v>
      </c>
    </row>
    <row r="11" spans="1:3" x14ac:dyDescent="0.25">
      <c r="A11" s="15" t="s">
        <v>290</v>
      </c>
      <c r="C11" s="14" t="s">
        <v>291</v>
      </c>
    </row>
    <row r="12" spans="1:2" x14ac:dyDescent="0.25">
      <c r="A12" s="4" t="s">
        <v>78</v>
      </c>
      <c r="B12" s="4" t="s">
        <v>79</v>
      </c>
    </row>
    <row r="13" ht="18" customHeight="1" spans="1:2" x14ac:dyDescent="0.25">
      <c r="A13" s="11"/>
      <c r="B13" s="11"/>
    </row>
    <row r="14" ht="18" customHeight="1" spans="1:2" x14ac:dyDescent="0.25">
      <c r="A14" s="11"/>
      <c r="B14" s="11"/>
    </row>
    <row r="15" ht="18" customHeight="1" spans="1:2" x14ac:dyDescent="0.25">
      <c r="A15" s="11"/>
      <c r="B15" s="11"/>
    </row>
    <row r="16" ht="18" customHeight="1" spans="1:2" x14ac:dyDescent="0.25">
      <c r="A16" s="11"/>
      <c r="B16" s="11"/>
    </row>
    <row r="17" ht="18" customHeight="1" spans="1:2" x14ac:dyDescent="0.25">
      <c r="A17" s="11"/>
      <c r="B17" s="11"/>
    </row>
    <row r="19" spans="1:3" x14ac:dyDescent="0.25">
      <c r="A19" s="15" t="s">
        <v>292</v>
      </c>
      <c r="C19" s="14" t="s">
        <v>293</v>
      </c>
    </row>
    <row r="20" spans="1:2" x14ac:dyDescent="0.25">
      <c r="A20" s="4" t="s">
        <v>78</v>
      </c>
      <c r="B20" s="4" t="s">
        <v>79</v>
      </c>
    </row>
    <row r="21" ht="18" customHeight="1" spans="1:2" x14ac:dyDescent="0.25">
      <c r="A21" s="11"/>
      <c r="B21" s="11"/>
    </row>
    <row r="22" ht="18" customHeight="1" spans="1:2" x14ac:dyDescent="0.25">
      <c r="A22" s="11"/>
      <c r="B22" s="11"/>
    </row>
    <row r="23" ht="18" customHeight="1" spans="1:2" x14ac:dyDescent="0.25">
      <c r="A23" s="11"/>
      <c r="B23" s="11"/>
    </row>
    <row r="24" ht="18" customHeight="1" spans="1:2" x14ac:dyDescent="0.25">
      <c r="A24" s="11"/>
      <c r="B24" s="11"/>
    </row>
    <row r="25" ht="18" customHeight="1" spans="1:2" x14ac:dyDescent="0.25">
      <c r="A25" s="11"/>
      <c r="B25" s="11"/>
    </row>
    <row r="27" spans="1:1" x14ac:dyDescent="0.25">
      <c r="A27" s="15" t="s">
        <v>294</v>
      </c>
    </row>
    <row r="28" spans="1:3" x14ac:dyDescent="0.25">
      <c r="A28" s="4" t="s">
        <v>295</v>
      </c>
      <c r="B28" s="4" t="s">
        <v>233</v>
      </c>
      <c r="C28" s="4" t="s">
        <v>296</v>
      </c>
    </row>
    <row r="29" spans="1:3" x14ac:dyDescent="0.25">
      <c r="A29" s="18">
        <v>500</v>
      </c>
      <c r="B29" s="12"/>
      <c r="C29" s="19">
        <f>A29*B29</f>
        <v>0</v>
      </c>
    </row>
    <row r="30" spans="1:3" x14ac:dyDescent="0.25">
      <c r="A30" s="18">
        <v>200</v>
      </c>
      <c r="B30" s="12"/>
      <c r="C30" s="19">
        <f>A30*B30</f>
        <v>0</v>
      </c>
    </row>
    <row r="31" spans="1:3" x14ac:dyDescent="0.25">
      <c r="A31" s="18">
        <v>100</v>
      </c>
      <c r="B31" s="12"/>
      <c r="C31" s="19">
        <f>A31*B31</f>
        <v>0</v>
      </c>
    </row>
    <row r="32" spans="1:3" x14ac:dyDescent="0.25">
      <c r="A32" s="18">
        <v>50</v>
      </c>
      <c r="B32" s="12">
        <v>8</v>
      </c>
      <c r="C32" s="19">
        <f>A32*B32</f>
        <v>400</v>
      </c>
    </row>
    <row r="33" spans="1:3" x14ac:dyDescent="0.25">
      <c r="A33" s="18">
        <v>20</v>
      </c>
      <c r="B33" s="12">
        <v>5</v>
      </c>
      <c r="C33" s="19">
        <f>A33*B33</f>
        <v>100</v>
      </c>
    </row>
    <row r="34" spans="1:3" x14ac:dyDescent="0.25">
      <c r="A34" s="18">
        <v>10</v>
      </c>
      <c r="B34" s="12">
        <v>3</v>
      </c>
      <c r="C34" s="19">
        <f>A34*B34</f>
        <v>30</v>
      </c>
    </row>
    <row r="35" spans="1:3" x14ac:dyDescent="0.25">
      <c r="A35" s="18">
        <v>5</v>
      </c>
      <c r="B35" s="12">
        <v>5</v>
      </c>
      <c r="C35" s="19">
        <f>A35*B35</f>
        <v>25</v>
      </c>
    </row>
    <row r="36" spans="1:3" x14ac:dyDescent="0.25">
      <c r="A36" s="18">
        <v>2</v>
      </c>
      <c r="B36" s="12">
        <v>6</v>
      </c>
      <c r="C36" s="19">
        <f>A36*B36</f>
        <v>12</v>
      </c>
    </row>
    <row r="37" spans="1:3" x14ac:dyDescent="0.25">
      <c r="A37" s="18">
        <v>1</v>
      </c>
      <c r="B37" s="12">
        <v>6</v>
      </c>
      <c r="C37" s="19">
        <f>A37*B37</f>
        <v>6</v>
      </c>
    </row>
    <row r="38" spans="1:3" x14ac:dyDescent="0.25">
      <c r="A38" s="18">
        <v>0.5</v>
      </c>
      <c r="B38" s="12"/>
      <c r="C38" s="19">
        <f>A38*B38</f>
        <v>0</v>
      </c>
    </row>
    <row r="39" spans="1:3" x14ac:dyDescent="0.25">
      <c r="A39" s="18">
        <v>0.2</v>
      </c>
      <c r="B39" s="12"/>
      <c r="C39" s="19">
        <f>A39*B39</f>
        <v>0</v>
      </c>
    </row>
    <row r="40" spans="1:3" x14ac:dyDescent="0.25">
      <c r="A40" s="18">
        <v>0.1</v>
      </c>
      <c r="B40" s="12"/>
      <c r="C40" s="19">
        <f>A40*B40</f>
        <v>0</v>
      </c>
    </row>
    <row r="41" spans="1:3" x14ac:dyDescent="0.25">
      <c r="A41" s="18">
        <v>0.05</v>
      </c>
      <c r="B41" s="12"/>
      <c r="C41" s="19">
        <f>A41*B41</f>
        <v>0</v>
      </c>
    </row>
    <row r="42" spans="1:3" x14ac:dyDescent="0.25">
      <c r="A42" s="18">
        <v>0.02</v>
      </c>
      <c r="B42" s="12"/>
      <c r="C42" s="19">
        <f>A42*B42</f>
        <v>0</v>
      </c>
    </row>
    <row r="43" spans="1:3" x14ac:dyDescent="0.25">
      <c r="A43" s="18">
        <v>0.01</v>
      </c>
      <c r="B43" s="12"/>
      <c r="C43" s="19">
        <f>A43*B43</f>
        <v>0</v>
      </c>
    </row>
    <row r="45" spans="1:3" x14ac:dyDescent="0.25">
      <c r="A45" s="15" t="s">
        <v>210</v>
      </c>
      <c r="C45" s="14" t="s">
        <v>267</v>
      </c>
    </row>
    <row r="46" spans="1:1" x14ac:dyDescent="0.25">
      <c r="A46" s="11" t="s">
        <v>297</v>
      </c>
    </row>
    <row r="47" ht="18" customHeight="1" spans="1:1" x14ac:dyDescent="0.25">
      <c r="A47" s="11"/>
    </row>
    <row r="48" ht="18" customHeight="1" spans="1:1" x14ac:dyDescent="0.25">
      <c r="A48" s="11"/>
    </row>
    <row r="49" ht="18" customHeight="1" spans="1:1" x14ac:dyDescent="0.25">
      <c r="A49" s="11"/>
    </row>
    <row r="50" ht="18" customHeight="1" spans="1:1" x14ac:dyDescent="0.25">
      <c r="A50" s="11"/>
    </row>
    <row r="52" spans="1:3" x14ac:dyDescent="0.25">
      <c r="A52" s="15" t="s">
        <v>269</v>
      </c>
      <c r="C52" s="14" t="s">
        <v>270</v>
      </c>
    </row>
    <row r="53" spans="1:2" x14ac:dyDescent="0.25">
      <c r="A53" s="4" t="s">
        <v>271</v>
      </c>
      <c r="B53" s="4" t="s">
        <v>272</v>
      </c>
    </row>
    <row r="54" spans="1:2" x14ac:dyDescent="0.25">
      <c r="A54" s="16" t="s">
        <v>283</v>
      </c>
      <c r="B54" s="11"/>
    </row>
    <row r="55" spans="1:2" x14ac:dyDescent="0.25">
      <c r="A55" s="16" t="s">
        <v>285</v>
      </c>
      <c r="B55" s="11"/>
    </row>
    <row r="56" spans="1:2" x14ac:dyDescent="0.25">
      <c r="A56" s="16" t="s">
        <v>298</v>
      </c>
      <c r="B56" s="11"/>
    </row>
  </sheetData>
  <dataValidations count="1">
    <dataValidation type="list" allowBlank="1" showInputMessage="1" promptTitle="Tipo de relatório" prompt="Escolha o tipo na lista." showErrorMessage="1" errorStyle="stop" errorTitle="Valor fora da lista" error="Escolha um dos tipos de relatório da lista." sqref="B1">
      <formula1>"Pegada de direção,Relatório de evento,Fim de ano letivo,Fim de ano fiscal"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46" customWidth="1"/>
    <col min="2" max="2" width="34" customWidth="1"/>
    <col min="3" max="3" width="56" customWidth="1"/>
  </cols>
  <sheetData>
    <row r="1" spans="1:2" x14ac:dyDescent="0.25">
      <c r="A1" s="10" t="s">
        <v>242</v>
      </c>
      <c r="B1" s="11" t="s">
        <v>299</v>
      </c>
    </row>
    <row r="2" spans="1:2" x14ac:dyDescent="0.25">
      <c r="A2" s="10" t="s">
        <v>244</v>
      </c>
      <c r="B2" s="12">
        <v>1</v>
      </c>
    </row>
    <row r="4" spans="1:3" x14ac:dyDescent="0.25">
      <c r="A4" s="10" t="s">
        <v>300</v>
      </c>
      <c r="B4" s="13"/>
      <c r="C4" s="14" t="s">
        <v>301</v>
      </c>
    </row>
    <row r="5" spans="1:2" x14ac:dyDescent="0.25">
      <c r="A5" s="10" t="s">
        <v>302</v>
      </c>
      <c r="B5" s="13">
        <v>46265</v>
      </c>
    </row>
    <row r="6" spans="1:3" x14ac:dyDescent="0.25">
      <c r="A6" s="10" t="s">
        <v>252</v>
      </c>
      <c r="B6" s="11"/>
      <c r="C6" s="14" t="s">
        <v>303</v>
      </c>
    </row>
    <row r="7" spans="1:3" x14ac:dyDescent="0.25">
      <c r="A7" s="10" t="s">
        <v>304</v>
      </c>
      <c r="B7" s="11" t="s">
        <v>12</v>
      </c>
      <c r="C7" s="14" t="s">
        <v>305</v>
      </c>
    </row>
    <row r="9" spans="1:3" x14ac:dyDescent="0.25">
      <c r="A9" s="15" t="s">
        <v>210</v>
      </c>
      <c r="C9" s="14" t="s">
        <v>267</v>
      </c>
    </row>
    <row r="10" spans="1:1" x14ac:dyDescent="0.25">
      <c r="A10" s="11" t="s">
        <v>306</v>
      </c>
    </row>
    <row r="11" ht="18" customHeight="1" spans="1:1" x14ac:dyDescent="0.25">
      <c r="A11" s="11"/>
    </row>
    <row r="12" ht="18" customHeight="1" spans="1:1" x14ac:dyDescent="0.25">
      <c r="A12" s="11"/>
    </row>
    <row r="13" ht="18" customHeight="1" spans="1:1" x14ac:dyDescent="0.25">
      <c r="A13" s="11"/>
    </row>
    <row r="14" ht="18" customHeight="1" spans="1:1" x14ac:dyDescent="0.25">
      <c r="A14" s="11"/>
    </row>
    <row r="16" spans="1:3" x14ac:dyDescent="0.25">
      <c r="A16" s="15" t="s">
        <v>269</v>
      </c>
      <c r="C16" s="14" t="s">
        <v>270</v>
      </c>
    </row>
    <row r="17" spans="1:2" x14ac:dyDescent="0.25">
      <c r="A17" s="4" t="s">
        <v>271</v>
      </c>
      <c r="B17" s="4" t="s">
        <v>272</v>
      </c>
    </row>
    <row r="18" spans="1:2" x14ac:dyDescent="0.25">
      <c r="A18" s="16" t="s">
        <v>274</v>
      </c>
      <c r="B18" s="11"/>
    </row>
    <row r="19" spans="1:2" x14ac:dyDescent="0.25">
      <c r="A19" s="16" t="s">
        <v>307</v>
      </c>
      <c r="B19" s="11"/>
    </row>
  </sheetData>
  <dataValidations count="3">
    <dataValidation type="list" allowBlank="1" showInputMessage="1" promptTitle="Tipo de relatório" prompt="Escolha o tipo na lista." showErrorMessage="1" errorStyle="stop" errorTitle="Valor fora da lista" error="Escolha um dos tipos de relatório da lista." sqref="B1">
      <formula1>"Pegada de direção,Relatório de evento,Fim de ano letivo,Fim de ano fiscal"</formula1>
    </dataValidation>
    <dataValidation type="list" allowBlank="1" showInputMessage="1" promptTitle="Orçamento a usar" prompt="Escolha um orçamento da lista, ou deixe em branco." showErrorMessage="1" errorStyle="stop" errorTitle="Valor fora da lista" error="Escolha um orçamento da lista (separador Listas)." sqref="B6">
      <formula1>Listas!$M$2:$M$5000</formula1>
    </dataValidation>
    <dataValidation type="list" allowBlank="1" showInputMessage="1" promptTitle="Sim ou Não" prompt="Escolha na lista." showErrorMessage="1" errorStyle="stop" errorTitle="Valor fora da lista" error="Escolha Sim ou Não." sqref="B7">
      <formula1>"Sim,Não"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FormatPr defaultRowHeight="15" outlineLevelRow="0" outlineLevelCol="0" x14ac:dyDescent="55"/>
  <cols>
    <col min="1" max="1" width="46" customWidth="1"/>
    <col min="2" max="2" width="34" customWidth="1"/>
    <col min="3" max="3" width="56" customWidth="1"/>
  </cols>
  <sheetData>
    <row r="1" spans="1:2" x14ac:dyDescent="0.25">
      <c r="A1" s="10" t="s">
        <v>242</v>
      </c>
      <c r="B1" s="11" t="s">
        <v>308</v>
      </c>
    </row>
    <row r="2" spans="1:2" x14ac:dyDescent="0.25">
      <c r="A2" s="10" t="s">
        <v>244</v>
      </c>
      <c r="B2" s="12">
        <v>1</v>
      </c>
    </row>
    <row r="4" spans="1:2" x14ac:dyDescent="0.25">
      <c r="A4" s="10" t="s">
        <v>309</v>
      </c>
      <c r="B4" s="12">
        <v>2025</v>
      </c>
    </row>
    <row r="5" spans="1:3" x14ac:dyDescent="0.25">
      <c r="A5" s="10" t="s">
        <v>252</v>
      </c>
      <c r="B5" s="11" t="s">
        <v>22</v>
      </c>
      <c r="C5" s="14" t="s">
        <v>310</v>
      </c>
    </row>
    <row r="6" spans="1:3" x14ac:dyDescent="0.25">
      <c r="A6" s="10" t="s">
        <v>304</v>
      </c>
      <c r="B6" s="11" t="s">
        <v>66</v>
      </c>
      <c r="C6" s="14" t="s">
        <v>311</v>
      </c>
    </row>
    <row r="8" spans="1:1" x14ac:dyDescent="0.25">
      <c r="A8" s="15" t="s">
        <v>312</v>
      </c>
    </row>
    <row r="9" spans="1:1" x14ac:dyDescent="0.25">
      <c r="A9" s="11" t="s">
        <v>313</v>
      </c>
    </row>
    <row r="10" ht="18" customHeight="1" spans="1:1" x14ac:dyDescent="0.25">
      <c r="A10" s="11"/>
    </row>
    <row r="11" ht="18" customHeight="1" spans="1:1" x14ac:dyDescent="0.25">
      <c r="A11" s="11"/>
    </row>
    <row r="12" ht="18" customHeight="1" spans="1:1" x14ac:dyDescent="0.25">
      <c r="A12" s="11"/>
    </row>
    <row r="13" ht="18" customHeight="1" spans="1:1" x14ac:dyDescent="0.25">
      <c r="A13" s="11"/>
    </row>
    <row r="15" spans="1:3" x14ac:dyDescent="0.25">
      <c r="A15" s="15" t="s">
        <v>210</v>
      </c>
      <c r="C15" s="14" t="s">
        <v>267</v>
      </c>
    </row>
    <row r="16" spans="1:1" x14ac:dyDescent="0.25">
      <c r="A16" s="11" t="s">
        <v>314</v>
      </c>
    </row>
    <row r="17" ht="18" customHeight="1" spans="1:1" x14ac:dyDescent="0.25">
      <c r="A17" s="11"/>
    </row>
    <row r="18" ht="18" customHeight="1" spans="1:1" x14ac:dyDescent="0.25">
      <c r="A18" s="11"/>
    </row>
    <row r="19" ht="18" customHeight="1" spans="1:1" x14ac:dyDescent="0.25">
      <c r="A19" s="11"/>
    </row>
    <row r="20" ht="18" customHeight="1" spans="1:1" x14ac:dyDescent="0.25">
      <c r="A20" s="11"/>
    </row>
    <row r="22" spans="1:3" x14ac:dyDescent="0.25">
      <c r="A22" s="15" t="s">
        <v>269</v>
      </c>
      <c r="C22" s="14" t="s">
        <v>270</v>
      </c>
    </row>
    <row r="23" spans="1:2" x14ac:dyDescent="0.25">
      <c r="A23" s="4" t="s">
        <v>271</v>
      </c>
      <c r="B23" s="4" t="s">
        <v>272</v>
      </c>
    </row>
    <row r="24" spans="1:2" x14ac:dyDescent="0.25">
      <c r="A24" s="16" t="s">
        <v>307</v>
      </c>
      <c r="B24" s="11"/>
    </row>
    <row r="25" spans="1:2" x14ac:dyDescent="0.25">
      <c r="A25" s="16" t="s">
        <v>274</v>
      </c>
      <c r="B25" s="11"/>
    </row>
    <row r="26" spans="1:2" x14ac:dyDescent="0.25">
      <c r="A26" s="16" t="s">
        <v>315</v>
      </c>
      <c r="B26" s="11"/>
    </row>
  </sheetData>
  <dataValidations count="3">
    <dataValidation type="list" allowBlank="1" showInputMessage="1" promptTitle="Tipo de relatório" prompt="Escolha o tipo na lista." showErrorMessage="1" errorStyle="stop" errorTitle="Valor fora da lista" error="Escolha um dos tipos de relatório da lista." sqref="B1">
      <formula1>"Pegada de direção,Relatório de evento,Fim de ano letivo,Fim de ano fiscal"</formula1>
    </dataValidation>
    <dataValidation type="list" allowBlank="1" showInputMessage="1" promptTitle="Orçamento a usar" prompt="Escolha um orçamento da lista, ou deixe em branco." showErrorMessage="1" errorStyle="stop" errorTitle="Valor fora da lista" error="Escolha um orçamento da lista (separador Listas)." sqref="B5">
      <formula1>Listas!$M$2:$M$5000</formula1>
    </dataValidation>
    <dataValidation type="list" allowBlank="1" showInputMessage="1" promptTitle="Sim ou Não" prompt="Escolha na lista." showErrorMessage="1" errorStyle="stop" errorTitle="Valor fora da lista" error="Escolha Sim ou Não." sqref="B6">
      <formula1>"Sim,Não"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Instruções</vt:lpstr>
      <vt:lpstr>Listas</vt:lpstr>
      <vt:lpstr>Saldos</vt:lpstr>
      <vt:lpstr>Movimentos</vt:lpstr>
      <vt:lpstr>Pendentes</vt:lpstr>
      <vt:lpstr>Orçamento</vt:lpstr>
      <vt:lpstr>Géneros</vt:lpstr>
      <vt:lpstr>CITADÃO 2026</vt:lpstr>
      <vt:lpstr>Zumba 2026</vt:lpstr>
      <vt:lpstr>Pegada 2026</vt:lpstr>
      <vt:lpstr>Letivo 2025-26</vt:lpstr>
      <vt:lpstr>Fiscal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TUNADÃO 1998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