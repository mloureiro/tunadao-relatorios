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Saldos" state="visible" r:id="rId6"/>
    <sheet sheetId="4" name="Movimentos" state="visible" r:id="rId7"/>
    <sheet sheetId="5" name="Pendentes" state="visible" r:id="rId8"/>
    <sheet sheetId="6" name="Orçamento" state="visible" r:id="rId9"/>
    <sheet sheetId="7" name="Géneros" state="visible" r:id="rId10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Categorias dos movimentos. Esta lista aparece nas listas suspensas dos outros separadores. Acrescente as suas no fim da coluna.</t>
        </r>
      </text>
    </comment>
    <comment ref="B1" authorId="0">
      <text>
        <r>
          <t>Entrada (receita) ou Saída (despesa) desta rubrica.</t>
        </r>
      </text>
    </comment>
    <comment ref="C1" authorId="0">
      <text>
        <r>
          <t>Sim: o movimento é receita ou despesa. Não: só muda o dinheiro disponível (por exemplo, transferências entre caixa e banco).</t>
        </r>
      </text>
    </comment>
    <comment ref="E1" authorId="0">
      <text>
        <r>
          <t>Divisões de uma rubrica. Mantenha as sub-rubricas da mesma rubrica juntas.</t>
        </r>
      </text>
    </comment>
    <comment ref="F1" authorId="0">
      <text>
        <r>
          <t>A rubrica a que cada sub-rubrica pertence.</t>
        </r>
      </text>
    </comment>
    <comment ref="H1" authorId="0">
      <text>
        <r>
          <t>Eventos e outras atividades. Use uma atividade por edição de um evento. Esta lista aparece nas listas suspensas dos outros separadores.</t>
        </r>
      </text>
    </comment>
    <comment ref="J1" authorId="0">
      <text>
        <r>
          <t>Como o dinheiro entrou ou saiu.</t>
        </r>
      </text>
    </comment>
    <comment ref="K1" authorId="0">
      <text>
        <r>
          <t>Caixa ou Banco: onde fica o dinheiro deste meio.</t>
        </r>
      </text>
    </comment>
    <comment ref="M1" authorId="0">
      <text>
        <r>
          <t>Nomes dos orçamentos (o nome de uma atividade ou um ano). Acrescente aqui cada orçamento que usar no separador Orçamento.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" authorId="0">
      <text>
        <r>
          <t>Calculada automaticamente a partir das outras colunas. Não escreva nesta coluna.</t>
        </r>
      </text>
    </comment>
    <comment ref="K1" authorId="0">
      <text>
        <r>
          <t>Calculada automaticamente a partir das outras colunas. Não escreva nesta coluna.</t>
        </r>
      </text>
    </comment>
    <comment ref="L1" authorId="0">
      <text>
        <r>
          <t>Calculada automaticamente a partir das outras colunas. Não escreva nesta coluna.</t>
        </r>
      </text>
    </comment>
  </commentList>
</comments>
</file>

<file path=xl/sharedStrings.xml><?xml version="1.0" encoding="utf-8"?>
<sst xmlns="http://schemas.openxmlformats.org/spreadsheetml/2006/main" count="182" uniqueCount="88">
  <si>
    <t>Ficheiro de teste com erros propositados</t>
  </si>
  <si>
    <t>Dados inventados que reproduzem classes de erros reais.</t>
  </si>
  <si>
    <t>Rubrica</t>
  </si>
  <si>
    <t>Tipo</t>
  </si>
  <si>
    <t>Conta como receita ou despesa</t>
  </si>
  <si>
    <t>Sub-rubrica</t>
  </si>
  <si>
    <t>Atividade</t>
  </si>
  <si>
    <t>Meio</t>
  </si>
  <si>
    <t>Conta</t>
  </si>
  <si>
    <t>Orçamento</t>
  </si>
  <si>
    <t>Quotas</t>
  </si>
  <si>
    <t>Entrada</t>
  </si>
  <si>
    <t>Sim</t>
  </si>
  <si>
    <t>Apoio CMV</t>
  </si>
  <si>
    <t>Subsídios e apoios</t>
  </si>
  <si>
    <t>Funcionamento</t>
  </si>
  <si>
    <t>Caixa</t>
  </si>
  <si>
    <t>Donativos</t>
  </si>
  <si>
    <t>Apoio UPV (via AE ESAV)</t>
  </si>
  <si>
    <t>Zumba na Caneca</t>
  </si>
  <si>
    <t>Banco</t>
  </si>
  <si>
    <t>Apoio Junta de Freguesia</t>
  </si>
  <si>
    <t>20º CITADÃO</t>
  </si>
  <si>
    <t>MB Way</t>
  </si>
  <si>
    <t>Atuações e serenatas</t>
  </si>
  <si>
    <t>Inscrições de tunas</t>
  </si>
  <si>
    <t>Inscrições e bilheteira</t>
  </si>
  <si>
    <t>Festivais</t>
  </si>
  <si>
    <t>TPA</t>
  </si>
  <si>
    <t>Bilheteira</t>
  </si>
  <si>
    <t>Bar e merchandising</t>
  </si>
  <si>
    <t>Inscrições</t>
  </si>
  <si>
    <t>Patrocínios</t>
  </si>
  <si>
    <t>Bar</t>
  </si>
  <si>
    <t>Outros recebimentos</t>
  </si>
  <si>
    <t>Merchandising</t>
  </si>
  <si>
    <t>Produção (som, luz, palco)</t>
  </si>
  <si>
    <t>Saída</t>
  </si>
  <si>
    <t>Patrocínio do evento</t>
  </si>
  <si>
    <t>Alimentação e alojamento</t>
  </si>
  <si>
    <t>Outros</t>
  </si>
  <si>
    <t>Compras para o bar</t>
  </si>
  <si>
    <t>Som e luz</t>
  </si>
  <si>
    <t>Deslocações</t>
  </si>
  <si>
    <t>Palco e estruturas</t>
  </si>
  <si>
    <t>Prémios e troféus</t>
  </si>
  <si>
    <t>Refeições das tunas</t>
  </si>
  <si>
    <t>Instrumentos e manutenção</t>
  </si>
  <si>
    <t>Alojamento</t>
  </si>
  <si>
    <t>Merchandising e trajes</t>
  </si>
  <si>
    <t>Bebidas e consumíveis</t>
  </si>
  <si>
    <t>Comunicação e gráfica</t>
  </si>
  <si>
    <t>Prémios</t>
  </si>
  <si>
    <t>Seguros e despesas bancárias</t>
  </si>
  <si>
    <t>Júri</t>
  </si>
  <si>
    <t>Taxas e licenças</t>
  </si>
  <si>
    <t>T-shirts</t>
  </si>
  <si>
    <t>Outros pagamentos</t>
  </si>
  <si>
    <t>Cartazes e impressões</t>
  </si>
  <si>
    <t>Transferências internas</t>
  </si>
  <si>
    <t>Entrada e Saída</t>
  </si>
  <si>
    <t>Não</t>
  </si>
  <si>
    <t>Seguro</t>
  </si>
  <si>
    <t>Despesas bancárias</t>
  </si>
  <si>
    <t>Licenças e SPA</t>
  </si>
  <si>
    <t>Diversos</t>
  </si>
  <si>
    <t>Data</t>
  </si>
  <si>
    <t>Saldo (€)</t>
  </si>
  <si>
    <t>Fonte</t>
  </si>
  <si>
    <t>N.º doc</t>
  </si>
  <si>
    <t>Descrição</t>
  </si>
  <si>
    <t>Valor (€)</t>
  </si>
  <si>
    <t>Conta (automático)</t>
  </si>
  <si>
    <t>Efeito no saldo (€) (automático)</t>
  </si>
  <si>
    <t>Conta como receita ou despesa (automático)</t>
  </si>
  <si>
    <t>Bar do ensaio aberto</t>
  </si>
  <si>
    <t>Aluguer de som</t>
  </si>
  <si>
    <t>Producao (som, luz, palco)</t>
  </si>
  <si>
    <t>Devolução de caução</t>
  </si>
  <si>
    <t>Entidade</t>
  </si>
  <si>
    <t>Data de registo</t>
  </si>
  <si>
    <t>Data de liquidação</t>
  </si>
  <si>
    <t>Notas</t>
  </si>
  <si>
    <t>Âmbito</t>
  </si>
  <si>
    <t>Orçado (€)</t>
  </si>
  <si>
    <t>Quantidade</t>
  </si>
  <si>
    <t>Em falta</t>
  </si>
  <si>
    <t>Valor estimado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</si>
</sst>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color rgb="FF1D2F6F"/>
    </font>
    <font>
      <b/>
      <i/>
      <color rgb="FF6B7280"/>
    </font>
    <font>
      <color rgb="FF6B7280"/>
    </font>
  </fonts>
  <fills count="4">
    <fill>
      <patternFill patternType="none"/>
    </fill>
    <fill>
      <patternFill patternType="gray125"/>
    </fill>
    <fill>
      <patternFill patternType="solid">
        <fgColor rgb="FFE3E8F4"/>
      </patternFill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4" fillId="3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8" customWidth="1"/>
    <col min="5" max="5" width="10" customWidth="1"/>
    <col min="6" max="6" width="12" customWidth="1"/>
    <col min="7" max="7" width="16" customWidth="1"/>
  </cols>
  <sheetData>
    <row r="1" spans="1:1" x14ac:dyDescent="0.25">
      <c r="A1" s="1" t="s">
        <v>0</v>
      </c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5" max="5" width="26" customWidth="1"/>
    <col min="6" max="6" width="30" customWidth="1"/>
    <col min="8" max="8" width="26" customWidth="1"/>
    <col min="10" max="10" width="14" customWidth="1"/>
    <col min="11" max="11" width="10" customWidth="1"/>
    <col min="13" max="13" width="26" customWidth="1"/>
  </cols>
  <sheetData>
    <row r="1" spans="1:13" x14ac:dyDescent="0.25">
      <c r="A1" s="3" t="s">
        <v>2</v>
      </c>
      <c r="B1" s="3" t="s">
        <v>3</v>
      </c>
      <c r="C1" s="3" t="s">
        <v>4</v>
      </c>
      <c r="E1" s="3" t="s">
        <v>5</v>
      </c>
      <c r="F1" s="3" t="s">
        <v>2</v>
      </c>
      <c r="H1" s="3" t="s">
        <v>6</v>
      </c>
      <c r="J1" s="3" t="s">
        <v>7</v>
      </c>
      <c r="K1" s="3" t="s">
        <v>8</v>
      </c>
      <c r="M1" s="3" t="s">
        <v>9</v>
      </c>
    </row>
    <row r="2" spans="1:11" x14ac:dyDescent="0.25">
      <c r="A2" t="s">
        <v>10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J2" t="s">
        <v>16</v>
      </c>
      <c r="K2" t="s">
        <v>16</v>
      </c>
    </row>
    <row r="3" spans="1:11" x14ac:dyDescent="0.25">
      <c r="A3" t="s">
        <v>17</v>
      </c>
      <c r="B3" t="s">
        <v>11</v>
      </c>
      <c r="C3" t="s">
        <v>12</v>
      </c>
      <c r="E3" t="s">
        <v>18</v>
      </c>
      <c r="F3" t="s">
        <v>14</v>
      </c>
      <c r="H3" t="s">
        <v>19</v>
      </c>
      <c r="J3" t="s">
        <v>20</v>
      </c>
      <c r="K3" t="s">
        <v>20</v>
      </c>
    </row>
    <row r="4" spans="1:11" x14ac:dyDescent="0.25">
      <c r="A4" t="s">
        <v>14</v>
      </c>
      <c r="B4" t="s">
        <v>11</v>
      </c>
      <c r="C4" t="s">
        <v>12</v>
      </c>
      <c r="E4" t="s">
        <v>21</v>
      </c>
      <c r="F4" t="s">
        <v>14</v>
      </c>
      <c r="H4" t="s">
        <v>22</v>
      </c>
      <c r="J4" t="s">
        <v>23</v>
      </c>
      <c r="K4" t="s">
        <v>20</v>
      </c>
    </row>
    <row r="5" spans="1:11" x14ac:dyDescent="0.25">
      <c r="A5" t="s">
        <v>24</v>
      </c>
      <c r="B5" t="s">
        <v>11</v>
      </c>
      <c r="C5" t="s">
        <v>12</v>
      </c>
      <c r="E5" t="s">
        <v>25</v>
      </c>
      <c r="F5" t="s">
        <v>26</v>
      </c>
      <c r="H5" t="s">
        <v>27</v>
      </c>
      <c r="J5" t="s">
        <v>28</v>
      </c>
      <c r="K5" t="s">
        <v>20</v>
      </c>
    </row>
    <row r="6" spans="1:6" x14ac:dyDescent="0.25">
      <c r="A6" t="s">
        <v>26</v>
      </c>
      <c r="B6" t="s">
        <v>11</v>
      </c>
      <c r="C6" t="s">
        <v>12</v>
      </c>
      <c r="E6" t="s">
        <v>29</v>
      </c>
      <c r="F6" t="s">
        <v>26</v>
      </c>
    </row>
    <row r="7" spans="1:6" x14ac:dyDescent="0.25">
      <c r="A7" t="s">
        <v>30</v>
      </c>
      <c r="B7" t="s">
        <v>11</v>
      </c>
      <c r="C7" t="s">
        <v>12</v>
      </c>
      <c r="E7" t="s">
        <v>31</v>
      </c>
      <c r="F7" t="s">
        <v>26</v>
      </c>
    </row>
    <row r="8" spans="1:6" x14ac:dyDescent="0.25">
      <c r="A8" t="s">
        <v>32</v>
      </c>
      <c r="B8" t="s">
        <v>11</v>
      </c>
      <c r="C8" t="s">
        <v>12</v>
      </c>
      <c r="E8" t="s">
        <v>33</v>
      </c>
      <c r="F8" t="s">
        <v>30</v>
      </c>
    </row>
    <row r="9" spans="1:6" x14ac:dyDescent="0.25">
      <c r="A9" t="s">
        <v>34</v>
      </c>
      <c r="B9" t="s">
        <v>11</v>
      </c>
      <c r="C9" t="s">
        <v>12</v>
      </c>
      <c r="E9" t="s">
        <v>35</v>
      </c>
      <c r="F9" t="s">
        <v>30</v>
      </c>
    </row>
    <row r="10" spans="1:6" x14ac:dyDescent="0.25">
      <c r="A10" t="s">
        <v>36</v>
      </c>
      <c r="B10" t="s">
        <v>37</v>
      </c>
      <c r="C10" t="s">
        <v>12</v>
      </c>
      <c r="E10" t="s">
        <v>38</v>
      </c>
      <c r="F10" t="s">
        <v>32</v>
      </c>
    </row>
    <row r="11" spans="1:6" x14ac:dyDescent="0.25">
      <c r="A11" t="s">
        <v>39</v>
      </c>
      <c r="B11" t="s">
        <v>37</v>
      </c>
      <c r="C11" t="s">
        <v>12</v>
      </c>
      <c r="E11" t="s">
        <v>40</v>
      </c>
      <c r="F11" t="s">
        <v>34</v>
      </c>
    </row>
    <row r="12" spans="1:6" x14ac:dyDescent="0.25">
      <c r="A12" t="s">
        <v>41</v>
      </c>
      <c r="B12" t="s">
        <v>37</v>
      </c>
      <c r="C12" t="s">
        <v>12</v>
      </c>
      <c r="E12" t="s">
        <v>42</v>
      </c>
      <c r="F12" t="s">
        <v>36</v>
      </c>
    </row>
    <row r="13" spans="1:6" x14ac:dyDescent="0.25">
      <c r="A13" t="s">
        <v>43</v>
      </c>
      <c r="B13" t="s">
        <v>37</v>
      </c>
      <c r="C13" t="s">
        <v>12</v>
      </c>
      <c r="E13" t="s">
        <v>44</v>
      </c>
      <c r="F13" t="s">
        <v>36</v>
      </c>
    </row>
    <row r="14" spans="1:6" x14ac:dyDescent="0.25">
      <c r="A14" t="s">
        <v>45</v>
      </c>
      <c r="B14" t="s">
        <v>37</v>
      </c>
      <c r="C14" t="s">
        <v>12</v>
      </c>
      <c r="E14" t="s">
        <v>46</v>
      </c>
      <c r="F14" t="s">
        <v>39</v>
      </c>
    </row>
    <row r="15" spans="1:6" x14ac:dyDescent="0.25">
      <c r="A15" t="s">
        <v>47</v>
      </c>
      <c r="B15" t="s">
        <v>37</v>
      </c>
      <c r="C15" t="s">
        <v>12</v>
      </c>
      <c r="E15" t="s">
        <v>48</v>
      </c>
      <c r="F15" t="s">
        <v>39</v>
      </c>
    </row>
    <row r="16" spans="1:6" x14ac:dyDescent="0.25">
      <c r="A16" t="s">
        <v>49</v>
      </c>
      <c r="B16" t="s">
        <v>37</v>
      </c>
      <c r="C16" t="s">
        <v>12</v>
      </c>
      <c r="E16" t="s">
        <v>50</v>
      </c>
      <c r="F16" t="s">
        <v>41</v>
      </c>
    </row>
    <row r="17" spans="1:6" x14ac:dyDescent="0.25">
      <c r="A17" t="s">
        <v>51</v>
      </c>
      <c r="B17" t="s">
        <v>37</v>
      </c>
      <c r="C17" t="s">
        <v>12</v>
      </c>
      <c r="E17" t="s">
        <v>52</v>
      </c>
      <c r="F17" t="s">
        <v>45</v>
      </c>
    </row>
    <row r="18" spans="1:6" x14ac:dyDescent="0.25">
      <c r="A18" t="s">
        <v>53</v>
      </c>
      <c r="B18" t="s">
        <v>37</v>
      </c>
      <c r="C18" t="s">
        <v>12</v>
      </c>
      <c r="E18" t="s">
        <v>54</v>
      </c>
      <c r="F18" t="s">
        <v>45</v>
      </c>
    </row>
    <row r="19" spans="1:6" x14ac:dyDescent="0.25">
      <c r="A19" t="s">
        <v>55</v>
      </c>
      <c r="B19" t="s">
        <v>37</v>
      </c>
      <c r="C19" t="s">
        <v>12</v>
      </c>
      <c r="E19" t="s">
        <v>56</v>
      </c>
      <c r="F19" t="s">
        <v>49</v>
      </c>
    </row>
    <row r="20" spans="1:6" x14ac:dyDescent="0.25">
      <c r="A20" t="s">
        <v>57</v>
      </c>
      <c r="B20" t="s">
        <v>37</v>
      </c>
      <c r="C20" t="s">
        <v>12</v>
      </c>
      <c r="E20" t="s">
        <v>58</v>
      </c>
      <c r="F20" t="s">
        <v>51</v>
      </c>
    </row>
    <row r="21" spans="1:6" x14ac:dyDescent="0.25">
      <c r="A21" t="s">
        <v>59</v>
      </c>
      <c r="B21" t="s">
        <v>60</v>
      </c>
      <c r="C21" t="s">
        <v>61</v>
      </c>
      <c r="E21" t="s">
        <v>62</v>
      </c>
      <c r="F21" t="s">
        <v>53</v>
      </c>
    </row>
    <row r="22" spans="5:6" x14ac:dyDescent="0.25">
      <c r="E22" t="s">
        <v>63</v>
      </c>
      <c r="F22" t="s">
        <v>53</v>
      </c>
    </row>
    <row r="23" spans="5:6" x14ac:dyDescent="0.25">
      <c r="E23" t="s">
        <v>64</v>
      </c>
      <c r="F23" t="s">
        <v>55</v>
      </c>
    </row>
    <row r="24" spans="5:6" x14ac:dyDescent="0.25">
      <c r="E24" t="s">
        <v>65</v>
      </c>
      <c r="F24" t="s">
        <v>57</v>
      </c>
    </row>
    <row r="25" spans="5:6" x14ac:dyDescent="0.25">
      <c r="E25" t="s">
        <v>40</v>
      </c>
      <c r="F2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6" customWidth="1"/>
    <col min="4" max="4" width="12" customWidth="1"/>
  </cols>
  <sheetData>
    <row r="1" ht="45" customHeight="1" spans="1:4" x14ac:dyDescent="0.25">
      <c r="A1" s="4" t="s">
        <v>66</v>
      </c>
      <c r="B1" s="4" t="s">
        <v>8</v>
      </c>
      <c r="C1" s="4" t="s">
        <v>67</v>
      </c>
      <c r="D1" s="4" t="s">
        <v>68</v>
      </c>
    </row>
  </sheetData>
  <autoFilter ref="A1:D5000"/>
  <dataValidations count="2">
    <dataValidation type="list" allowBlank="1" showInputMessage="1" promptTitle="Conta" prompt="Caixa: dinheiro em numerário. Banco: conta bancária." showErrorMessage="1" errorStyle="stop" errorTitle="Valor fora da lista" error="Escolha Caixa ou Banco." sqref="B2:B5000">
      <formula1>"Caixa,Banco"</formula1>
    </dataValidation>
    <dataValidation type="list" allowBlank="1" showInputMessage="1" promptTitle="Fonte" prompt="Extrato: do extrato bancário. Contagem: da contagem do dinheiro. Declarado: indicado sem comprovativo." showErrorMessage="1" errorStyle="stop" errorTitle="Valor fora da lista" error="Escolha Extrato, Contagem ou Declarado." sqref="D2:D5000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ht="45" customHeight="1" spans="1:12" x14ac:dyDescent="0.25">
      <c r="A1" s="4" t="s">
        <v>66</v>
      </c>
      <c r="B1" s="4" t="s">
        <v>69</v>
      </c>
      <c r="C1" s="4" t="s">
        <v>70</v>
      </c>
      <c r="D1" s="4" t="s">
        <v>6</v>
      </c>
      <c r="E1" s="4" t="s">
        <v>2</v>
      </c>
      <c r="F1" s="4" t="s">
        <v>5</v>
      </c>
      <c r="G1" s="4" t="s">
        <v>3</v>
      </c>
      <c r="H1" s="4" t="s">
        <v>7</v>
      </c>
      <c r="I1" s="4" t="s">
        <v>71</v>
      </c>
      <c r="J1" s="5" t="s">
        <v>72</v>
      </c>
      <c r="K1" s="5" t="s">
        <v>73</v>
      </c>
      <c r="L1" s="5" t="s">
        <v>74</v>
      </c>
    </row>
    <row r="2" spans="1:12" x14ac:dyDescent="0.25">
      <c r="A2" s="6">
        <v>46032</v>
      </c>
      <c r="C2" t="s">
        <v>75</v>
      </c>
      <c r="D2" t="s">
        <v>15</v>
      </c>
      <c r="E2" t="s">
        <v>55</v>
      </c>
      <c r="F2" t="s">
        <v>33</v>
      </c>
      <c r="G2" t="s">
        <v>37</v>
      </c>
      <c r="H2" t="s">
        <v>16</v>
      </c>
      <c r="I2" s="7">
        <v>50</v>
      </c>
      <c r="J2" s="8" t="str">
        <f>IF(H2="","",IFERROR(VLOOKUP(H2,Listas!$J$2:$K$5000,2,FALSE),""))</f>
        <v>Caixa</v>
      </c>
      <c r="K2" s="9">
        <f>IF(OR(I2="",G2=""),"",IF(G2="Saída",-I2,I2))</f>
        <v>-50</v>
      </c>
      <c r="L2" s="8" t="str">
        <f>IF(E2="","",IFERROR(VLOOKUP(E2,Listas!$A$2:$C$5000,3,FALSE),""))</f>
        <v>Sim</v>
      </c>
    </row>
    <row r="3" spans="1:12" x14ac:dyDescent="0.25">
      <c r="A3" s="6">
        <v>46034</v>
      </c>
      <c r="C3" t="s">
        <v>76</v>
      </c>
      <c r="D3" t="s">
        <v>15</v>
      </c>
      <c r="E3" t="s">
        <v>77</v>
      </c>
      <c r="G3" t="s">
        <v>37</v>
      </c>
      <c r="H3" t="s">
        <v>20</v>
      </c>
      <c r="I3" s="7">
        <v>180</v>
      </c>
      <c r="J3" s="8" t="str">
        <f>IF(H3="","",IFERROR(VLOOKUP(H3,Listas!$J$2:$K$5000,2,FALSE),""))</f>
        <v>Banco</v>
      </c>
      <c r="K3" s="9">
        <f>IF(OR(I3="",G3=""),"",IF(G3="Saída",-I3,I3))</f>
        <v>-180</v>
      </c>
      <c r="L3" s="8" t="str">
        <f>IF(E3="","",IFERROR(VLOOKUP(E3,Listas!$A$2:$C$5000,3,FALSE),""))</f>
        <v/>
      </c>
    </row>
    <row r="4" spans="1:12" x14ac:dyDescent="0.25">
      <c r="A4" s="6">
        <v>46036</v>
      </c>
      <c r="C4" t="s">
        <v>78</v>
      </c>
      <c r="D4" t="s">
        <v>15</v>
      </c>
      <c r="E4" t="s">
        <v>39</v>
      </c>
      <c r="G4" t="s">
        <v>37</v>
      </c>
      <c r="H4" t="s">
        <v>16</v>
      </c>
      <c r="I4" s="7">
        <v>-89</v>
      </c>
      <c r="J4" s="8" t="str">
        <f>IF(H4="","",IFERROR(VLOOKUP(H4,Listas!$J$2:$K$5000,2,FALSE),""))</f>
        <v>Caixa</v>
      </c>
      <c r="K4" s="9">
        <f>IF(OR(I4="",G4=""),"",IF(G4="Saída",-I4,I4))</f>
        <v>89</v>
      </c>
      <c r="L4" s="8" t="str">
        <f>IF(E4="","",IFERROR(VLOOKUP(E4,Listas!$A$2:$C$5000,3,FALSE),""))</f>
        <v>Sim</v>
      </c>
    </row>
  </sheetData>
  <autoFilter ref="A1:L5000"/>
  <conditionalFormatting sqref="F2:F5000">
    <cfRule type="expression" dxfId="0" priority="1">
      <formula>AND($F2&lt;&gt;"",COUNTIFS(Listas!$E$2:$E$5000,$F2,Listas!$F$2:$F$5000,$E2)=0)</formula>
    </cfRule>
  </conditionalFormatting>
  <dataValidations count="6"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E2:E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F2:F5000">
      <formula1>OFFSET(Listas!$E$2,MATCH($E2,Listas!$F$2:$F$5000,0)-1,0,COUNTIF(Listas!$F$2:$F$5000,$E2),1)</formula1>
    </dataValidation>
    <dataValidation type="list" allowBlank="1" showInputMessage="1" promptTitle="Tipo" prompt="Entrada: o dinheiro entrou. Saída: o dinheiro saiu." showErrorMessage="1" errorStyle="stop" errorTitle="Valor fora da lista" error="Escolha Entrada ou Saída." sqref="G2:G5000">
      <formula1>"Entrada,Saída"</formula1>
    </dataValidation>
    <dataValidation type="list" allowBlank="1" showInputMessage="1" promptTitle="Meio" prompt="Escolha como o dinheiro entrou ou saiu." showErrorMessage="1" errorStyle="stop" errorTitle="Valor fora da lista" error="Escolha um meio da lista (separador Listas)." sqref="H2:H5000">
      <formula1>Listas!$J$2:$J$5000</formula1>
    </dataValidation>
    <dataValidation type="custom" allowBlank="1" showInputMessage="1" promptTitle="Calculado sozinho" prompt="Não escreva nesta coluna." sqref="J2:L5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customWidth="1"/>
    <col min="6" max="7" width="13" customWidth="1"/>
    <col min="8" max="8" width="36" customWidth="1"/>
  </cols>
  <sheetData>
    <row r="1" ht="45" customHeight="1" spans="1:8" x14ac:dyDescent="0.25">
      <c r="A1" s="4" t="s">
        <v>3</v>
      </c>
      <c r="B1" s="4" t="s">
        <v>79</v>
      </c>
      <c r="C1" s="4" t="s">
        <v>70</v>
      </c>
      <c r="D1" s="4" t="s">
        <v>6</v>
      </c>
      <c r="E1" s="4" t="s">
        <v>71</v>
      </c>
      <c r="F1" s="4" t="s">
        <v>80</v>
      </c>
      <c r="G1" s="4" t="s">
        <v>81</v>
      </c>
      <c r="H1" s="4" t="s">
        <v>82</v>
      </c>
    </row>
  </sheetData>
  <autoFilter ref="A1:H5000"/>
  <dataValidations count="2">
    <dataValidation type="list" allowBlank="1" showInputMessage="1" promptTitle="Tipo" prompt="A receber: alguém nos deve. A pagar: nós devemos." showErrorMessage="1" errorStyle="stop" errorTitle="Valor fora da lista" error="Escolha A receber ou A pagar." sqref="A2:A5000">
      <formula1>"A receber,A pagar"</formula1>
    </dataValidation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customWidth="1"/>
  </cols>
  <sheetData>
    <row r="1" ht="45" customHeight="1" spans="1:5" x14ac:dyDescent="0.25">
      <c r="A1" s="4" t="s">
        <v>83</v>
      </c>
      <c r="B1" s="4" t="s">
        <v>3</v>
      </c>
      <c r="C1" s="4" t="s">
        <v>2</v>
      </c>
      <c r="D1" s="4" t="s">
        <v>5</v>
      </c>
      <c r="E1" s="4" t="s">
        <v>84</v>
      </c>
    </row>
  </sheetData>
  <autoFilter ref="A1:E5000"/>
  <conditionalFormatting sqref="D2:D5000">
    <cfRule type="expression" dxfId="1" priority="1">
      <formula>AND($D2&lt;&gt;"",COUNTIFS(Listas!$E$2:$E$5000,$D2,Listas!$F$2:$F$5000,$C2)=0)</formula>
    </cfRule>
  </conditionalFormatting>
  <dataValidations count="4">
    <dataValidation type="list" allowBlank="1" showInputMessage="1" promptTitle="Âmbito" prompt="Escolha um orçamento da lista. Para criar um novo, acrescente o nome na coluna Orçamento do separador Listas." showErrorMessage="1" errorStyle="stop" errorTitle="Valor fora da lista" error="Escolha um orçamento da lista (separador Listas)." sqref="A2:A5000">
      <formula1>Listas!$M$2:$M$5000</formula1>
    </dataValidation>
    <dataValidation type="list" allowBlank="1" showInputMessage="1" promptTitle="Tipo" prompt="Entrada: receita orçada. Saída: despesa orçada." showErrorMessage="1" errorStyle="stop" errorTitle="Valor fora da lista" error="Escolha Entrada ou Saída." sqref="B2:B5000">
      <formula1>"Entrada,Saída"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C2:C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D2:D5000">
      <formula1>OFFSET(Listas!$E$2,MATCH($C2,Listas!$F$2:$F$5000,0)-1,0,COUNTIF(Listas!$F$2:$F$5000,$C2),1)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8" customWidth="1"/>
    <col min="4" max="4" width="14" customWidth="1"/>
    <col min="5" max="5" width="10" customWidth="1"/>
    <col min="6" max="6" width="16" customWidth="1"/>
  </cols>
  <sheetData>
    <row r="1" ht="45" customHeight="1" spans="1:6" x14ac:dyDescent="0.25">
      <c r="A1" s="4" t="s">
        <v>66</v>
      </c>
      <c r="B1" s="4" t="s">
        <v>6</v>
      </c>
      <c r="C1" s="4" t="s">
        <v>3</v>
      </c>
      <c r="D1" s="4" t="s">
        <v>85</v>
      </c>
      <c r="E1" s="4" t="s">
        <v>86</v>
      </c>
      <c r="F1" s="4" t="s">
        <v>87</v>
      </c>
    </row>
  </sheetData>
  <autoFilter ref="A1:F5000"/>
  <dataValidations count="1">
    <dataValidation type="list" allowBlank="1" showInputMessage="1" promptTitle="Atividade" prompt="Escolha a atividade na lista." showErrorMessage="1" errorStyle="stop" errorTitle="Valor fora da lista" error="Escolha uma atividade da lista (separador Listas)." sqref="B2:B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Listas</vt:lpstr>
      <vt:lpstr>Saldos</vt:lpstr>
      <vt:lpstr>Movimentos</vt:lpstr>
      <vt:lpstr>Pendentes</vt:lpstr>
      <vt:lpstr>Orçamento</vt:lpstr>
      <vt:lpstr>Géneros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