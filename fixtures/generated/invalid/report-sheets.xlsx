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Saldos" state="visible" r:id="rId6"/>
    <sheet sheetId="4" name="Movimentos" state="visible" r:id="rId7"/>
    <sheet sheetId="5" name="Pendentes" state="visible" r:id="rId8"/>
    <sheet sheetId="6" name="Orçamento" state="visible" r:id="rId9"/>
    <sheet sheetId="7" name="Géneros" state="visible" r:id="rId10"/>
    <sheet sheetId="8" name="Válida" state="visible" r:id="rId11"/>
    <sheet sheetId="9" name="Sem atividade" state="visible" r:id="rId12"/>
    <sheet sheetId="10" name="Data inválida" state="visible" r:id="rId13"/>
    <sheet sheetId="11" name="Data em texto" state="visible" r:id="rId14"/>
    <sheet sheetId="12" name="Fórmula sem valor" state="visible" r:id="rId15"/>
    <sheet sheetId="13" name="Orçamento desconhecido" state="visible" r:id="rId16"/>
    <sheet sheetId="14" name="Versão nova" state="visible" r:id="rId17"/>
    <sheet sheetId="15" name="Tipo desconhecido" state="visible" r:id="rId18"/>
    <sheet sheetId="16" name="Denominação errada" state="visible" r:id="rId19"/>
  </sheets>
  <calcPr calcId="171027" fullCalcOnLoad="1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Categorias dos movimentos. Esta lista aparece nas listas suspensas dos outros separadores. Acrescente as suas no fim da coluna.</t>
        </r>
      </text>
    </comment>
    <comment ref="B1" authorId="0">
      <text>
        <r>
          <t>Entrada (receita) ou Saída (despesa) desta rubrica.</t>
        </r>
      </text>
    </comment>
    <comment ref="C1" authorId="0">
      <text>
        <r>
          <t>Sim: o movimento é receita ou despesa. Não: só muda o dinheiro disponível (por exemplo, transferências entre caixa e banco).</t>
        </r>
      </text>
    </comment>
    <comment ref="E1" authorId="0">
      <text>
        <r>
          <t>Divisões de uma rubrica. Mantenha as sub-rubricas da mesma rubrica juntas.</t>
        </r>
      </text>
    </comment>
    <comment ref="F1" authorId="0">
      <text>
        <r>
          <t>A rubrica a que cada sub-rubrica pertence.</t>
        </r>
      </text>
    </comment>
    <comment ref="H1" authorId="0">
      <text>
        <r>
          <t>Eventos e outras atividades. Use uma atividade por edição de um evento. Esta lista aparece nas listas suspensas dos outros separadores.</t>
        </r>
      </text>
    </comment>
    <comment ref="J1" authorId="0">
      <text>
        <r>
          <t>Como o dinheiro entrou ou saiu.</t>
        </r>
      </text>
    </comment>
    <comment ref="K1" authorId="0">
      <text>
        <r>
          <t>Caixa ou Banco: onde fica o dinheiro deste meio.</t>
        </r>
      </text>
    </comment>
    <comment ref="M1" authorId="0">
      <text>
        <r>
          <t>Nomes dos orçamentos (o nome de uma atividade ou um ano). Acrescente aqui cada orçamento que usar no separador Orçamento.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J1" authorId="0">
      <text>
        <r>
          <t>Calculada automaticamente a partir das outras colunas. Não escreva nesta coluna.</t>
        </r>
      </text>
    </comment>
    <comment ref="K1" authorId="0">
      <text>
        <r>
          <t>Calculada automaticamente a partir das outras colunas. Não escreva nesta coluna.</t>
        </r>
      </text>
    </comment>
    <comment ref="L1" authorId="0">
      <text>
        <r>
          <t>Calculada automaticamente a partir das outras colunas. Não escreva nesta coluna.</t>
        </r>
      </text>
    </comment>
  </commentList>
</comments>
</file>

<file path=xl/sharedStrings.xml><?xml version="1.0" encoding="utf-8"?>
<sst xmlns="http://schemas.openxmlformats.org/spreadsheetml/2006/main" count="410" uniqueCount="128">
  <si>
    <t>Ficheiro de teste com erros propositados</t>
  </si>
  <si>
    <t>Dados inventados que reproduzem classes de erros reais.</t>
  </si>
  <si>
    <t>Rubrica</t>
  </si>
  <si>
    <t>Tipo</t>
  </si>
  <si>
    <t>Conta como receita ou despesa</t>
  </si>
  <si>
    <t>Sub-rubrica</t>
  </si>
  <si>
    <t>Atividade</t>
  </si>
  <si>
    <t>Meio</t>
  </si>
  <si>
    <t>Conta</t>
  </si>
  <si>
    <t>Orçamento</t>
  </si>
  <si>
    <t>Quotas</t>
  </si>
  <si>
    <t>Entrada</t>
  </si>
  <si>
    <t>Sim</t>
  </si>
  <si>
    <t>Apoio CMV</t>
  </si>
  <si>
    <t>Subsídios e apoios</t>
  </si>
  <si>
    <t>Funcionamento</t>
  </si>
  <si>
    <t>Caixa</t>
  </si>
  <si>
    <t>Donativos</t>
  </si>
  <si>
    <t>Apoio UPV (via AE ESAV)</t>
  </si>
  <si>
    <t>Zumba na Caneca</t>
  </si>
  <si>
    <t>Banco</t>
  </si>
  <si>
    <t>Apoio Junta de Freguesia</t>
  </si>
  <si>
    <t>20º CITADÃO</t>
  </si>
  <si>
    <t>MB Way</t>
  </si>
  <si>
    <t>Atuações e serenatas</t>
  </si>
  <si>
    <t>Inscrições de tunas</t>
  </si>
  <si>
    <t>Inscrições e bilheteira</t>
  </si>
  <si>
    <t>Festivais</t>
  </si>
  <si>
    <t>TPA</t>
  </si>
  <si>
    <t>Bilheteira</t>
  </si>
  <si>
    <t>Bar e merchandising</t>
  </si>
  <si>
    <t>Inscrições</t>
  </si>
  <si>
    <t>Patrocínios</t>
  </si>
  <si>
    <t>Bar</t>
  </si>
  <si>
    <t>Outros recebimentos</t>
  </si>
  <si>
    <t>Merchandising</t>
  </si>
  <si>
    <t>Produção (som, luz, palco)</t>
  </si>
  <si>
    <t>Saída</t>
  </si>
  <si>
    <t>Patrocínio do evento</t>
  </si>
  <si>
    <t>Alimentação e alojamento</t>
  </si>
  <si>
    <t>Outros</t>
  </si>
  <si>
    <t>Compras para o bar</t>
  </si>
  <si>
    <t>Som e luz</t>
  </si>
  <si>
    <t>Deslocações</t>
  </si>
  <si>
    <t>Palco e estruturas</t>
  </si>
  <si>
    <t>Prémios e troféus</t>
  </si>
  <si>
    <t>Refeições das tunas</t>
  </si>
  <si>
    <t>Instrumentos e manutenção</t>
  </si>
  <si>
    <t>Alojamento</t>
  </si>
  <si>
    <t>Merchandising e trajes</t>
  </si>
  <si>
    <t>Bebidas e consumíveis</t>
  </si>
  <si>
    <t>Comunicação e gráfica</t>
  </si>
  <si>
    <t>Prémios</t>
  </si>
  <si>
    <t>Seguros e despesas bancárias</t>
  </si>
  <si>
    <t>Júri</t>
  </si>
  <si>
    <t>Taxas e licenças</t>
  </si>
  <si>
    <t>T-shirts</t>
  </si>
  <si>
    <t>Outros pagamentos</t>
  </si>
  <si>
    <t>Cartazes e impressões</t>
  </si>
  <si>
    <t>Transferências internas</t>
  </si>
  <si>
    <t>Entrada e Saída</t>
  </si>
  <si>
    <t>Não</t>
  </si>
  <si>
    <t>Seguro</t>
  </si>
  <si>
    <t>Despesas bancárias</t>
  </si>
  <si>
    <t>Licenças e SPA</t>
  </si>
  <si>
    <t>Diversos</t>
  </si>
  <si>
    <t>Data</t>
  </si>
  <si>
    <t>Saldo (€)</t>
  </si>
  <si>
    <t>Fonte</t>
  </si>
  <si>
    <t>N.º doc</t>
  </si>
  <si>
    <t>Descrição</t>
  </si>
  <si>
    <t>Valor (€)</t>
  </si>
  <si>
    <t>Conta (automático)</t>
  </si>
  <si>
    <t>Efeito no saldo (€) (automático)</t>
  </si>
  <si>
    <t>Conta como receita ou despesa (automático)</t>
  </si>
  <si>
    <t>Quotas em numerário</t>
  </si>
  <si>
    <t>Entidade</t>
  </si>
  <si>
    <t>Data de registo</t>
  </si>
  <si>
    <t>Data de liquidação</t>
  </si>
  <si>
    <t>Notas</t>
  </si>
  <si>
    <t>Âmbito</t>
  </si>
  <si>
    <t>Orçado (€)</t>
  </si>
  <si>
    <t>Quantidade</t>
  </si>
  <si>
    <t>Em falta</t>
  </si>
  <si>
    <t>Valor estimado (€)</t>
  </si>
  <si>
    <t>Relatório</t>
  </si>
  <si>
    <t>Relatório de evento</t>
  </si>
  <si>
    <t>Versão do modelo</t>
  </si>
  <si>
    <t>Início do evento</t>
  </si>
  <si>
    <t>Opcional. Se só um dos dois estiver preenchido, o evento é de um dia.</t>
  </si>
  <si>
    <t>Fim do evento</t>
  </si>
  <si>
    <t>Contar movimentos até</t>
  </si>
  <si>
    <t>Opcional. Os movimentos depois desta data não entram.</t>
  </si>
  <si>
    <t>Pendentes à data de</t>
  </si>
  <si>
    <t>Em branco: a data de "Contar movimentos até" ou a do último movimento.</t>
  </si>
  <si>
    <t>Orçamento a usar</t>
  </si>
  <si>
    <t>Em branco: o orçamento com o nome da atividade.</t>
  </si>
  <si>
    <t>Indicadores</t>
  </si>
  <si>
    <t>Indicador</t>
  </si>
  <si>
    <t>Valor</t>
  </si>
  <si>
    <t>Um parágrafo por linha.</t>
  </si>
  <si>
    <t>Assinaturas</t>
  </si>
  <si>
    <t>Escreva o nome ao lado de cada cargo.</t>
  </si>
  <si>
    <t>Cargo</t>
  </si>
  <si>
    <t>Nome</t>
  </si>
  <si>
    <t>Coordenação do evento</t>
  </si>
  <si>
    <t>Tesoureiro(a)</t>
  </si>
  <si>
    <t>31/02/2026</t>
  </si>
  <si>
    <t>10/01/2026</t>
  </si>
  <si>
    <t>Festa que não existe</t>
  </si>
  <si>
    <t>Relatório de teste</t>
  </si>
  <si>
    <t>Pegada de direção</t>
  </si>
  <si>
    <t>Data do último relatório</t>
  </si>
  <si>
    <t>Em branco: o fim do relatório anterior deste ficheiro.</t>
  </si>
  <si>
    <t>Data da passagem</t>
  </si>
  <si>
    <t>Direção cessante</t>
  </si>
  <si>
    <t>Direção entrante</t>
  </si>
  <si>
    <t>Saldo do extrato bancário na data da passagem (€)</t>
  </si>
  <si>
    <t>Moedas não contadas uma a uma (valor total, €)</t>
  </si>
  <si>
    <t>Moedas guardadas em saco ou rolo, sem contar uma a uma.</t>
  </si>
  <si>
    <t>Pagamentos emitidos ainda não debitados no extrato</t>
  </si>
  <si>
    <t>Cheques ou transferências feitos que o banco ainda não mostra.</t>
  </si>
  <si>
    <t>Depósitos ainda não creditados no extrato</t>
  </si>
  <si>
    <t>Depósitos feitos que o banco ainda não mostra.</t>
  </si>
  <si>
    <t>Contagem de caixa</t>
  </si>
  <si>
    <t>Denominação (€)</t>
  </si>
  <si>
    <t>Total (€)</t>
  </si>
  <si>
    <t>Conselho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</si>
</sst>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 &quot;€&quot;"/>
  </numFmts>
  <fonts count="8" x14ac:knownFonts="1">
    <font>
      <color theme="1"/>
      <family val="2"/>
      <scheme val="minor"/>
      <sz val="11"/>
      <name val="Calibri"/>
    </font>
    <font>
      <b/>
      <sz val="16"/>
    </font>
    <font>
      <b/>
      <color rgb="FF1D2F6F"/>
    </font>
    <font>
      <b/>
      <i/>
      <color rgb="FF6B7280"/>
    </font>
    <font>
      <color rgb="FF6B7280"/>
    </font>
    <font>
      <b/>
      <color rgb="FF1F2937"/>
    </font>
    <font>
      <i/>
      <color rgb="FF6B7280"/>
    </font>
    <font>
      <b/>
      <color rgb="FF1D2F6F"/>
      <sz val="12"/>
    </font>
  </fonts>
  <fills count="5">
    <fill>
      <patternFill patternType="none"/>
    </fill>
    <fill>
      <patternFill patternType="gray125"/>
    </fill>
    <fill>
      <patternFill patternType="solid">
        <fgColor rgb="FFE3E8F4"/>
      </patternFill>
    </fill>
    <fill>
      <patternFill patternType="solid">
        <fgColor rgb="FFE7E7E7"/>
      </patternFill>
    </fill>
    <fill>
      <patternFill patternType="solid">
        <fgColor rgb="FFF2F3F7"/>
      </patternFill>
    </fill>
  </fills>
  <borders count="3">
    <border>
      <left/>
      <right/>
      <top/>
      <bottom/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  <border>
      <left/>
      <right/>
      <top/>
      <bottom style="medium">
        <color rgb="FF1D2F6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49" fontId="2" fillId="2" borderId="1" xfId="0" applyNumberFormat="1" applyFont="1" applyFill="1" applyBorder="1" applyAlignment="1">
      <alignment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3" borderId="0" xfId="0" applyFont="1" applyFill="1"/>
    <xf numFmtId="165" fontId="4" fillId="3" borderId="0" xfId="0" applyNumberFormat="1" applyFont="1" applyFill="1"/>
    <xf numFmtId="49" fontId="5" fillId="4" borderId="1" xfId="0" applyNumberFormat="1" applyFont="1" applyFill="1" applyBorder="1" applyAlignment="1">
      <alignment vertical="top" wrapText="1"/>
    </xf>
    <xf numFmtId="49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7" fillId="0" borderId="2" xfId="0" applyNumberFormat="1" applyFont="1" applyBorder="1" applyAlignment="1">
      <alignment vertical="bottom" wrapText="1"/>
    </xf>
    <xf numFmtId="49" fontId="0" fillId="4" borderId="1" xfId="0" applyNumberFormat="1" applyFill="1" applyBorder="1" applyAlignment="1">
      <alignment horizontal="left" vertical="top"/>
    </xf>
    <xf numFmtId="165" fontId="0" fillId="0" borderId="1" xfId="0" applyNumberFormat="1" applyBorder="1" applyAlignment="1">
      <alignment vertical="top" wrapText="1"/>
    </xf>
    <xf numFmtId="165" fontId="0" fillId="4" borderId="1" xfId="0" applyNumberForma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4" customWidth="1"/>
    <col min="2" max="2" width="38" customWidth="1"/>
    <col min="3" max="3" width="22" customWidth="1"/>
    <col min="4" max="4" width="28" customWidth="1"/>
    <col min="5" max="5" width="10" customWidth="1"/>
    <col min="6" max="6" width="12" customWidth="1"/>
    <col min="7" max="7" width="16" customWidth="1"/>
  </cols>
  <sheetData>
    <row r="1" spans="1:1" x14ac:dyDescent="0.25">
      <c r="A1" s="1" t="s">
        <v>0</v>
      </c>
    </row>
    <row r="2" ht="16" customHeight="1" spans="1:7" x14ac:dyDescent="0.25">
      <c r="A2" s="2" t="s">
        <v>1</v>
      </c>
      <c r="B2" s="2"/>
      <c r="C2" s="2"/>
      <c r="D2" s="2"/>
      <c r="E2" s="2"/>
      <c r="F2" s="2"/>
      <c r="G2" s="2"/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8" customWidth="1"/>
    <col min="5" max="5" width="26" customWidth="1"/>
    <col min="6" max="6" width="30" customWidth="1"/>
    <col min="8" max="8" width="26" customWidth="1"/>
    <col min="10" max="10" width="14" customWidth="1"/>
    <col min="11" max="11" width="10" customWidth="1"/>
    <col min="13" max="13" width="26" customWidth="1"/>
  </cols>
  <sheetData>
    <row r="1" spans="1:13" x14ac:dyDescent="0.25">
      <c r="A1" s="3" t="s">
        <v>2</v>
      </c>
      <c r="B1" s="3" t="s">
        <v>3</v>
      </c>
      <c r="C1" s="3" t="s">
        <v>4</v>
      </c>
      <c r="E1" s="3" t="s">
        <v>5</v>
      </c>
      <c r="F1" s="3" t="s">
        <v>2</v>
      </c>
      <c r="H1" s="3" t="s">
        <v>6</v>
      </c>
      <c r="J1" s="3" t="s">
        <v>7</v>
      </c>
      <c r="K1" s="3" t="s">
        <v>8</v>
      </c>
      <c r="M1" s="3" t="s">
        <v>9</v>
      </c>
    </row>
    <row r="2" spans="1:13" x14ac:dyDescent="0.25">
      <c r="A2" t="s">
        <v>10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J2" t="s">
        <v>16</v>
      </c>
      <c r="K2" t="s">
        <v>16</v>
      </c>
      <c r="M2" t="s">
        <v>15</v>
      </c>
    </row>
    <row r="3" spans="1:11" x14ac:dyDescent="0.25">
      <c r="A3" t="s">
        <v>17</v>
      </c>
      <c r="B3" t="s">
        <v>11</v>
      </c>
      <c r="C3" t="s">
        <v>12</v>
      </c>
      <c r="E3" t="s">
        <v>18</v>
      </c>
      <c r="F3" t="s">
        <v>14</v>
      </c>
      <c r="H3" t="s">
        <v>19</v>
      </c>
      <c r="J3" t="s">
        <v>20</v>
      </c>
      <c r="K3" t="s">
        <v>20</v>
      </c>
    </row>
    <row r="4" spans="1:11" x14ac:dyDescent="0.25">
      <c r="A4" t="s">
        <v>14</v>
      </c>
      <c r="B4" t="s">
        <v>11</v>
      </c>
      <c r="C4" t="s">
        <v>12</v>
      </c>
      <c r="E4" t="s">
        <v>21</v>
      </c>
      <c r="F4" t="s">
        <v>14</v>
      </c>
      <c r="H4" t="s">
        <v>22</v>
      </c>
      <c r="J4" t="s">
        <v>23</v>
      </c>
      <c r="K4" t="s">
        <v>20</v>
      </c>
    </row>
    <row r="5" spans="1:11" x14ac:dyDescent="0.25">
      <c r="A5" t="s">
        <v>24</v>
      </c>
      <c r="B5" t="s">
        <v>11</v>
      </c>
      <c r="C5" t="s">
        <v>12</v>
      </c>
      <c r="E5" t="s">
        <v>25</v>
      </c>
      <c r="F5" t="s">
        <v>26</v>
      </c>
      <c r="H5" t="s">
        <v>27</v>
      </c>
      <c r="J5" t="s">
        <v>28</v>
      </c>
      <c r="K5" t="s">
        <v>20</v>
      </c>
    </row>
    <row r="6" spans="1:6" x14ac:dyDescent="0.25">
      <c r="A6" t="s">
        <v>26</v>
      </c>
      <c r="B6" t="s">
        <v>11</v>
      </c>
      <c r="C6" t="s">
        <v>12</v>
      </c>
      <c r="E6" t="s">
        <v>29</v>
      </c>
      <c r="F6" t="s">
        <v>26</v>
      </c>
    </row>
    <row r="7" spans="1:6" x14ac:dyDescent="0.25">
      <c r="A7" t="s">
        <v>30</v>
      </c>
      <c r="B7" t="s">
        <v>11</v>
      </c>
      <c r="C7" t="s">
        <v>12</v>
      </c>
      <c r="E7" t="s">
        <v>31</v>
      </c>
      <c r="F7" t="s">
        <v>26</v>
      </c>
    </row>
    <row r="8" spans="1:6" x14ac:dyDescent="0.25">
      <c r="A8" t="s">
        <v>32</v>
      </c>
      <c r="B8" t="s">
        <v>11</v>
      </c>
      <c r="C8" t="s">
        <v>12</v>
      </c>
      <c r="E8" t="s">
        <v>33</v>
      </c>
      <c r="F8" t="s">
        <v>30</v>
      </c>
    </row>
    <row r="9" spans="1:6" x14ac:dyDescent="0.25">
      <c r="A9" t="s">
        <v>34</v>
      </c>
      <c r="B9" t="s">
        <v>11</v>
      </c>
      <c r="C9" t="s">
        <v>12</v>
      </c>
      <c r="E9" t="s">
        <v>35</v>
      </c>
      <c r="F9" t="s">
        <v>30</v>
      </c>
    </row>
    <row r="10" spans="1:6" x14ac:dyDescent="0.25">
      <c r="A10" t="s">
        <v>36</v>
      </c>
      <c r="B10" t="s">
        <v>37</v>
      </c>
      <c r="C10" t="s">
        <v>12</v>
      </c>
      <c r="E10" t="s">
        <v>38</v>
      </c>
      <c r="F10" t="s">
        <v>32</v>
      </c>
    </row>
    <row r="11" spans="1:6" x14ac:dyDescent="0.25">
      <c r="A11" t="s">
        <v>39</v>
      </c>
      <c r="B11" t="s">
        <v>37</v>
      </c>
      <c r="C11" t="s">
        <v>12</v>
      </c>
      <c r="E11" t="s">
        <v>40</v>
      </c>
      <c r="F11" t="s">
        <v>34</v>
      </c>
    </row>
    <row r="12" spans="1:6" x14ac:dyDescent="0.25">
      <c r="A12" t="s">
        <v>41</v>
      </c>
      <c r="B12" t="s">
        <v>37</v>
      </c>
      <c r="C12" t="s">
        <v>12</v>
      </c>
      <c r="E12" t="s">
        <v>42</v>
      </c>
      <c r="F12" t="s">
        <v>36</v>
      </c>
    </row>
    <row r="13" spans="1:6" x14ac:dyDescent="0.25">
      <c r="A13" t="s">
        <v>43</v>
      </c>
      <c r="B13" t="s">
        <v>37</v>
      </c>
      <c r="C13" t="s">
        <v>12</v>
      </c>
      <c r="E13" t="s">
        <v>44</v>
      </c>
      <c r="F13" t="s">
        <v>36</v>
      </c>
    </row>
    <row r="14" spans="1:6" x14ac:dyDescent="0.25">
      <c r="A14" t="s">
        <v>45</v>
      </c>
      <c r="B14" t="s">
        <v>37</v>
      </c>
      <c r="C14" t="s">
        <v>12</v>
      </c>
      <c r="E14" t="s">
        <v>46</v>
      </c>
      <c r="F14" t="s">
        <v>39</v>
      </c>
    </row>
    <row r="15" spans="1:6" x14ac:dyDescent="0.25">
      <c r="A15" t="s">
        <v>47</v>
      </c>
      <c r="B15" t="s">
        <v>37</v>
      </c>
      <c r="C15" t="s">
        <v>12</v>
      </c>
      <c r="E15" t="s">
        <v>48</v>
      </c>
      <c r="F15" t="s">
        <v>39</v>
      </c>
    </row>
    <row r="16" spans="1:6" x14ac:dyDescent="0.25">
      <c r="A16" t="s">
        <v>49</v>
      </c>
      <c r="B16" t="s">
        <v>37</v>
      </c>
      <c r="C16" t="s">
        <v>12</v>
      </c>
      <c r="E16" t="s">
        <v>50</v>
      </c>
      <c r="F16" t="s">
        <v>41</v>
      </c>
    </row>
    <row r="17" spans="1:6" x14ac:dyDescent="0.25">
      <c r="A17" t="s">
        <v>51</v>
      </c>
      <c r="B17" t="s">
        <v>37</v>
      </c>
      <c r="C17" t="s">
        <v>12</v>
      </c>
      <c r="E17" t="s">
        <v>52</v>
      </c>
      <c r="F17" t="s">
        <v>45</v>
      </c>
    </row>
    <row r="18" spans="1:6" x14ac:dyDescent="0.25">
      <c r="A18" t="s">
        <v>53</v>
      </c>
      <c r="B18" t="s">
        <v>37</v>
      </c>
      <c r="C18" t="s">
        <v>12</v>
      </c>
      <c r="E18" t="s">
        <v>54</v>
      </c>
      <c r="F18" t="s">
        <v>45</v>
      </c>
    </row>
    <row r="19" spans="1:6" x14ac:dyDescent="0.25">
      <c r="A19" t="s">
        <v>55</v>
      </c>
      <c r="B19" t="s">
        <v>37</v>
      </c>
      <c r="C19" t="s">
        <v>12</v>
      </c>
      <c r="E19" t="s">
        <v>56</v>
      </c>
      <c r="F19" t="s">
        <v>49</v>
      </c>
    </row>
    <row r="20" spans="1:6" x14ac:dyDescent="0.25">
      <c r="A20" t="s">
        <v>57</v>
      </c>
      <c r="B20" t="s">
        <v>37</v>
      </c>
      <c r="C20" t="s">
        <v>12</v>
      </c>
      <c r="E20" t="s">
        <v>58</v>
      </c>
      <c r="F20" t="s">
        <v>51</v>
      </c>
    </row>
    <row r="21" spans="1:6" x14ac:dyDescent="0.25">
      <c r="A21" t="s">
        <v>59</v>
      </c>
      <c r="B21" t="s">
        <v>60</v>
      </c>
      <c r="C21" t="s">
        <v>61</v>
      </c>
      <c r="E21" t="s">
        <v>62</v>
      </c>
      <c r="F21" t="s">
        <v>53</v>
      </c>
    </row>
    <row r="22" spans="5:6" x14ac:dyDescent="0.25">
      <c r="E22" t="s">
        <v>63</v>
      </c>
      <c r="F22" t="s">
        <v>53</v>
      </c>
    </row>
    <row r="23" spans="5:6" x14ac:dyDescent="0.25">
      <c r="E23" t="s">
        <v>64</v>
      </c>
      <c r="F23" t="s">
        <v>55</v>
      </c>
    </row>
    <row r="24" spans="5:6" x14ac:dyDescent="0.25">
      <c r="E24" t="s">
        <v>65</v>
      </c>
      <c r="F24" t="s">
        <v>57</v>
      </c>
    </row>
    <row r="25" spans="5:6" x14ac:dyDescent="0.25">
      <c r="E25" t="s">
        <v>40</v>
      </c>
      <c r="F25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0" customWidth="1"/>
    <col min="3" max="3" width="16" customWidth="1"/>
    <col min="4" max="4" width="12" customWidth="1"/>
  </cols>
  <sheetData>
    <row r="1" ht="45" customHeight="1" spans="1:4" x14ac:dyDescent="0.25">
      <c r="A1" s="4" t="s">
        <v>66</v>
      </c>
      <c r="B1" s="4" t="s">
        <v>8</v>
      </c>
      <c r="C1" s="4" t="s">
        <v>67</v>
      </c>
      <c r="D1" s="4" t="s">
        <v>68</v>
      </c>
    </row>
  </sheetData>
  <autoFilter ref="A1:D5000"/>
  <dataValidations count="2">
    <dataValidation type="list" allowBlank="1" showInputMessage="1" promptTitle="Conta" prompt="Caixa: dinheiro em numerário. Banco: conta bancária." showErrorMessage="1" errorStyle="stop" errorTitle="Valor fora da lista" error="Escolha Caixa ou Banco." sqref="B2:B5000">
      <formula1>"Caixa,Banco"</formula1>
    </dataValidation>
    <dataValidation type="list" allowBlank="1" showInputMessage="1" promptTitle="Fonte" prompt="Extrato: do extrato bancário. Contagem: da contagem do dinheiro. Declarado: indicado sem comprovativo." showErrorMessage="1" errorStyle="stop" errorTitle="Valor fora da lista" error="Escolha Extrato, Contagem ou Declarado." sqref="D2:D5000">
      <formula1>"Extrato,Contagem,Declarado"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1" customWidth="1"/>
    <col min="3" max="3" width="40" customWidth="1"/>
    <col min="4" max="4" width="20" customWidth="1"/>
    <col min="5" max="5" width="30" customWidth="1"/>
    <col min="6" max="6" width="26" customWidth="1"/>
    <col min="7" max="7" width="10" customWidth="1"/>
    <col min="8" max="8" width="12" customWidth="1"/>
    <col min="9" max="9" width="16" customWidth="1"/>
    <col min="10" max="10" width="14" customWidth="1"/>
    <col min="11" max="11" width="20" customWidth="1"/>
    <col min="12" max="12" width="22" customWidth="1"/>
  </cols>
  <sheetData>
    <row r="1" ht="45" customHeight="1" spans="1:12" x14ac:dyDescent="0.25">
      <c r="A1" s="4" t="s">
        <v>66</v>
      </c>
      <c r="B1" s="4" t="s">
        <v>69</v>
      </c>
      <c r="C1" s="4" t="s">
        <v>70</v>
      </c>
      <c r="D1" s="4" t="s">
        <v>6</v>
      </c>
      <c r="E1" s="4" t="s">
        <v>2</v>
      </c>
      <c r="F1" s="4" t="s">
        <v>5</v>
      </c>
      <c r="G1" s="4" t="s">
        <v>3</v>
      </c>
      <c r="H1" s="4" t="s">
        <v>7</v>
      </c>
      <c r="I1" s="4" t="s">
        <v>71</v>
      </c>
      <c r="J1" s="5" t="s">
        <v>72</v>
      </c>
      <c r="K1" s="5" t="s">
        <v>73</v>
      </c>
      <c r="L1" s="5" t="s">
        <v>74</v>
      </c>
    </row>
    <row r="2" spans="1:12" x14ac:dyDescent="0.25">
      <c r="A2" s="6">
        <v>46032</v>
      </c>
      <c r="C2" t="s">
        <v>75</v>
      </c>
      <c r="D2" t="s">
        <v>15</v>
      </c>
      <c r="E2" t="s">
        <v>10</v>
      </c>
      <c r="G2" t="s">
        <v>11</v>
      </c>
      <c r="H2" t="s">
        <v>16</v>
      </c>
      <c r="I2" s="7">
        <v>50</v>
      </c>
      <c r="J2" s="8" t="str">
        <f>IF(H2="","",IFERROR(VLOOKUP(H2,Listas!$J$2:$K$5000,2,FALSE),""))</f>
        <v>Caixa</v>
      </c>
      <c r="K2" s="9">
        <f>IF(OR(I2="",G2=""),"",IF(G2="Saída",-I2,I2))</f>
        <v>50</v>
      </c>
      <c r="L2" s="8" t="str">
        <f>IF(E2="","",IFERROR(VLOOKUP(E2,Listas!$A$2:$C$5000,3,FALSE),""))</f>
        <v>Sim</v>
      </c>
    </row>
  </sheetData>
  <autoFilter ref="A1:L5000"/>
  <conditionalFormatting sqref="F2:F5000">
    <cfRule type="expression" dxfId="0" priority="1">
      <formula>AND($F2&lt;&gt;"",COUNTIFS(Listas!$E$2:$E$5000,$F2,Listas!$F$2:$F$5000,$E2)=0)</formula>
    </cfRule>
  </conditionalFormatting>
  <dataValidations count="6"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E2:E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F2:F5000">
      <formula1>OFFSET(Listas!$E$2,MATCH($E2,Listas!$F$2:$F$5000,0)-1,0,COUNTIF(Listas!$F$2:$F$5000,$E2),1)</formula1>
    </dataValidation>
    <dataValidation type="list" allowBlank="1" showInputMessage="1" promptTitle="Tipo" prompt="Entrada: o dinheiro entrou. Saída: o dinheiro saiu." showErrorMessage="1" errorStyle="stop" errorTitle="Valor fora da lista" error="Escolha Entrada ou Saída." sqref="G2:G5000">
      <formula1>"Entrada,Saída"</formula1>
    </dataValidation>
    <dataValidation type="list" allowBlank="1" showInputMessage="1" promptTitle="Meio" prompt="Escolha como o dinheiro entrou ou saiu." showErrorMessage="1" errorStyle="stop" errorTitle="Valor fora da lista" error="Escolha um meio da lista (separador Listas)." sqref="H2:H5000">
      <formula1>Listas!$J$2:$J$5000</formula1>
    </dataValidation>
    <dataValidation type="custom" allowBlank="1" showInputMessage="1" promptTitle="Calculado sozinho" prompt="Não escreva nesta coluna." sqref="J2:L5000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20" customWidth="1"/>
    <col min="5" max="5" width="16" customWidth="1"/>
    <col min="6" max="7" width="13" customWidth="1"/>
    <col min="8" max="8" width="36" customWidth="1"/>
  </cols>
  <sheetData>
    <row r="1" ht="45" customHeight="1" spans="1:8" x14ac:dyDescent="0.25">
      <c r="A1" s="4" t="s">
        <v>3</v>
      </c>
      <c r="B1" s="4" t="s">
        <v>76</v>
      </c>
      <c r="C1" s="4" t="s">
        <v>70</v>
      </c>
      <c r="D1" s="4" t="s">
        <v>6</v>
      </c>
      <c r="E1" s="4" t="s">
        <v>71</v>
      </c>
      <c r="F1" s="4" t="s">
        <v>77</v>
      </c>
      <c r="G1" s="4" t="s">
        <v>78</v>
      </c>
      <c r="H1" s="4" t="s">
        <v>79</v>
      </c>
    </row>
  </sheetData>
  <autoFilter ref="A1:H5000"/>
  <dataValidations count="2">
    <dataValidation type="list" allowBlank="1" showInputMessage="1" promptTitle="Tipo" prompt="A receber: alguém nos deve. A pagar: nós devemos." showErrorMessage="1" errorStyle="stop" errorTitle="Valor fora da lista" error="Escolha A receber ou A pagar." sqref="A2:A5000">
      <formula1>"A receber,A pagar"</formula1>
    </dataValidation>
    <dataValidation type="list" allowBlank="1" showInputMessage="1" promptTitle="Atividade" prompt="Escolha a atividade na lista." showErrorMessage="1" errorStyle="stop" errorTitle="Valor fora da lista" error="Escolha uma atividade da lista (separador Listas)." sqref="D2:D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30" customWidth="1"/>
    <col min="4" max="4" width="26" customWidth="1"/>
    <col min="5" max="5" width="16" customWidth="1"/>
  </cols>
  <sheetData>
    <row r="1" ht="45" customHeight="1" spans="1:5" x14ac:dyDescent="0.25">
      <c r="A1" s="4" t="s">
        <v>80</v>
      </c>
      <c r="B1" s="4" t="s">
        <v>3</v>
      </c>
      <c r="C1" s="4" t="s">
        <v>2</v>
      </c>
      <c r="D1" s="4" t="s">
        <v>5</v>
      </c>
      <c r="E1" s="4" t="s">
        <v>81</v>
      </c>
    </row>
    <row r="2" spans="1:5" x14ac:dyDescent="0.25">
      <c r="A2" t="s">
        <v>15</v>
      </c>
      <c r="B2" t="s">
        <v>11</v>
      </c>
      <c r="C2" t="s">
        <v>10</v>
      </c>
      <c r="E2" s="7">
        <v>100</v>
      </c>
    </row>
  </sheetData>
  <autoFilter ref="A1:E5000"/>
  <conditionalFormatting sqref="D2:D5000">
    <cfRule type="expression" dxfId="1" priority="1">
      <formula>AND($D2&lt;&gt;"",COUNTIFS(Listas!$E$2:$E$5000,$D2,Listas!$F$2:$F$5000,$C2)=0)</formula>
    </cfRule>
  </conditionalFormatting>
  <dataValidations count="4">
    <dataValidation type="list" allowBlank="1" showInputMessage="1" promptTitle="Âmbito" prompt="Escolha um orçamento da lista. Para criar um novo, acrescente o nome na coluna Orçamento do separador Listas." showErrorMessage="1" errorStyle="stop" errorTitle="Valor fora da lista" error="Escolha um orçamento da lista (separador Listas)." sqref="A2:A5000">
      <formula1>Listas!$M$2:$M$5000</formula1>
    </dataValidation>
    <dataValidation type="list" allowBlank="1" showInputMessage="1" promptTitle="Tipo" prompt="Entrada: receita orçada. Saída: despesa orçada." showErrorMessage="1" errorStyle="stop" errorTitle="Valor fora da lista" error="Escolha Entrada ou Saída." sqref="B2:B5000">
      <formula1>"Entrada,Saída"</formula1>
    </dataValidation>
    <dataValidation type="list" allowBlank="1" showInputMessage="1" promptTitle="Rubrica" prompt="Escolha a rubrica na lista." showErrorMessage="1" errorStyle="stop" errorTitle="Valor fora da lista" error="Escolha uma rubrica da lista (separador Listas)." sqref="C2:C5000">
      <formula1>Listas!$A$2:$A$5000</formula1>
    </dataValidation>
    <dataValidation type="list" allowBlank="1" showInputMessage="1" promptTitle="Sub-rubrica" prompt="A lista mostra só as sub-rubricas da rubrica escolhida. Escolha primeiro a rubrica. Pode deixar em branco." showErrorMessage="1" errorStyle="warning" errorTitle="Valor fora da lista" error="Esta sub-rubrica não pertence à rubrica escolhida. Confirme a rubrica e a sub-rubrica." sqref="D2:D5000">
      <formula1>OFFSET(Listas!$E$2,MATCH($C2,Listas!$F$2:$F$5000,0)-1,0,COUNTIF(Listas!$F$2:$F$5000,$C2),1)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3" width="28" customWidth="1"/>
    <col min="4" max="4" width="14" customWidth="1"/>
    <col min="5" max="5" width="10" customWidth="1"/>
    <col min="6" max="6" width="16" customWidth="1"/>
  </cols>
  <sheetData>
    <row r="1" ht="45" customHeight="1" spans="1:6" x14ac:dyDescent="0.25">
      <c r="A1" s="4" t="s">
        <v>66</v>
      </c>
      <c r="B1" s="4" t="s">
        <v>6</v>
      </c>
      <c r="C1" s="4" t="s">
        <v>3</v>
      </c>
      <c r="D1" s="4" t="s">
        <v>82</v>
      </c>
      <c r="E1" s="4" t="s">
        <v>83</v>
      </c>
      <c r="F1" s="4" t="s">
        <v>84</v>
      </c>
    </row>
  </sheetData>
  <autoFilter ref="A1:F5000"/>
  <dataValidations count="1">
    <dataValidation type="list" allowBlank="1" showInputMessage="1" promptTitle="Atividade" prompt="Escolha a atividade na lista." showErrorMessage="1" errorStyle="stop" errorTitle="Valor fora da lista" error="Escolha uma atividade da lista (separador Listas)." sqref="B2:B5000">
      <formula1>Listas!$H$2:$H$5000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86</v>
      </c>
    </row>
    <row r="2" spans="1:2" x14ac:dyDescent="0.25">
      <c r="A2" s="10" t="s">
        <v>87</v>
      </c>
      <c r="B2" s="12">
        <v>1</v>
      </c>
    </row>
    <row r="4" spans="1:2" x14ac:dyDescent="0.25">
      <c r="A4" s="10" t="s">
        <v>6</v>
      </c>
      <c r="B4" s="11" t="s">
        <v>15</v>
      </c>
    </row>
    <row r="5" spans="1:3" x14ac:dyDescent="0.25">
      <c r="A5" s="10" t="s">
        <v>88</v>
      </c>
      <c r="B5" s="13">
        <v>46032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>
        <v>46033</v>
      </c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/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86</v>
      </c>
    </row>
    <row r="2" spans="1:2" x14ac:dyDescent="0.25">
      <c r="A2" s="10" t="s">
        <v>87</v>
      </c>
      <c r="B2" s="12">
        <v>1</v>
      </c>
    </row>
    <row r="4" spans="1:2" x14ac:dyDescent="0.25">
      <c r="A4" s="10" t="s">
        <v>6</v>
      </c>
      <c r="B4" s="11"/>
    </row>
    <row r="5" spans="1:3" x14ac:dyDescent="0.25">
      <c r="A5" s="10" t="s">
        <v>88</v>
      </c>
      <c r="B5" s="13">
        <v>46032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/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/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86</v>
      </c>
    </row>
    <row r="2" spans="1:2" x14ac:dyDescent="0.25">
      <c r="A2" s="10" t="s">
        <v>87</v>
      </c>
      <c r="B2" s="12">
        <v>1</v>
      </c>
    </row>
    <row r="4" spans="1:2" x14ac:dyDescent="0.25">
      <c r="A4" s="10" t="s">
        <v>6</v>
      </c>
      <c r="B4" s="11" t="s">
        <v>15</v>
      </c>
    </row>
    <row r="5" spans="1:3" x14ac:dyDescent="0.25">
      <c r="A5" s="10" t="s">
        <v>88</v>
      </c>
      <c r="B5" s="13" t="s">
        <v>107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>
        <v>46037</v>
      </c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/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86</v>
      </c>
    </row>
    <row r="2" spans="1:2" x14ac:dyDescent="0.25">
      <c r="A2" s="10" t="s">
        <v>87</v>
      </c>
      <c r="B2" s="12">
        <v>1</v>
      </c>
    </row>
    <row r="4" spans="1:2" x14ac:dyDescent="0.25">
      <c r="A4" s="10" t="s">
        <v>6</v>
      </c>
      <c r="B4" s="11" t="s">
        <v>15</v>
      </c>
    </row>
    <row r="5" spans="1:3" x14ac:dyDescent="0.25">
      <c r="A5" s="10" t="s">
        <v>88</v>
      </c>
      <c r="B5" s="13" t="s">
        <v>108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>
        <v>46038</v>
      </c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/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86</v>
      </c>
    </row>
    <row r="2" spans="1:2" x14ac:dyDescent="0.25">
      <c r="A2" s="10" t="s">
        <v>87</v>
      </c>
      <c r="B2" s="12">
        <v>1</v>
      </c>
    </row>
    <row r="4" spans="1:2" x14ac:dyDescent="0.25">
      <c r="A4" s="10" t="s">
        <v>6</v>
      </c>
      <c r="B4" s="11">
        <f>A9</f>
      </c>
    </row>
    <row r="5" spans="1:3" x14ac:dyDescent="0.25">
      <c r="A5" s="10" t="s">
        <v>88</v>
      </c>
      <c r="B5" s="13">
        <v>46032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/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/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86</v>
      </c>
    </row>
    <row r="2" spans="1:2" x14ac:dyDescent="0.25">
      <c r="A2" s="10" t="s">
        <v>87</v>
      </c>
      <c r="B2" s="12">
        <v>1</v>
      </c>
    </row>
    <row r="4" spans="1:2" x14ac:dyDescent="0.25">
      <c r="A4" s="10" t="s">
        <v>6</v>
      </c>
      <c r="B4" s="11" t="s">
        <v>15</v>
      </c>
    </row>
    <row r="5" spans="1:3" x14ac:dyDescent="0.25">
      <c r="A5" s="10" t="s">
        <v>88</v>
      </c>
      <c r="B5" s="13">
        <v>46032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>
        <v>46034</v>
      </c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 t="s">
        <v>109</v>
      </c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86</v>
      </c>
    </row>
    <row r="2" spans="1:2" x14ac:dyDescent="0.25">
      <c r="A2" s="10" t="s">
        <v>87</v>
      </c>
      <c r="B2" s="12">
        <v>2</v>
      </c>
    </row>
    <row r="4" spans="1:2" x14ac:dyDescent="0.25">
      <c r="A4" s="10" t="s">
        <v>6</v>
      </c>
      <c r="B4" s="11" t="s">
        <v>15</v>
      </c>
    </row>
    <row r="5" spans="1:3" x14ac:dyDescent="0.25">
      <c r="A5" s="10" t="s">
        <v>88</v>
      </c>
      <c r="B5" s="13">
        <v>46032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>
        <v>46035</v>
      </c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/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110</v>
      </c>
    </row>
    <row r="2" spans="1:2" x14ac:dyDescent="0.25">
      <c r="A2" s="10" t="s">
        <v>87</v>
      </c>
      <c r="B2" s="12">
        <v>1</v>
      </c>
    </row>
    <row r="4" spans="1:2" x14ac:dyDescent="0.25">
      <c r="A4" s="10" t="s">
        <v>6</v>
      </c>
      <c r="B4" s="11" t="s">
        <v>15</v>
      </c>
    </row>
    <row r="5" spans="1:3" x14ac:dyDescent="0.25">
      <c r="A5" s="10" t="s">
        <v>88</v>
      </c>
      <c r="B5" s="13">
        <v>46032</v>
      </c>
      <c r="C5" s="14" t="s">
        <v>89</v>
      </c>
    </row>
    <row r="6" spans="1:2" x14ac:dyDescent="0.25">
      <c r="A6" s="10" t="s">
        <v>90</v>
      </c>
      <c r="B6" s="13">
        <v>46032</v>
      </c>
    </row>
    <row r="7" spans="1:3" x14ac:dyDescent="0.25">
      <c r="A7" s="10" t="s">
        <v>91</v>
      </c>
      <c r="B7" s="13">
        <v>46036</v>
      </c>
      <c r="C7" s="14" t="s">
        <v>92</v>
      </c>
    </row>
    <row r="8" spans="1:3" x14ac:dyDescent="0.25">
      <c r="A8" s="10" t="s">
        <v>93</v>
      </c>
      <c r="B8" s="13"/>
      <c r="C8" s="14" t="s">
        <v>94</v>
      </c>
    </row>
    <row r="9" spans="1:3" x14ac:dyDescent="0.25">
      <c r="A9" s="10" t="s">
        <v>95</v>
      </c>
      <c r="B9" s="11"/>
      <c r="C9" s="14" t="s">
        <v>96</v>
      </c>
    </row>
    <row r="11" spans="1:1" x14ac:dyDescent="0.25">
      <c r="A11" s="15" t="s">
        <v>97</v>
      </c>
    </row>
    <row r="12" spans="1:2" x14ac:dyDescent="0.25">
      <c r="A12" s="4" t="s">
        <v>98</v>
      </c>
      <c r="B12" s="4" t="s">
        <v>99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8" ht="18" customHeight="1" spans="1:2" x14ac:dyDescent="0.25">
      <c r="A18" s="11"/>
      <c r="B18" s="11"/>
    </row>
    <row r="19" ht="18" customHeight="1" spans="1:2" x14ac:dyDescent="0.25">
      <c r="A19" s="11"/>
      <c r="B19" s="11"/>
    </row>
    <row r="20" ht="18" customHeight="1" spans="1:2" x14ac:dyDescent="0.25">
      <c r="A20" s="11"/>
      <c r="B20" s="11"/>
    </row>
    <row r="22" spans="1:3" x14ac:dyDescent="0.25">
      <c r="A22" s="15" t="s">
        <v>79</v>
      </c>
      <c r="C22" s="14" t="s">
        <v>100</v>
      </c>
    </row>
    <row r="23" ht="18" customHeight="1" spans="1:1" x14ac:dyDescent="0.25">
      <c r="A23" s="11"/>
    </row>
    <row r="24" ht="18" customHeight="1" spans="1:1" x14ac:dyDescent="0.25">
      <c r="A24" s="11"/>
    </row>
    <row r="25" ht="18" customHeight="1" spans="1:1" x14ac:dyDescent="0.25">
      <c r="A25" s="11"/>
    </row>
    <row r="26" ht="18" customHeight="1" spans="1:1" x14ac:dyDescent="0.25">
      <c r="A26" s="11"/>
    </row>
    <row r="27" ht="18" customHeight="1" spans="1:1" x14ac:dyDescent="0.25">
      <c r="A27" s="11"/>
    </row>
    <row r="29" spans="1:3" x14ac:dyDescent="0.25">
      <c r="A29" s="15" t="s">
        <v>101</v>
      </c>
      <c r="C29" s="14" t="s">
        <v>102</v>
      </c>
    </row>
    <row r="30" spans="1:2" x14ac:dyDescent="0.25">
      <c r="A30" s="4" t="s">
        <v>103</v>
      </c>
      <c r="B30" s="4" t="s">
        <v>104</v>
      </c>
    </row>
    <row r="31" spans="1:2" x14ac:dyDescent="0.25">
      <c r="A31" s="16" t="s">
        <v>105</v>
      </c>
      <c r="B31" s="11"/>
    </row>
    <row r="32" spans="1:2" x14ac:dyDescent="0.25">
      <c r="A32" s="16" t="s">
        <v>106</v>
      </c>
      <c r="B32" s="11"/>
    </row>
  </sheetData>
  <dataValidations count="3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  <dataValidation type="list" allowBlank="1" showInputMessage="1" promptTitle="Atividade" prompt="Escolha uma atividade da lista." showErrorMessage="1" errorStyle="stop" errorTitle="Valor fora da lista" error="Escolha uma atividade da lista (separador Listas)." sqref="B4">
      <formula1>Listas!$H$2:$H$5000</formula1>
    </dataValidation>
    <dataValidation type="list" allowBlank="1" showInputMessage="1" promptTitle="Orçamento a usar" prompt="Escolha um orçamento da lista, ou deixe em branco." showErrorMessage="1" errorStyle="stop" errorTitle="Valor fora da lista" error="Escolha um orçamento da lista (separador Listas)." sqref="B9">
      <formula1>Listas!$M$2:$M$5000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FormatPr defaultRowHeight="15" outlineLevelRow="0" outlineLevelCol="0" x14ac:dyDescent="55"/>
  <cols>
    <col min="1" max="1" width="46" customWidth="1"/>
    <col min="2" max="2" width="34" customWidth="1"/>
    <col min="3" max="3" width="56" customWidth="1"/>
  </cols>
  <sheetData>
    <row r="1" spans="1:2" x14ac:dyDescent="0.25">
      <c r="A1" s="10" t="s">
        <v>85</v>
      </c>
      <c r="B1" s="11" t="s">
        <v>111</v>
      </c>
    </row>
    <row r="2" spans="1:2" x14ac:dyDescent="0.25">
      <c r="A2" s="10" t="s">
        <v>87</v>
      </c>
      <c r="B2" s="12">
        <v>1</v>
      </c>
    </row>
    <row r="4" spans="1:3" x14ac:dyDescent="0.25">
      <c r="A4" s="10" t="s">
        <v>112</v>
      </c>
      <c r="B4" s="13">
        <v>46022</v>
      </c>
      <c r="C4" s="14" t="s">
        <v>113</v>
      </c>
    </row>
    <row r="5" spans="1:2" x14ac:dyDescent="0.25">
      <c r="A5" s="10" t="s">
        <v>114</v>
      </c>
      <c r="B5" s="13">
        <v>46053</v>
      </c>
    </row>
    <row r="6" spans="1:2" x14ac:dyDescent="0.25">
      <c r="A6" s="10" t="s">
        <v>115</v>
      </c>
      <c r="B6" s="11" t="s">
        <v>115</v>
      </c>
    </row>
    <row r="7" spans="1:2" x14ac:dyDescent="0.25">
      <c r="A7" s="10" t="s">
        <v>116</v>
      </c>
      <c r="B7" s="11" t="s">
        <v>116</v>
      </c>
    </row>
    <row r="8" spans="1:2" x14ac:dyDescent="0.25">
      <c r="A8" s="10" t="s">
        <v>117</v>
      </c>
      <c r="B8" s="17">
        <v>0</v>
      </c>
    </row>
    <row r="9" spans="1:3" x14ac:dyDescent="0.25">
      <c r="A9" s="10" t="s">
        <v>118</v>
      </c>
      <c r="B9" s="17"/>
      <c r="C9" s="14" t="s">
        <v>119</v>
      </c>
    </row>
    <row r="11" spans="1:3" x14ac:dyDescent="0.25">
      <c r="A11" s="15" t="s">
        <v>120</v>
      </c>
      <c r="C11" s="14" t="s">
        <v>121</v>
      </c>
    </row>
    <row r="12" spans="1:2" x14ac:dyDescent="0.25">
      <c r="A12" s="4" t="s">
        <v>70</v>
      </c>
      <c r="B12" s="4" t="s">
        <v>71</v>
      </c>
    </row>
    <row r="13" ht="18" customHeight="1" spans="1:2" x14ac:dyDescent="0.25">
      <c r="A13" s="11"/>
      <c r="B13" s="11"/>
    </row>
    <row r="14" ht="18" customHeight="1" spans="1:2" x14ac:dyDescent="0.25">
      <c r="A14" s="11"/>
      <c r="B14" s="11"/>
    </row>
    <row r="15" ht="18" customHeight="1" spans="1:2" x14ac:dyDescent="0.25">
      <c r="A15" s="11"/>
      <c r="B15" s="11"/>
    </row>
    <row r="16" ht="18" customHeight="1" spans="1:2" x14ac:dyDescent="0.25">
      <c r="A16" s="11"/>
      <c r="B16" s="11"/>
    </row>
    <row r="17" ht="18" customHeight="1" spans="1:2" x14ac:dyDescent="0.25">
      <c r="A17" s="11"/>
      <c r="B17" s="11"/>
    </row>
    <row r="19" spans="1:3" x14ac:dyDescent="0.25">
      <c r="A19" s="15" t="s">
        <v>122</v>
      </c>
      <c r="C19" s="14" t="s">
        <v>123</v>
      </c>
    </row>
    <row r="20" spans="1:2" x14ac:dyDescent="0.25">
      <c r="A20" s="4" t="s">
        <v>70</v>
      </c>
      <c r="B20" s="4" t="s">
        <v>71</v>
      </c>
    </row>
    <row r="21" ht="18" customHeight="1" spans="1:2" x14ac:dyDescent="0.25">
      <c r="A21" s="11"/>
      <c r="B21" s="11"/>
    </row>
    <row r="22" ht="18" customHeight="1" spans="1:2" x14ac:dyDescent="0.25">
      <c r="A22" s="11"/>
      <c r="B22" s="11"/>
    </row>
    <row r="23" ht="18" customHeight="1" spans="1:2" x14ac:dyDescent="0.25">
      <c r="A23" s="11"/>
      <c r="B23" s="11"/>
    </row>
    <row r="24" ht="18" customHeight="1" spans="1:2" x14ac:dyDescent="0.25">
      <c r="A24" s="11"/>
      <c r="B24" s="11"/>
    </row>
    <row r="25" ht="18" customHeight="1" spans="1:2" x14ac:dyDescent="0.25">
      <c r="A25" s="11"/>
      <c r="B25" s="11"/>
    </row>
    <row r="27" spans="1:1" x14ac:dyDescent="0.25">
      <c r="A27" s="15" t="s">
        <v>124</v>
      </c>
    </row>
    <row r="28" spans="1:3" x14ac:dyDescent="0.25">
      <c r="A28" s="4" t="s">
        <v>125</v>
      </c>
      <c r="B28" s="4" t="s">
        <v>82</v>
      </c>
      <c r="C28" s="4" t="s">
        <v>126</v>
      </c>
    </row>
    <row r="29" spans="1:3" x14ac:dyDescent="0.25">
      <c r="A29" s="18">
        <v>500</v>
      </c>
      <c r="B29" s="12"/>
      <c r="C29" s="19">
        <f>A29*B29</f>
        <v>0</v>
      </c>
    </row>
    <row r="30" spans="1:3" x14ac:dyDescent="0.25">
      <c r="A30" s="18">
        <v>200</v>
      </c>
      <c r="B30" s="12"/>
      <c r="C30" s="19">
        <f>A30*B30</f>
        <v>0</v>
      </c>
    </row>
    <row r="31" spans="1:3" x14ac:dyDescent="0.25">
      <c r="A31" s="18">
        <v>25</v>
      </c>
      <c r="B31" s="12"/>
      <c r="C31" s="19">
        <f>A31*B31</f>
        <v>0</v>
      </c>
    </row>
    <row r="32" spans="1:3" x14ac:dyDescent="0.25">
      <c r="A32" s="18">
        <v>50</v>
      </c>
      <c r="B32" s="12"/>
      <c r="C32" s="19">
        <f>A32*B32</f>
        <v>0</v>
      </c>
    </row>
    <row r="33" spans="1:3" x14ac:dyDescent="0.25">
      <c r="A33" s="18">
        <v>20</v>
      </c>
      <c r="B33" s="12"/>
      <c r="C33" s="19">
        <f>A33*B33</f>
        <v>0</v>
      </c>
    </row>
    <row r="34" spans="1:3" x14ac:dyDescent="0.25">
      <c r="A34" s="18">
        <v>10</v>
      </c>
      <c r="B34" s="12"/>
      <c r="C34" s="19">
        <f>A34*B34</f>
        <v>0</v>
      </c>
    </row>
    <row r="35" spans="1:3" x14ac:dyDescent="0.25">
      <c r="A35" s="18">
        <v>5</v>
      </c>
      <c r="B35" s="12"/>
      <c r="C35" s="19">
        <f>A35*B35</f>
        <v>0</v>
      </c>
    </row>
    <row r="36" spans="1:3" x14ac:dyDescent="0.25">
      <c r="A36" s="18">
        <v>2</v>
      </c>
      <c r="B36" s="12"/>
      <c r="C36" s="19">
        <f>A36*B36</f>
        <v>0</v>
      </c>
    </row>
    <row r="37" spans="1:3" x14ac:dyDescent="0.25">
      <c r="A37" s="18">
        <v>1</v>
      </c>
      <c r="B37" s="12"/>
      <c r="C37" s="19">
        <f>A37*B37</f>
        <v>0</v>
      </c>
    </row>
    <row r="38" spans="1:3" x14ac:dyDescent="0.25">
      <c r="A38" s="18">
        <v>0.5</v>
      </c>
      <c r="B38" s="12"/>
      <c r="C38" s="19">
        <f>A38*B38</f>
        <v>0</v>
      </c>
    </row>
    <row r="39" spans="1:3" x14ac:dyDescent="0.25">
      <c r="A39" s="18">
        <v>0.2</v>
      </c>
      <c r="B39" s="12"/>
      <c r="C39" s="19">
        <f>A39*B39</f>
        <v>0</v>
      </c>
    </row>
    <row r="40" spans="1:3" x14ac:dyDescent="0.25">
      <c r="A40" s="18">
        <v>0.1</v>
      </c>
      <c r="B40" s="12"/>
      <c r="C40" s="19">
        <f>A40*B40</f>
        <v>0</v>
      </c>
    </row>
    <row r="41" spans="1:3" x14ac:dyDescent="0.25">
      <c r="A41" s="18">
        <v>0.05</v>
      </c>
      <c r="B41" s="12"/>
      <c r="C41" s="19">
        <f>A41*B41</f>
        <v>0</v>
      </c>
    </row>
    <row r="42" spans="1:3" x14ac:dyDescent="0.25">
      <c r="A42" s="18">
        <v>0.02</v>
      </c>
      <c r="B42" s="12"/>
      <c r="C42" s="19">
        <f>A42*B42</f>
        <v>0</v>
      </c>
    </row>
    <row r="43" spans="1:3" x14ac:dyDescent="0.25">
      <c r="A43" s="18">
        <v>0.01</v>
      </c>
      <c r="B43" s="12"/>
      <c r="C43" s="19">
        <f>A43*B43</f>
        <v>0</v>
      </c>
    </row>
    <row r="45" spans="1:3" x14ac:dyDescent="0.25">
      <c r="A45" s="15" t="s">
        <v>79</v>
      </c>
      <c r="C45" s="14" t="s">
        <v>100</v>
      </c>
    </row>
    <row r="46" ht="18" customHeight="1" spans="1:1" x14ac:dyDescent="0.25">
      <c r="A46" s="11"/>
    </row>
    <row r="47" ht="18" customHeight="1" spans="1:1" x14ac:dyDescent="0.25">
      <c r="A47" s="11"/>
    </row>
    <row r="48" ht="18" customHeight="1" spans="1:1" x14ac:dyDescent="0.25">
      <c r="A48" s="11"/>
    </row>
    <row r="49" ht="18" customHeight="1" spans="1:1" x14ac:dyDescent="0.25">
      <c r="A49" s="11"/>
    </row>
    <row r="50" ht="18" customHeight="1" spans="1:1" x14ac:dyDescent="0.25">
      <c r="A50" s="11"/>
    </row>
    <row r="52" spans="1:3" x14ac:dyDescent="0.25">
      <c r="A52" s="15" t="s">
        <v>101</v>
      </c>
      <c r="C52" s="14" t="s">
        <v>102</v>
      </c>
    </row>
    <row r="53" spans="1:2" x14ac:dyDescent="0.25">
      <c r="A53" s="4" t="s">
        <v>103</v>
      </c>
      <c r="B53" s="4" t="s">
        <v>104</v>
      </c>
    </row>
    <row r="54" spans="1:2" x14ac:dyDescent="0.25">
      <c r="A54" s="16" t="s">
        <v>115</v>
      </c>
      <c r="B54" s="11"/>
    </row>
    <row r="55" spans="1:2" x14ac:dyDescent="0.25">
      <c r="A55" s="16" t="s">
        <v>116</v>
      </c>
      <c r="B55" s="11"/>
    </row>
    <row r="56" spans="1:2" x14ac:dyDescent="0.25">
      <c r="A56" s="16" t="s">
        <v>127</v>
      </c>
      <c r="B56" s="11"/>
    </row>
  </sheetData>
  <dataValidations count="1">
    <dataValidation type="list" allowBlank="1" showInputMessage="1" promptTitle="Tipo de relatório" prompt="Escolha o tipo na lista." showErrorMessage="1" errorStyle="stop" errorTitle="Valor fora da lista" error="Escolha um dos tipos de relatório da lista." sqref="B1">
      <formula1>"Pegada de direção,Relatório de evento,Fim de ano letivo,Fim de ano fiscal"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Instruções</vt:lpstr>
      <vt:lpstr>Listas</vt:lpstr>
      <vt:lpstr>Saldos</vt:lpstr>
      <vt:lpstr>Movimentos</vt:lpstr>
      <vt:lpstr>Pendentes</vt:lpstr>
      <vt:lpstr>Orçamento</vt:lpstr>
      <vt:lpstr>Géneros</vt:lpstr>
      <vt:lpstr>Válida</vt:lpstr>
      <vt:lpstr>Sem atividade</vt:lpstr>
      <vt:lpstr>Data inválida</vt:lpstr>
      <vt:lpstr>Data em texto</vt:lpstr>
      <vt:lpstr>Fórmula sem valor</vt:lpstr>
      <vt:lpstr>Orçamento desconhecido</vt:lpstr>
      <vt:lpstr>Versão nova</vt:lpstr>
      <vt:lpstr>Tipo desconhecido</vt:lpstr>
      <vt:lpstr>Denominação errada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TUNADÃO 1998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