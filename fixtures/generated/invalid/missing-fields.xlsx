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<sst xmlns="http://schemas.openxmlformats.org/spreadsheetml/2006/main" count="174" uniqueCount="86">
  <si>
    <t>Ficheiro de teste com erros propositados</t>
  </si>
  <si>
    <t>Dados inventados que reproduzem classes de erros reais.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</si>
  <si>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</si>
  <si>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</si>
  <si>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</si>
  <si>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</si>
  <si>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</si>
  <si>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</si>
  <si>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</si>
  <si>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</si>
  <si>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</si>
  <si>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</si>
  <si>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</si>
  <si>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</si>
  <si>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</si>
  <si>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</si>
  <si>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</si>
  <si>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Donativos</t>
  </si>
  <si>
    <t>Apoio UPV (via AE ESAV)</t>
  </si>
  <si>
    <t>Zumba na Caneca</t>
  </si>
  <si>
    <t>Banco</t>
  </si>
  <si>
    <t>Apoio Junta de Freguesia</t>
  </si>
  <si>
    <t>20º CITADÃO</t>
  </si>
  <si>
    <t>MB Way</t>
  </si>
  <si>
    <t>Atuações e serenatas</t>
  </si>
  <si>
    <t>Inscrições de tunas</t>
  </si>
  <si>
    <t>Inscrições e bilheteira</t>
  </si>
  <si>
    <t>Festivais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</si>
  <si>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</si>
  <si>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</si>
  <si>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</si>
  <si>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</si>
  <si>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</si>
  <si>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</si>
  <si>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</si>
  <si>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</si>
  <si>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</si>
  <si>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</si>
  <si>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</si>
  <si>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</si>
  <si>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</si>
  <si>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</si>
  <si>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</si>
  <si>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</si>
  <si>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</si>
  <si>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</si>
  <si>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</si>
  <si>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</si>
  <si>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</si>
  <si>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</si>
  <si>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</si>
  <si>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</si>
  <si>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</si>
  <si>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</si>
  <si>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</si>
  <si>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</si>
  <si>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</si>
  <si>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</si>
  <si>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</si>
  <si>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</si>
  <si>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</si>
  <si>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</si>
  <si>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</si>
  <si>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</si>
  <si>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</si>
  <si>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</si>
  <si>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</si>
  <si>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</si>
  <si>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</si>
  <si>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</si>
  <si>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</si>
  <si>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</si>
  <si>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</si>
  <si>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</si>
  <si>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</si>
  <si>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Quotas sem atividade</t>
  </si>
  <si>
    <t>Compra sem meio de pagamento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</si>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</sst>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4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1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</row>
    <row r="3" spans="1:11" x14ac:dyDescent="0.25">
      <c r="A3" t="s">
        <v>17</v>
      </c>
      <c r="B3" t="s">
        <v>11</v>
      </c>
      <c r="C3" t="s">
        <v>12</v>
      </c>
      <c r="E3" t="s">
        <v>18</v>
      </c>
      <c r="F3" t="s">
        <v>14</v>
      </c>
      <c r="H3" t="s">
        <v>19</v>
      </c>
      <c r="J3" t="s">
        <v>20</v>
      </c>
      <c r="K3" t="s">
        <v>20</v>
      </c>
    </row>
    <row r="4" spans="1:11" x14ac:dyDescent="0.25">
      <c r="A4" t="s">
        <v>14</v>
      </c>
      <c r="B4" t="s">
        <v>11</v>
      </c>
      <c r="C4" t="s">
        <v>12</v>
      </c>
      <c r="E4" t="s">
        <v>21</v>
      </c>
      <c r="F4" t="s">
        <v>14</v>
      </c>
      <c r="H4" t="s">
        <v>22</v>
      </c>
      <c r="J4" t="s">
        <v>23</v>
      </c>
      <c r="K4" t="s">
        <v>20</v>
      </c>
    </row>
    <row r="5" spans="1:11" x14ac:dyDescent="0.25">
      <c r="A5" t="s">
        <v>24</v>
      </c>
      <c r="B5" t="s">
        <v>11</v>
      </c>
      <c r="C5" t="s">
        <v>12</v>
      </c>
      <c r="E5" t="s">
        <v>25</v>
      </c>
      <c r="F5" t="s">
        <v>26</v>
      </c>
      <c r="H5" t="s">
        <v>27</v>
      </c>
      <c r="J5" t="s">
        <v>28</v>
      </c>
      <c r="K5" t="s">
        <v>20</v>
      </c>
    </row>
    <row r="6" spans="1:6" x14ac:dyDescent="0.25">
      <c r="A6" t="s">
        <v>26</v>
      </c>
      <c r="B6" t="s">
        <v>11</v>
      </c>
      <c r="C6" t="s">
        <v>12</v>
      </c>
      <c r="E6" t="s">
        <v>29</v>
      </c>
      <c r="F6" t="s">
        <v>26</v>
      </c>
    </row>
    <row r="7" spans="1:6" x14ac:dyDescent="0.25">
      <c r="A7" t="s">
        <v>30</v>
      </c>
      <c r="B7" t="s">
        <v>11</v>
      </c>
      <c r="C7" t="s">
        <v>12</v>
      </c>
      <c r="E7" t="s">
        <v>31</v>
      </c>
      <c r="F7" t="s">
        <v>26</v>
      </c>
    </row>
    <row r="8" spans="1:6" x14ac:dyDescent="0.25">
      <c r="A8" t="s">
        <v>32</v>
      </c>
      <c r="B8" t="s">
        <v>11</v>
      </c>
      <c r="C8" t="s">
        <v>12</v>
      </c>
      <c r="E8" t="s">
        <v>33</v>
      </c>
      <c r="F8" t="s">
        <v>30</v>
      </c>
    </row>
    <row r="9" spans="1:6" x14ac:dyDescent="0.25">
      <c r="A9" t="s">
        <v>34</v>
      </c>
      <c r="B9" t="s">
        <v>11</v>
      </c>
      <c r="C9" t="s">
        <v>12</v>
      </c>
      <c r="E9" t="s">
        <v>35</v>
      </c>
      <c r="F9" t="s">
        <v>30</v>
      </c>
    </row>
    <row r="10" spans="1:6" x14ac:dyDescent="0.25">
      <c r="A10" t="s">
        <v>36</v>
      </c>
      <c r="B10" t="s">
        <v>37</v>
      </c>
      <c r="C10" t="s">
        <v>12</v>
      </c>
      <c r="E10" t="s">
        <v>38</v>
      </c>
      <c r="F10" t="s">
        <v>32</v>
      </c>
    </row>
    <row r="11" spans="1:6" x14ac:dyDescent="0.25">
      <c r="A11" t="s">
        <v>39</v>
      </c>
      <c r="B11" t="s">
        <v>37</v>
      </c>
      <c r="C11" t="s">
        <v>12</v>
      </c>
      <c r="E11" t="s">
        <v>40</v>
      </c>
      <c r="F11" t="s">
        <v>34</v>
      </c>
    </row>
    <row r="12" spans="1:6" x14ac:dyDescent="0.25">
      <c r="A12" t="s">
        <v>41</v>
      </c>
      <c r="B12" t="s">
        <v>37</v>
      </c>
      <c r="C12" t="s">
        <v>12</v>
      </c>
      <c r="E12" t="s">
        <v>42</v>
      </c>
      <c r="F12" t="s">
        <v>36</v>
      </c>
    </row>
    <row r="13" spans="1:6" x14ac:dyDescent="0.25">
      <c r="A13" t="s">
        <v>43</v>
      </c>
      <c r="B13" t="s">
        <v>37</v>
      </c>
      <c r="C13" t="s">
        <v>12</v>
      </c>
      <c r="E13" t="s">
        <v>44</v>
      </c>
      <c r="F13" t="s">
        <v>36</v>
      </c>
    </row>
    <row r="14" spans="1:6" x14ac:dyDescent="0.25">
      <c r="A14" t="s">
        <v>45</v>
      </c>
      <c r="B14" t="s">
        <v>37</v>
      </c>
      <c r="C14" t="s">
        <v>12</v>
      </c>
      <c r="E14" t="s">
        <v>46</v>
      </c>
      <c r="F14" t="s">
        <v>39</v>
      </c>
    </row>
    <row r="15" spans="1:6" x14ac:dyDescent="0.25">
      <c r="A15" t="s">
        <v>47</v>
      </c>
      <c r="B15" t="s">
        <v>37</v>
      </c>
      <c r="C15" t="s">
        <v>12</v>
      </c>
      <c r="E15" t="s">
        <v>48</v>
      </c>
      <c r="F15" t="s">
        <v>39</v>
      </c>
    </row>
    <row r="16" spans="1:6" x14ac:dyDescent="0.25">
      <c r="A16" t="s">
        <v>49</v>
      </c>
      <c r="B16" t="s">
        <v>37</v>
      </c>
      <c r="C16" t="s">
        <v>12</v>
      </c>
      <c r="E16" t="s">
        <v>50</v>
      </c>
      <c r="F16" t="s">
        <v>41</v>
      </c>
    </row>
    <row r="17" spans="1:6" x14ac:dyDescent="0.25">
      <c r="A17" t="s">
        <v>51</v>
      </c>
      <c r="B17" t="s">
        <v>37</v>
      </c>
      <c r="C17" t="s">
        <v>12</v>
      </c>
      <c r="E17" t="s">
        <v>52</v>
      </c>
      <c r="F17" t="s">
        <v>45</v>
      </c>
    </row>
    <row r="18" spans="1:6" x14ac:dyDescent="0.25">
      <c r="A18" t="s">
        <v>53</v>
      </c>
      <c r="B18" t="s">
        <v>37</v>
      </c>
      <c r="C18" t="s">
        <v>12</v>
      </c>
      <c r="E18" t="s">
        <v>54</v>
      </c>
      <c r="F18" t="s">
        <v>45</v>
      </c>
    </row>
    <row r="19" spans="1:6" x14ac:dyDescent="0.25">
      <c r="A19" t="s">
        <v>55</v>
      </c>
      <c r="B19" t="s">
        <v>37</v>
      </c>
      <c r="C19" t="s">
        <v>12</v>
      </c>
      <c r="E19" t="s">
        <v>56</v>
      </c>
      <c r="F19" t="s">
        <v>49</v>
      </c>
    </row>
    <row r="20" spans="1:6" x14ac:dyDescent="0.25">
      <c r="A20" t="s">
        <v>57</v>
      </c>
      <c r="B20" t="s">
        <v>37</v>
      </c>
      <c r="C20" t="s">
        <v>12</v>
      </c>
      <c r="E20" t="s">
        <v>58</v>
      </c>
      <c r="F20" t="s">
        <v>51</v>
      </c>
    </row>
    <row r="21" spans="1:6" x14ac:dyDescent="0.25">
      <c r="A21" t="s">
        <v>59</v>
      </c>
      <c r="B21" t="s">
        <v>60</v>
      </c>
      <c r="C21" t="s">
        <v>61</v>
      </c>
      <c r="E21" t="s">
        <v>62</v>
      </c>
      <c r="F21" t="s">
        <v>53</v>
      </c>
    </row>
    <row r="22" spans="5:6" x14ac:dyDescent="0.25">
      <c r="E22" t="s">
        <v>63</v>
      </c>
      <c r="F22" t="s">
        <v>53</v>
      </c>
    </row>
    <row r="23" spans="5:6" x14ac:dyDescent="0.25">
      <c r="E23" t="s">
        <v>64</v>
      </c>
      <c r="F23" t="s">
        <v>55</v>
      </c>
    </row>
    <row r="24" spans="5:6" x14ac:dyDescent="0.25">
      <c r="E24" t="s">
        <v>65</v>
      </c>
      <c r="F24" t="s">
        <v>57</v>
      </c>
    </row>
    <row r="25" spans="5:6" x14ac:dyDescent="0.25">
      <c r="E25" t="s">
        <v>40</v>
      </c>
      <c r="F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66</v>
      </c>
      <c r="B1" s="4" t="s">
        <v>8</v>
      </c>
      <c r="C1" s="4" t="s">
        <v>67</v>
      </c>
      <c r="D1" s="4" t="s">
        <v>68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66</v>
      </c>
      <c r="B1" s="4" t="s">
        <v>69</v>
      </c>
      <c r="C1" s="4" t="s">
        <v>70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71</v>
      </c>
      <c r="J1" s="5" t="s">
        <v>72</v>
      </c>
      <c r="K1" s="5" t="s">
        <v>73</v>
      </c>
      <c r="L1" s="5" t="s">
        <v>74</v>
      </c>
    </row>
    <row r="2" spans="1:12" x14ac:dyDescent="0.25">
      <c r="A2" s="6">
        <v>46032</v>
      </c>
      <c r="C2" t="s">
        <v>75</v>
      </c>
      <c r="E2" t="s">
        <v>10</v>
      </c>
      <c r="G2" t="s">
        <v>11</v>
      </c>
      <c r="H2" t="s">
        <v>16</v>
      </c>
      <c r="I2" s="7">
        <v>50</v>
      </c>
      <c r="J2" s="8" t="str">
        <f>IF(H2="","",IFERROR(VLOOKUP(H2,Listas!$J$2:$K$5000,2,FALSE),""))</f>
        <v>Caixa</v>
      </c>
      <c r="K2" s="9">
        <f>IF(OR(I2="",G2=""),"",IF(G2="Saída",-I2,I2))</f>
        <v>50</v>
      </c>
      <c r="L2" s="8" t="str">
        <f>IF(E2="","",IFERROR(VLOOKUP(E2,Listas!$A$2:$C$5000,3,FALSE),""))</f>
        <v>Sim</v>
      </c>
    </row>
    <row r="3" spans="1:12" x14ac:dyDescent="0.25">
      <c r="A3" s="6">
        <v>46034</v>
      </c>
      <c r="C3" t="s">
        <v>76</v>
      </c>
      <c r="D3" t="s">
        <v>15</v>
      </c>
      <c r="E3" t="s">
        <v>57</v>
      </c>
      <c r="G3" t="s">
        <v>37</v>
      </c>
      <c r="I3" s="7">
        <v>23.5</v>
      </c>
      <c r="J3" s="8" t="str">
        <f>IF(H3="","",IFERROR(VLOOKUP(H3,Listas!$J$2:$K$5000,2,FALSE),""))</f>
        <v/>
      </c>
      <c r="K3" s="9">
        <f>IF(OR(I3="",G3=""),"",IF(G3="Saída",-I3,I3))</f>
        <v>-23.5</v>
      </c>
      <c r="L3" s="8" t="str">
        <f>IF(E3="","",IFERROR(VLOOKUP(E3,Listas!$A$2:$C$5000,3,FALSE),""))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77</v>
      </c>
      <c r="C1" s="4" t="s">
        <v>70</v>
      </c>
      <c r="D1" s="4" t="s">
        <v>6</v>
      </c>
      <c r="E1" s="4" t="s">
        <v>71</v>
      </c>
      <c r="F1" s="4" t="s">
        <v>78</v>
      </c>
      <c r="G1" s="4" t="s">
        <v>79</v>
      </c>
      <c r="H1" s="4" t="s">
        <v>80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81</v>
      </c>
      <c r="B1" s="4" t="s">
        <v>3</v>
      </c>
      <c r="C1" s="4" t="s">
        <v>2</v>
      </c>
      <c r="D1" s="4" t="s">
        <v>5</v>
      </c>
      <c r="E1" s="4" t="s">
        <v>82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66</v>
      </c>
      <c r="B1" s="4" t="s">
        <v>6</v>
      </c>
      <c r="C1" s="4" t="s">
        <v>3</v>
      </c>
      <c r="D1" s="4" t="s">
        <v>83</v>
      </c>
      <c r="E1" s="4" t="s">
        <v>84</v>
      </c>
      <c r="F1" s="4" t="s">
        <v>85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