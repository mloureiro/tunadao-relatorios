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Movimentos" state="visible" r:id="rId5"/>
    <sheet sheetId="3" name="Pendentes" state="visible" r:id="rId6"/>
    <sheet sheetId="4" name="Orçamento" state="visible" r:id="rId7"/>
    <sheet sheetId="5" name="Géneros" state="visible" r:id="rId8"/>
    <sheet sheetId="6" name="Saldos" state="visible" r:id="rId9"/>
    <sheet sheetId="7" name="Listas" state="visible" r:id="rId10"/>
  </sheets>
  <calcPr calcId="171027"/>
</workbook>
</file>

<file path=xl/sharedStrings.xml><?xml version="1.0" encoding="utf-8"?>
<sst xmlns="http://schemas.openxmlformats.org/spreadsheetml/2006/main" count="281" uniqueCount="133">
  <si>
    <t>Modelo de tesouraria do TUNADÃO 1998</t>
  </si>
  <si>
    <t>Este ficheiro reúne os dados da tesouraria. Depois de preenchido, carregue-o na página do gerador de relatórios para obter o relatório em PDF.</t>
  </si>
  <si>
    <t>Todas as linhas de exemplo são fictícias. Apague-as antes de começar a registar os seus movimentos.</t>
  </si>
  <si>
    <t>Para que serve cada separador</t>
  </si>
  <si>
    <t>Movimentos: cada recebimento e cada pagamento, com a data em que o dinheiro entrou ou saiu. A tuna trabalha em regime de caixa, por isso só contam os movimentos de dinheiro.</t>
  </si>
  <si>
    <t>Pendentes: valores a receber e dívidas a pagar que ainda não foram liquidados. Preencha a data de liquidação quando o dinheiro mudar de mãos e registe então o movimento correspondente.</t>
  </si>
  <si>
    <t>Orçamento: o valor orçado por rubrica, para uma atividade ou para um período (por exemplo, "20º CITADÃO" ou "2026").</t>
  </si>
  <si>
    <t>Géneros: apoios em espécie. São listados à parte e nunca entram no saldo.</t>
  </si>
  <si>
    <t>Saldos: pontos de controlo do dinheiro que existe em cada conta. Ver a secção seguinte.</t>
  </si>
  <si>
    <t>Listas: as rubricas, sub-rubricas, atividades e meios de pagamento que aparecem nas listas suspensas dos outros separadores.</t>
  </si>
  <si>
    <t>Como funcionam os pontos de controlo (Saldos)</t>
  </si>
  <si>
    <t>Cada linha indica o saldo de uma conta (Caixa ou Banco) no fim de um dia, depois de contar todos os movimentos desse dia: é o saldo contabilístico, não o saldo disponível.</t>
  </si>
  <si>
    <t>A primeira linha de cada conta é o saldo de abertura. Não registe saldos iniciais como movimentos.</t>
  </si>
  <si>
    <t>A fonte indica de onde vem o valor: Extrato (extrato bancário), Contagem (contagem física da caixa) ou Declarado (indicado sem comprovativo).</t>
  </si>
  <si>
    <t>Cada novo ponto de controlo é conferido com o anterior: o saldo anterior mais os movimentos entre as duas datas tem de dar o novo saldo. Se não der, o gerador indica a diferença.</t>
  </si>
  <si>
    <t>Reembolsos e transferências</t>
  </si>
  <si>
    <t>Reembolso: se recebeu de volta dinheiro de uma despesa (por exemplo, uma caução), registe uma Entrada com a rubrica dessa despesa. O valor abate à despesa e não conta como receita.</t>
  </si>
  <si>
    <t>Transferência entre contas (por exemplo, depositar numerário no banco): registe duas linhas com a rubrica "Transferências internas", uma Saída na conta de origem e uma Entrada na conta de destino, com o mesmo valor e a mesma data. Não contam como receita nem despesa.</t>
  </si>
  <si>
    <t>Regras de preenchimento</t>
  </si>
  <si>
    <t>O valor é sempre positivo. O sentido do movimento indica-se na coluna Tipo (Entrada ou Saída).</t>
  </si>
  <si>
    <t>A sub-rubrica é opcional. Quando a deixa vazia, o movimento fica na própria rubrica.</t>
  </si>
  <si>
    <t>Escolha rubricas, sub-rubricas, atividades e meios nas listas suspensas. A lista da sub-rubrica mostra todas as sub-rubricas; escolha uma que pertença à rubrica indicada.</t>
  </si>
  <si>
    <t>Nunca edite as colunas Conta, Valor com sinal (€) e Conta para o resultado: são calculadas automaticamente a partir das restantes, até à linha 5000.</t>
  </si>
  <si>
    <t>Cada edição de um evento que se repete usa a sua própria Atividade (por exemplo, "20º CITADÃO" ou "Zumba na Caneca 2025"), porque o relatório do evento soma todos os movimentos da atividade.</t>
  </si>
  <si>
    <t>Para acrescentar uma rubrica, atividade ou meio, escreva-o no fim da respetiva coluna do separador Listas. As listas suspensas passam a incluí-lo.</t>
  </si>
  <si>
    <t>Data</t>
  </si>
  <si>
    <t>N.º doc</t>
  </si>
  <si>
    <t>Descrição</t>
  </si>
  <si>
    <t>Atividade</t>
  </si>
  <si>
    <t>Rubrica</t>
  </si>
  <si>
    <t>Sub-rubrica</t>
  </si>
  <si>
    <t>Tipo</t>
  </si>
  <si>
    <t>Meio</t>
  </si>
  <si>
    <t>Valor (€)</t>
  </si>
  <si>
    <t>Conta</t>
  </si>
  <si>
    <t>Valor com sinal (€)</t>
  </si>
  <si>
    <t>Conta para o resultado</t>
  </si>
  <si>
    <t>R-001</t>
  </si>
  <si>
    <t>Inscrições (exemplo fictício)</t>
  </si>
  <si>
    <t>Zumba na Caneca</t>
  </si>
  <si>
    <t>Inscrições e bilheteira</t>
  </si>
  <si>
    <t>Bilheteira</t>
  </si>
  <si>
    <t>Entrada</t>
  </si>
  <si>
    <t>Caixa</t>
  </si>
  <si>
    <t>P-001</t>
  </si>
  <si>
    <t>Cartazes e impressões (exemplo fictício)</t>
  </si>
  <si>
    <t>Comunicação e gráfica</t>
  </si>
  <si>
    <t>Cartazes e impressões</t>
  </si>
  <si>
    <t>Saída</t>
  </si>
  <si>
    <t>P-002</t>
  </si>
  <si>
    <t>Aluguer de som (exemplo fictício)</t>
  </si>
  <si>
    <t>Produção (som, luz, palco)</t>
  </si>
  <si>
    <t>Som e luz</t>
  </si>
  <si>
    <t>Banco</t>
  </si>
  <si>
    <t>R-002</t>
  </si>
  <si>
    <t>Patrocínio do ginásio (exemplo fictício)</t>
  </si>
  <si>
    <t>Patrocínios</t>
  </si>
  <si>
    <t>Patrocínio do evento</t>
  </si>
  <si>
    <t>Vendas do bar por TPA (exemplo fictício)</t>
  </si>
  <si>
    <t>Bar e merchandising</t>
  </si>
  <si>
    <t>Bar</t>
  </si>
  <si>
    <t>TPA</t>
  </si>
  <si>
    <t>P-003</t>
  </si>
  <si>
    <t>Caução do alojamento (exemplo fictício)</t>
  </si>
  <si>
    <t>20º CITADÃO</t>
  </si>
  <si>
    <t>Alimentação e alojamento</t>
  </si>
  <si>
    <t>Alojamento</t>
  </si>
  <si>
    <t>R-003</t>
  </si>
  <si>
    <t>Devolução de parte da caução (exemplo de reembolso)</t>
  </si>
  <si>
    <t>T-001</t>
  </si>
  <si>
    <t>Depósito de numerário (saída da caixa)</t>
  </si>
  <si>
    <t>Funcionamento</t>
  </si>
  <si>
    <t>Transferências internas</t>
  </si>
  <si>
    <t>Depósito de numerário (entrada no banco)</t>
  </si>
  <si>
    <t>Entidade</t>
  </si>
  <si>
    <t>Data de registo</t>
  </si>
  <si>
    <t>Data de liquidação</t>
  </si>
  <si>
    <t>Notas</t>
  </si>
  <si>
    <t>A receber</t>
  </si>
  <si>
    <t>Câmara Municipal (exemplo)</t>
  </si>
  <si>
    <t>Apoio ao evento por receber</t>
  </si>
  <si>
    <t>Protocolo assinado, pagamento previsto em março</t>
  </si>
  <si>
    <t>A pagar</t>
  </si>
  <si>
    <t>Gráfica Exemplo</t>
  </si>
  <si>
    <t>Impressão de t-shirts</t>
  </si>
  <si>
    <t>Festivais</t>
  </si>
  <si>
    <t>Âmbito</t>
  </si>
  <si>
    <t>Orçado (€)</t>
  </si>
  <si>
    <t>2026</t>
  </si>
  <si>
    <t>Quantidade</t>
  </si>
  <si>
    <t>Em falta</t>
  </si>
  <si>
    <t>Valor estimado (€)</t>
  </si>
  <si>
    <t>Cedência de sala (exemplo)</t>
  </si>
  <si>
    <t>1 dia</t>
  </si>
  <si>
    <t>Cartazes oferecidos (exemplo)</t>
  </si>
  <si>
    <t>20 unidades</t>
  </si>
  <si>
    <t>Saldo (€)</t>
  </si>
  <si>
    <t>Fonte</t>
  </si>
  <si>
    <t>Contagem</t>
  </si>
  <si>
    <t>Extrato</t>
  </si>
  <si>
    <t>Quotas</t>
  </si>
  <si>
    <t>Sim</t>
  </si>
  <si>
    <t>Apoio CMV</t>
  </si>
  <si>
    <t>Subsídios e apoios</t>
  </si>
  <si>
    <t>Donativos</t>
  </si>
  <si>
    <t>Apoio UPV (via AE ESAV)</t>
  </si>
  <si>
    <t>Apoio Junta de Freguesia</t>
  </si>
  <si>
    <t>MB Way</t>
  </si>
  <si>
    <t>Atuações e serenatas</t>
  </si>
  <si>
    <t>Inscrições de tunas</t>
  </si>
  <si>
    <t>Inscrições</t>
  </si>
  <si>
    <t>Outros recebimentos</t>
  </si>
  <si>
    <t>Merchandising</t>
  </si>
  <si>
    <t>Outros</t>
  </si>
  <si>
    <t>Compras para o bar</t>
  </si>
  <si>
    <t>Deslocações</t>
  </si>
  <si>
    <t>Palco e estruturas</t>
  </si>
  <si>
    <t>Prémios e troféus</t>
  </si>
  <si>
    <t>Refeições das tunas</t>
  </si>
  <si>
    <t>Instrumentos e manutenção</t>
  </si>
  <si>
    <t>Merchandising e trajes</t>
  </si>
  <si>
    <t>Bebidas e consumíveis</t>
  </si>
  <si>
    <t>Prémios</t>
  </si>
  <si>
    <t>Seguros e despesas bancárias</t>
  </si>
  <si>
    <t>Júri</t>
  </si>
  <si>
    <t>Taxas e licenças</t>
  </si>
  <si>
    <t>T-shirts</t>
  </si>
  <si>
    <t>Outros pagamentos</t>
  </si>
  <si>
    <t>Não</t>
  </si>
  <si>
    <t>Seguro</t>
  </si>
  <si>
    <t>Despesas bancárias</t>
  </si>
  <si>
    <t>Licenças e SPA</t>
  </si>
  <si>
    <t>Diversos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</si>
</sst>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 &quot;€&quot;"/>
  </numFmts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1" x14ac:dyDescent="0.25">
      <c r="A5" s="3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3" spans="1:1" x14ac:dyDescent="0.25">
      <c r="A13" s="3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 t="s">
        <v>14</v>
      </c>
    </row>
    <row r="19" spans="1:1" x14ac:dyDescent="0.25">
      <c r="A19" s="3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3" spans="1:1" x14ac:dyDescent="0.25">
      <c r="A23" s="3" t="s">
        <v>18</v>
      </c>
    </row>
    <row r="24" spans="1:1" x14ac:dyDescent="0.25">
      <c r="A24" s="2" t="s">
        <v>19</v>
      </c>
    </row>
    <row r="25" spans="1:1" x14ac:dyDescent="0.25">
      <c r="A25" s="2" t="s">
        <v>20</v>
      </c>
    </row>
    <row r="26" spans="1:1" x14ac:dyDescent="0.25">
      <c r="A26" s="2" t="s">
        <v>21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4" customWidth="1"/>
    <col min="2" max="2" width="11" customWidth="1"/>
    <col min="3" max="3" width="40" customWidth="1"/>
    <col min="4" max="4" width="20" customWidth="1"/>
    <col min="5" max="5" width="30" customWidth="1"/>
    <col min="6" max="6" width="26" customWidth="1"/>
    <col min="7" max="7" width="10" customWidth="1"/>
    <col min="8" max="8" width="12" customWidth="1"/>
    <col min="9" max="9" width="16" style="5" customWidth="1"/>
    <col min="10" max="10" width="10" customWidth="1"/>
    <col min="11" max="11" width="16" style="5" customWidth="1"/>
    <col min="12" max="12" width="14" customWidth="1"/>
  </cols>
  <sheetData>
    <row r="1" spans="1:12" s="6" customFormat="1" x14ac:dyDescent="0.25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</row>
    <row r="2" spans="1:12" x14ac:dyDescent="0.25">
      <c r="A2" s="4">
        <v>46058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s="5">
        <v>120</v>
      </c>
      <c r="J2" t="str">
        <f>IF(H2="","",IFERROR(VLOOKUP(H2,Listas!$J$2:$K$1048576,2,FALSE),""))</f>
        <v>Caixa</v>
      </c>
      <c r="K2" s="5">
        <f>IF(OR(I2="",G2=""),"",IF(G2="Saída",-I2,I2))</f>
        <v>120</v>
      </c>
      <c r="L2" t="str">
        <f>IF(E2="","",IFERROR(VLOOKUP(E2,Listas!$A$2:$C$1048576,3,FALSE),""))</f>
        <v>Sim</v>
      </c>
    </row>
    <row r="3" spans="1:12" x14ac:dyDescent="0.25">
      <c r="A3" s="4">
        <v>46059</v>
      </c>
      <c r="B3" t="s">
        <v>44</v>
      </c>
      <c r="C3" t="s">
        <v>45</v>
      </c>
      <c r="D3" t="s">
        <v>39</v>
      </c>
      <c r="E3" t="s">
        <v>46</v>
      </c>
      <c r="F3" t="s">
        <v>47</v>
      </c>
      <c r="G3" t="s">
        <v>48</v>
      </c>
      <c r="H3" t="s">
        <v>43</v>
      </c>
      <c r="I3" s="5">
        <v>48</v>
      </c>
      <c r="J3" t="str">
        <f>IF(H3="","",IFERROR(VLOOKUP(H3,Listas!$J$2:$K$1048576,2,FALSE),""))</f>
        <v>Caixa</v>
      </c>
      <c r="K3" s="5">
        <f>IF(OR(I3="",G3=""),"",IF(G3="Saída",-I3,I3))</f>
        <v>-48</v>
      </c>
      <c r="L3" t="str">
        <f>IF(E3="","",IFERROR(VLOOKUP(E3,Listas!$A$2:$C$1048576,3,FALSE),""))</f>
        <v>Sim</v>
      </c>
    </row>
    <row r="4" spans="1:12" x14ac:dyDescent="0.25">
      <c r="A4" s="4">
        <v>46063</v>
      </c>
      <c r="B4" t="s">
        <v>49</v>
      </c>
      <c r="C4" t="s">
        <v>50</v>
      </c>
      <c r="D4" t="s">
        <v>39</v>
      </c>
      <c r="E4" t="s">
        <v>51</v>
      </c>
      <c r="F4" t="s">
        <v>52</v>
      </c>
      <c r="G4" t="s">
        <v>48</v>
      </c>
      <c r="H4" t="s">
        <v>53</v>
      </c>
      <c r="I4" s="5">
        <v>300</v>
      </c>
      <c r="J4" t="str">
        <f>IF(H4="","",IFERROR(VLOOKUP(H4,Listas!$J$2:$K$1048576,2,FALSE),""))</f>
        <v>Banco</v>
      </c>
      <c r="K4" s="5">
        <f>IF(OR(I4="",G4=""),"",IF(G4="Saída",-I4,I4))</f>
        <v>-300</v>
      </c>
      <c r="L4" t="str">
        <f>IF(E4="","",IFERROR(VLOOKUP(E4,Listas!$A$2:$C$1048576,3,FALSE),""))</f>
        <v>Sim</v>
      </c>
    </row>
    <row r="5" spans="1:12" x14ac:dyDescent="0.25">
      <c r="A5" s="4">
        <v>46065</v>
      </c>
      <c r="B5" t="s">
        <v>54</v>
      </c>
      <c r="C5" t="s">
        <v>55</v>
      </c>
      <c r="D5" t="s">
        <v>39</v>
      </c>
      <c r="E5" t="s">
        <v>56</v>
      </c>
      <c r="F5" t="s">
        <v>57</v>
      </c>
      <c r="G5" t="s">
        <v>42</v>
      </c>
      <c r="H5" t="s">
        <v>53</v>
      </c>
      <c r="I5" s="5">
        <v>500</v>
      </c>
      <c r="J5" t="str">
        <f>IF(H5="","",IFERROR(VLOOKUP(H5,Listas!$J$2:$K$1048576,2,FALSE),""))</f>
        <v>Banco</v>
      </c>
      <c r="K5" s="5">
        <f>IF(OR(I5="",G5=""),"",IF(G5="Saída",-I5,I5))</f>
        <v>500</v>
      </c>
      <c r="L5" t="str">
        <f>IF(E5="","",IFERROR(VLOOKUP(E5,Listas!$A$2:$C$1048576,3,FALSE),""))</f>
        <v>Sim</v>
      </c>
    </row>
    <row r="6" spans="1:12" x14ac:dyDescent="0.25">
      <c r="A6" s="4">
        <v>46068</v>
      </c>
      <c r="C6" t="s">
        <v>58</v>
      </c>
      <c r="D6" t="s">
        <v>39</v>
      </c>
      <c r="E6" t="s">
        <v>59</v>
      </c>
      <c r="F6" t="s">
        <v>60</v>
      </c>
      <c r="G6" t="s">
        <v>42</v>
      </c>
      <c r="H6" t="s">
        <v>61</v>
      </c>
      <c r="I6" s="5">
        <v>85.5</v>
      </c>
      <c r="J6" t="str">
        <f>IF(H6="","",IFERROR(VLOOKUP(H6,Listas!$J$2:$K$1048576,2,FALSE),""))</f>
        <v>Banco</v>
      </c>
      <c r="K6" s="5">
        <f>IF(OR(I6="",G6=""),"",IF(G6="Saída",-I6,I6))</f>
        <v>85.5</v>
      </c>
      <c r="L6" t="str">
        <f>IF(E6="","",IFERROR(VLOOKUP(E6,Listas!$A$2:$C$1048576,3,FALSE),""))</f>
        <v>Sim</v>
      </c>
    </row>
    <row r="7" spans="1:12" x14ac:dyDescent="0.25">
      <c r="A7" s="4">
        <v>46069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48</v>
      </c>
      <c r="H7" t="s">
        <v>53</v>
      </c>
      <c r="I7" s="5">
        <v>400</v>
      </c>
      <c r="J7" t="str">
        <f>IF(H7="","",IFERROR(VLOOKUP(H7,Listas!$J$2:$K$1048576,2,FALSE),""))</f>
        <v>Banco</v>
      </c>
      <c r="K7" s="5">
        <f>IF(OR(I7="",G7=""),"",IF(G7="Saída",-I7,I7))</f>
        <v>-400</v>
      </c>
      <c r="L7" t="str">
        <f>IF(E7="","",IFERROR(VLOOKUP(E7,Listas!$A$2:$C$1048576,3,FALSE),""))</f>
        <v>Sim</v>
      </c>
    </row>
    <row r="8" spans="1:12" x14ac:dyDescent="0.25">
      <c r="A8" s="4">
        <v>46073</v>
      </c>
      <c r="B8" t="s">
        <v>67</v>
      </c>
      <c r="C8" t="s">
        <v>68</v>
      </c>
      <c r="D8" t="s">
        <v>64</v>
      </c>
      <c r="E8" t="s">
        <v>65</v>
      </c>
      <c r="F8" t="s">
        <v>66</v>
      </c>
      <c r="G8" t="s">
        <v>42</v>
      </c>
      <c r="H8" t="s">
        <v>53</v>
      </c>
      <c r="I8" s="5">
        <v>100</v>
      </c>
      <c r="J8" t="str">
        <f>IF(H8="","",IFERROR(VLOOKUP(H8,Listas!$J$2:$K$1048576,2,FALSE),""))</f>
        <v>Banco</v>
      </c>
      <c r="K8" s="5">
        <f>IF(OR(I8="",G8=""),"",IF(G8="Saída",-I8,I8))</f>
        <v>100</v>
      </c>
      <c r="L8" t="str">
        <f>IF(E8="","",IFERROR(VLOOKUP(E8,Listas!$A$2:$C$1048576,3,FALSE),""))</f>
        <v>Sim</v>
      </c>
    </row>
    <row r="9" spans="1:12" x14ac:dyDescent="0.25">
      <c r="A9" s="4">
        <v>46075</v>
      </c>
      <c r="B9" t="s">
        <v>69</v>
      </c>
      <c r="C9" t="s">
        <v>70</v>
      </c>
      <c r="D9" t="s">
        <v>71</v>
      </c>
      <c r="E9" t="s">
        <v>72</v>
      </c>
      <c r="G9" t="s">
        <v>48</v>
      </c>
      <c r="H9" t="s">
        <v>43</v>
      </c>
      <c r="I9" s="5">
        <v>100</v>
      </c>
      <c r="J9" t="str">
        <f>IF(H9="","",IFERROR(VLOOKUP(H9,Listas!$J$2:$K$1048576,2,FALSE),""))</f>
        <v>Caixa</v>
      </c>
      <c r="K9" s="5">
        <f>IF(OR(I9="",G9=""),"",IF(G9="Saída",-I9,I9))</f>
        <v>-100</v>
      </c>
      <c r="L9" t="str">
        <f>IF(E9="","",IFERROR(VLOOKUP(E9,Listas!$A$2:$C$1048576,3,FALSE),""))</f>
        <v>Não</v>
      </c>
    </row>
    <row r="10" spans="1:12" x14ac:dyDescent="0.25">
      <c r="A10" s="4">
        <v>46075</v>
      </c>
      <c r="B10" t="s">
        <v>69</v>
      </c>
      <c r="C10" t="s">
        <v>73</v>
      </c>
      <c r="D10" t="s">
        <v>71</v>
      </c>
      <c r="E10" t="s">
        <v>72</v>
      </c>
      <c r="G10" t="s">
        <v>42</v>
      </c>
      <c r="H10" t="s">
        <v>53</v>
      </c>
      <c r="I10" s="5">
        <v>100</v>
      </c>
      <c r="J10" t="str">
        <f>IF(H10="","",IFERROR(VLOOKUP(H10,Listas!$J$2:$K$1048576,2,FALSE),""))</f>
        <v>Banco</v>
      </c>
      <c r="K10" s="5">
        <f>IF(OR(I10="",G10=""),"",IF(G10="Saída",-I10,I10))</f>
        <v>100</v>
      </c>
      <c r="L10" t="str">
        <f>IF(E10="","",IFERROR(VLOOKUP(E10,Listas!$A$2:$C$1048576,3,FALSE),""))</f>
        <v>Não</v>
      </c>
    </row>
    <row r="11" spans="10:12" x14ac:dyDescent="0.25">
      <c r="J11" t="str">
        <f>IF(H11="","",IFERROR(VLOOKUP(H11,Listas!$J$2:$K$1048576,2,FALSE),""))</f>
        <v/>
      </c>
      <c r="K11" s="5" t="str">
        <f>IF(OR(I11="",G11=""),"",IF(G11="Saída",-I11,I11))</f>
        <v/>
      </c>
      <c r="L11" t="str">
        <f>IF(E11="","",IFERROR(VLOOKUP(E11,Listas!$A$2:$C$1048576,3,FALSE),""))</f>
        <v/>
      </c>
    </row>
    <row r="12" spans="10:12" x14ac:dyDescent="0.25">
      <c r="J12" t="str">
        <f>IF(H12="","",IFERROR(VLOOKUP(H12,Listas!$J$2:$K$1048576,2,FALSE),""))</f>
        <v/>
      </c>
      <c r="K12" s="5" t="str">
        <f>IF(OR(I12="",G12=""),"",IF(G12="Saída",-I12,I12))</f>
        <v/>
      </c>
      <c r="L12" t="str">
        <f>IF(E12="","",IFERROR(VLOOKUP(E12,Listas!$A$2:$C$1048576,3,FALSE),""))</f>
        <v/>
      </c>
    </row>
    <row r="13" spans="10:12" x14ac:dyDescent="0.25">
      <c r="J13" t="str">
        <f>IF(H13="","",IFERROR(VLOOKUP(H13,Listas!$J$2:$K$1048576,2,FALSE),""))</f>
        <v/>
      </c>
      <c r="K13" s="5" t="str">
        <f>IF(OR(I13="",G13=""),"",IF(G13="Saída",-I13,I13))</f>
        <v/>
      </c>
      <c r="L13" t="str">
        <f>IF(E13="","",IFERROR(VLOOKUP(E13,Listas!$A$2:$C$1048576,3,FALSE),""))</f>
        <v/>
      </c>
    </row>
    <row r="14" spans="10:12" x14ac:dyDescent="0.25">
      <c r="J14" t="str">
        <f>IF(H14="","",IFERROR(VLOOKUP(H14,Listas!$J$2:$K$1048576,2,FALSE),""))</f>
        <v/>
      </c>
      <c r="K14" s="5" t="str">
        <f>IF(OR(I14="",G14=""),"",IF(G14="Saída",-I14,I14))</f>
        <v/>
      </c>
      <c r="L14" t="str">
        <f>IF(E14="","",IFERROR(VLOOKUP(E14,Listas!$A$2:$C$1048576,3,FALSE),""))</f>
        <v/>
      </c>
    </row>
    <row r="15" spans="10:12" x14ac:dyDescent="0.25">
      <c r="J15" t="str">
        <f>IF(H15="","",IFERROR(VLOOKUP(H15,Listas!$J$2:$K$1048576,2,FALSE),""))</f>
        <v/>
      </c>
      <c r="K15" s="5" t="str">
        <f>IF(OR(I15="",G15=""),"",IF(G15="Saída",-I15,I15))</f>
        <v/>
      </c>
      <c r="L15" t="str">
        <f>IF(E15="","",IFERROR(VLOOKUP(E15,Listas!$A$2:$C$1048576,3,FALSE),""))</f>
        <v/>
      </c>
    </row>
    <row r="16" spans="10:12" x14ac:dyDescent="0.25">
      <c r="J16" t="str">
        <f>IF(H16="","",IFERROR(VLOOKUP(H16,Listas!$J$2:$K$1048576,2,FALSE),""))</f>
        <v/>
      </c>
      <c r="K16" s="5" t="str">
        <f>IF(OR(I16="",G16=""),"",IF(G16="Saída",-I16,I16))</f>
        <v/>
      </c>
      <c r="L16" t="str">
        <f>IF(E16="","",IFERROR(VLOOKUP(E16,Listas!$A$2:$C$1048576,3,FALSE),""))</f>
        <v/>
      </c>
    </row>
    <row r="17" spans="10:12" x14ac:dyDescent="0.25">
      <c r="J17" t="str">
        <f>IF(H17="","",IFERROR(VLOOKUP(H17,Listas!$J$2:$K$1048576,2,FALSE),""))</f>
        <v/>
      </c>
      <c r="K17" s="5" t="str">
        <f>IF(OR(I17="",G17=""),"",IF(G17="Saída",-I17,I17))</f>
        <v/>
      </c>
      <c r="L17" t="str">
        <f>IF(E17="","",IFERROR(VLOOKUP(E17,Listas!$A$2:$C$1048576,3,FALSE),""))</f>
        <v/>
      </c>
    </row>
    <row r="18" spans="10:12" x14ac:dyDescent="0.25">
      <c r="J18" t="str">
        <f>IF(H18="","",IFERROR(VLOOKUP(H18,Listas!$J$2:$K$1048576,2,FALSE),""))</f>
        <v/>
      </c>
      <c r="K18" s="5" t="str">
        <f>IF(OR(I18="",G18=""),"",IF(G18="Saída",-I18,I18))</f>
        <v/>
      </c>
      <c r="L18" t="str">
        <f>IF(E18="","",IFERROR(VLOOKUP(E18,Listas!$A$2:$C$1048576,3,FALSE),""))</f>
        <v/>
      </c>
    </row>
    <row r="19" spans="10:12" x14ac:dyDescent="0.25">
      <c r="J19" t="str">
        <f>IF(H19="","",IFERROR(VLOOKUP(H19,Listas!$J$2:$K$1048576,2,FALSE),""))</f>
        <v/>
      </c>
      <c r="K19" s="5" t="str">
        <f>IF(OR(I19="",G19=""),"",IF(G19="Saída",-I19,I19))</f>
        <v/>
      </c>
      <c r="L19" t="str">
        <f>IF(E19="","",IFERROR(VLOOKUP(E19,Listas!$A$2:$C$1048576,3,FALSE),""))</f>
        <v/>
      </c>
    </row>
    <row r="20" spans="10:12" x14ac:dyDescent="0.25">
      <c r="J20" t="str">
        <f>IF(H20="","",IFERROR(VLOOKUP(H20,Listas!$J$2:$K$1048576,2,FALSE),""))</f>
        <v/>
      </c>
      <c r="K20" s="5" t="str">
        <f>IF(OR(I20="",G20=""),"",IF(G20="Saída",-I20,I20))</f>
        <v/>
      </c>
      <c r="L20" t="str">
        <f>IF(E20="","",IFERROR(VLOOKUP(E20,Listas!$A$2:$C$1048576,3,FALSE),""))</f>
        <v/>
      </c>
    </row>
    <row r="21" spans="10:12" x14ac:dyDescent="0.25">
      <c r="J21" t="str">
        <f>IF(H21="","",IFERROR(VLOOKUP(H21,Listas!$J$2:$K$1048576,2,FALSE),""))</f>
        <v/>
      </c>
      <c r="K21" s="5" t="str">
        <f>IF(OR(I21="",G21=""),"",IF(G21="Saída",-I21,I21))</f>
        <v/>
      </c>
      <c r="L21" t="str">
        <f>IF(E21="","",IFERROR(VLOOKUP(E21,Listas!$A$2:$C$1048576,3,FALSE),""))</f>
        <v/>
      </c>
    </row>
    <row r="22" spans="10:12" x14ac:dyDescent="0.25">
      <c r="J22" t="str">
        <f>IF(H22="","",IFERROR(VLOOKUP(H22,Listas!$J$2:$K$1048576,2,FALSE),""))</f>
        <v/>
      </c>
      <c r="K22" s="5" t="str">
        <f>IF(OR(I22="",G22=""),"",IF(G22="Saída",-I22,I22))</f>
        <v/>
      </c>
      <c r="L22" t="str">
        <f>IF(E22="","",IFERROR(VLOOKUP(E22,Listas!$A$2:$C$1048576,3,FALSE),""))</f>
        <v/>
      </c>
    </row>
    <row r="23" spans="10:12" x14ac:dyDescent="0.25">
      <c r="J23" t="str">
        <f>IF(H23="","",IFERROR(VLOOKUP(H23,Listas!$J$2:$K$1048576,2,FALSE),""))</f>
        <v/>
      </c>
      <c r="K23" s="5" t="str">
        <f>IF(OR(I23="",G23=""),"",IF(G23="Saída",-I23,I23))</f>
        <v/>
      </c>
      <c r="L23" t="str">
        <f>IF(E23="","",IFERROR(VLOOKUP(E23,Listas!$A$2:$C$1048576,3,FALSE),""))</f>
        <v/>
      </c>
    </row>
    <row r="24" spans="10:12" x14ac:dyDescent="0.25">
      <c r="J24" t="str">
        <f>IF(H24="","",IFERROR(VLOOKUP(H24,Listas!$J$2:$K$1048576,2,FALSE),""))</f>
        <v/>
      </c>
      <c r="K24" s="5" t="str">
        <f>IF(OR(I24="",G24=""),"",IF(G24="Saída",-I24,I24))</f>
        <v/>
      </c>
      <c r="L24" t="str">
        <f>IF(E24="","",IFERROR(VLOOKUP(E24,Listas!$A$2:$C$1048576,3,FALSE),""))</f>
        <v/>
      </c>
    </row>
    <row r="25" spans="10:12" x14ac:dyDescent="0.25">
      <c r="J25" t="str">
        <f>IF(H25="","",IFERROR(VLOOKUP(H25,Listas!$J$2:$K$1048576,2,FALSE),""))</f>
        <v/>
      </c>
      <c r="K25" s="5" t="str">
        <f>IF(OR(I25="",G25=""),"",IF(G25="Saída",-I25,I25))</f>
        <v/>
      </c>
      <c r="L25" t="str">
        <f>IF(E25="","",IFERROR(VLOOKUP(E25,Listas!$A$2:$C$1048576,3,FALSE),""))</f>
        <v/>
      </c>
    </row>
    <row r="26" spans="10:12" x14ac:dyDescent="0.25">
      <c r="J26" t="str">
        <f>IF(H26="","",IFERROR(VLOOKUP(H26,Listas!$J$2:$K$1048576,2,FALSE),""))</f>
        <v/>
      </c>
      <c r="K26" s="5" t="str">
        <f>IF(OR(I26="",G26=""),"",IF(G26="Saída",-I26,I26))</f>
        <v/>
      </c>
      <c r="L26" t="str">
        <f>IF(E26="","",IFERROR(VLOOKUP(E26,Listas!$A$2:$C$1048576,3,FALSE),""))</f>
        <v/>
      </c>
    </row>
    <row r="27" spans="10:12" x14ac:dyDescent="0.25">
      <c r="J27" t="str">
        <f>IF(H27="","",IFERROR(VLOOKUP(H27,Listas!$J$2:$K$1048576,2,FALSE),""))</f>
        <v/>
      </c>
      <c r="K27" s="5" t="str">
        <f>IF(OR(I27="",G27=""),"",IF(G27="Saída",-I27,I27))</f>
        <v/>
      </c>
      <c r="L27" t="str">
        <f>IF(E27="","",IFERROR(VLOOKUP(E27,Listas!$A$2:$C$1048576,3,FALSE),""))</f>
        <v/>
      </c>
    </row>
    <row r="28" spans="10:12" x14ac:dyDescent="0.25">
      <c r="J28" t="str">
        <f>IF(H28="","",IFERROR(VLOOKUP(H28,Listas!$J$2:$K$1048576,2,FALSE),""))</f>
        <v/>
      </c>
      <c r="K28" s="5" t="str">
        <f>IF(OR(I28="",G28=""),"",IF(G28="Saída",-I28,I28))</f>
        <v/>
      </c>
      <c r="L28" t="str">
        <f>IF(E28="","",IFERROR(VLOOKUP(E28,Listas!$A$2:$C$1048576,3,FALSE),""))</f>
        <v/>
      </c>
    </row>
    <row r="29" spans="10:12" x14ac:dyDescent="0.25">
      <c r="J29" t="str">
        <f>IF(H29="","",IFERROR(VLOOKUP(H29,Listas!$J$2:$K$1048576,2,FALSE),""))</f>
        <v/>
      </c>
      <c r="K29" s="5" t="str">
        <f>IF(OR(I29="",G29=""),"",IF(G29="Saída",-I29,I29))</f>
        <v/>
      </c>
      <c r="L29" t="str">
        <f>IF(E29="","",IFERROR(VLOOKUP(E29,Listas!$A$2:$C$1048576,3,FALSE),""))</f>
        <v/>
      </c>
    </row>
    <row r="30" spans="10:12" x14ac:dyDescent="0.25">
      <c r="J30" t="str">
        <f>IF(H30="","",IFERROR(VLOOKUP(H30,Listas!$J$2:$K$1048576,2,FALSE),""))</f>
        <v/>
      </c>
      <c r="K30" s="5" t="str">
        <f>IF(OR(I30="",G30=""),"",IF(G30="Saída",-I30,I30))</f>
        <v/>
      </c>
      <c r="L30" t="str">
        <f>IF(E30="","",IFERROR(VLOOKUP(E30,Listas!$A$2:$C$1048576,3,FALSE),""))</f>
        <v/>
      </c>
    </row>
    <row r="31" spans="10:12" x14ac:dyDescent="0.25">
      <c r="J31" t="str">
        <f>IF(H31="","",IFERROR(VLOOKUP(H31,Listas!$J$2:$K$1048576,2,FALSE),""))</f>
        <v/>
      </c>
      <c r="K31" s="5" t="str">
        <f>IF(OR(I31="",G31=""),"",IF(G31="Saída",-I31,I31))</f>
        <v/>
      </c>
      <c r="L31" t="str">
        <f>IF(E31="","",IFERROR(VLOOKUP(E31,Listas!$A$2:$C$1048576,3,FALSE),""))</f>
        <v/>
      </c>
    </row>
    <row r="32" spans="10:12" x14ac:dyDescent="0.25">
      <c r="J32" t="str">
        <f>IF(H32="","",IFERROR(VLOOKUP(H32,Listas!$J$2:$K$1048576,2,FALSE),""))</f>
        <v/>
      </c>
      <c r="K32" s="5" t="str">
        <f>IF(OR(I32="",G32=""),"",IF(G32="Saída",-I32,I32))</f>
        <v/>
      </c>
      <c r="L32" t="str">
        <f>IF(E32="","",IFERROR(VLOOKUP(E32,Listas!$A$2:$C$1048576,3,FALSE),""))</f>
        <v/>
      </c>
    </row>
    <row r="33" spans="10:12" x14ac:dyDescent="0.25">
      <c r="J33" t="str">
        <f>IF(H33="","",IFERROR(VLOOKUP(H33,Listas!$J$2:$K$1048576,2,FALSE),""))</f>
        <v/>
      </c>
      <c r="K33" s="5" t="str">
        <f>IF(OR(I33="",G33=""),"",IF(G33="Saída",-I33,I33))</f>
        <v/>
      </c>
      <c r="L33" t="str">
        <f>IF(E33="","",IFERROR(VLOOKUP(E33,Listas!$A$2:$C$1048576,3,FALSE),""))</f>
        <v/>
      </c>
    </row>
    <row r="34" spans="10:12" x14ac:dyDescent="0.25">
      <c r="J34" t="str">
        <f>IF(H34="","",IFERROR(VLOOKUP(H34,Listas!$J$2:$K$1048576,2,FALSE),""))</f>
        <v/>
      </c>
      <c r="K34" s="5" t="str">
        <f>IF(OR(I34="",G34=""),"",IF(G34="Saída",-I34,I34))</f>
        <v/>
      </c>
      <c r="L34" t="str">
        <f>IF(E34="","",IFERROR(VLOOKUP(E34,Listas!$A$2:$C$1048576,3,FALSE),""))</f>
        <v/>
      </c>
    </row>
    <row r="35" spans="10:12" x14ac:dyDescent="0.25">
      <c r="J35" t="str">
        <f>IF(H35="","",IFERROR(VLOOKUP(H35,Listas!$J$2:$K$1048576,2,FALSE),""))</f>
        <v/>
      </c>
      <c r="K35" s="5" t="str">
        <f>IF(OR(I35="",G35=""),"",IF(G35="Saída",-I35,I35))</f>
        <v/>
      </c>
      <c r="L35" t="str">
        <f>IF(E35="","",IFERROR(VLOOKUP(E35,Listas!$A$2:$C$1048576,3,FALSE),""))</f>
        <v/>
      </c>
    </row>
    <row r="36" spans="10:12" x14ac:dyDescent="0.25">
      <c r="J36" t="str">
        <f>IF(H36="","",IFERROR(VLOOKUP(H36,Listas!$J$2:$K$1048576,2,FALSE),""))</f>
        <v/>
      </c>
      <c r="K36" s="5" t="str">
        <f>IF(OR(I36="",G36=""),"",IF(G36="Saída",-I36,I36))</f>
        <v/>
      </c>
      <c r="L36" t="str">
        <f>IF(E36="","",IFERROR(VLOOKUP(E36,Listas!$A$2:$C$1048576,3,FALSE),""))</f>
        <v/>
      </c>
    </row>
    <row r="37" spans="10:12" x14ac:dyDescent="0.25">
      <c r="J37" t="str">
        <f>IF(H37="","",IFERROR(VLOOKUP(H37,Listas!$J$2:$K$1048576,2,FALSE),""))</f>
        <v/>
      </c>
      <c r="K37" s="5" t="str">
        <f>IF(OR(I37="",G37=""),"",IF(G37="Saída",-I37,I37))</f>
        <v/>
      </c>
      <c r="L37" t="str">
        <f>IF(E37="","",IFERROR(VLOOKUP(E37,Listas!$A$2:$C$1048576,3,FALSE),""))</f>
        <v/>
      </c>
    </row>
    <row r="38" spans="10:12" x14ac:dyDescent="0.25">
      <c r="J38" t="str">
        <f>IF(H38="","",IFERROR(VLOOKUP(H38,Listas!$J$2:$K$1048576,2,FALSE),""))</f>
        <v/>
      </c>
      <c r="K38" s="5" t="str">
        <f>IF(OR(I38="",G38=""),"",IF(G38="Saída",-I38,I38))</f>
        <v/>
      </c>
      <c r="L38" t="str">
        <f>IF(E38="","",IFERROR(VLOOKUP(E38,Listas!$A$2:$C$1048576,3,FALSE),""))</f>
        <v/>
      </c>
    </row>
    <row r="39" spans="10:12" x14ac:dyDescent="0.25">
      <c r="J39" t="str">
        <f>IF(H39="","",IFERROR(VLOOKUP(H39,Listas!$J$2:$K$1048576,2,FALSE),""))</f>
        <v/>
      </c>
      <c r="K39" s="5" t="str">
        <f>IF(OR(I39="",G39=""),"",IF(G39="Saída",-I39,I39))</f>
        <v/>
      </c>
      <c r="L39" t="str">
        <f>IF(E39="","",IFERROR(VLOOKUP(E39,Listas!$A$2:$C$1048576,3,FALSE),""))</f>
        <v/>
      </c>
    </row>
    <row r="40" spans="10:12" x14ac:dyDescent="0.25">
      <c r="J40" t="str">
        <f>IF(H40="","",IFERROR(VLOOKUP(H40,Listas!$J$2:$K$1048576,2,FALSE),""))</f>
        <v/>
      </c>
      <c r="K40" s="5" t="str">
        <f>IF(OR(I40="",G40=""),"",IF(G40="Saída",-I40,I40))</f>
        <v/>
      </c>
      <c r="L40" t="str">
        <f>IF(E40="","",IFERROR(VLOOKUP(E40,Listas!$A$2:$C$1048576,3,FALSE),""))</f>
        <v/>
      </c>
    </row>
    <row r="41" spans="10:12" x14ac:dyDescent="0.25">
      <c r="J41" t="str">
        <f>IF(H41="","",IFERROR(VLOOKUP(H41,Listas!$J$2:$K$1048576,2,FALSE),""))</f>
        <v/>
      </c>
      <c r="K41" s="5" t="str">
        <f>IF(OR(I41="",G41=""),"",IF(G41="Saída",-I41,I41))</f>
        <v/>
      </c>
      <c r="L41" t="str">
        <f>IF(E41="","",IFERROR(VLOOKUP(E41,Listas!$A$2:$C$1048576,3,FALSE),""))</f>
        <v/>
      </c>
    </row>
    <row r="42" spans="10:12" x14ac:dyDescent="0.25">
      <c r="J42" t="str">
        <f>IF(H42="","",IFERROR(VLOOKUP(H42,Listas!$J$2:$K$1048576,2,FALSE),""))</f>
        <v/>
      </c>
      <c r="K42" s="5" t="str">
        <f>IF(OR(I42="",G42=""),"",IF(G42="Saída",-I42,I42))</f>
        <v/>
      </c>
      <c r="L42" t="str">
        <f>IF(E42="","",IFERROR(VLOOKUP(E42,Listas!$A$2:$C$1048576,3,FALSE),""))</f>
        <v/>
      </c>
    </row>
    <row r="43" spans="10:12" x14ac:dyDescent="0.25">
      <c r="J43" t="str">
        <f>IF(H43="","",IFERROR(VLOOKUP(H43,Listas!$J$2:$K$1048576,2,FALSE),""))</f>
        <v/>
      </c>
      <c r="K43" s="5" t="str">
        <f>IF(OR(I43="",G43=""),"",IF(G43="Saída",-I43,I43))</f>
        <v/>
      </c>
      <c r="L43" t="str">
        <f>IF(E43="","",IFERROR(VLOOKUP(E43,Listas!$A$2:$C$1048576,3,FALSE),""))</f>
        <v/>
      </c>
    </row>
    <row r="44" spans="10:12" x14ac:dyDescent="0.25">
      <c r="J44" t="str">
        <f>IF(H44="","",IFERROR(VLOOKUP(H44,Listas!$J$2:$K$1048576,2,FALSE),""))</f>
        <v/>
      </c>
      <c r="K44" s="5" t="str">
        <f>IF(OR(I44="",G44=""),"",IF(G44="Saída",-I44,I44))</f>
        <v/>
      </c>
      <c r="L44" t="str">
        <f>IF(E44="","",IFERROR(VLOOKUP(E44,Listas!$A$2:$C$1048576,3,FALSE),""))</f>
        <v/>
      </c>
    </row>
    <row r="45" spans="10:12" x14ac:dyDescent="0.25">
      <c r="J45" t="str">
        <f>IF(H45="","",IFERROR(VLOOKUP(H45,Listas!$J$2:$K$1048576,2,FALSE),""))</f>
        <v/>
      </c>
      <c r="K45" s="5" t="str">
        <f>IF(OR(I45="",G45=""),"",IF(G45="Saída",-I45,I45))</f>
        <v/>
      </c>
      <c r="L45" t="str">
        <f>IF(E45="","",IFERROR(VLOOKUP(E45,Listas!$A$2:$C$1048576,3,FALSE),""))</f>
        <v/>
      </c>
    </row>
    <row r="46" spans="10:12" x14ac:dyDescent="0.25">
      <c r="J46" t="str">
        <f>IF(H46="","",IFERROR(VLOOKUP(H46,Listas!$J$2:$K$1048576,2,FALSE),""))</f>
        <v/>
      </c>
      <c r="K46" s="5" t="str">
        <f>IF(OR(I46="",G46=""),"",IF(G46="Saída",-I46,I46))</f>
        <v/>
      </c>
      <c r="L46" t="str">
        <f>IF(E46="","",IFERROR(VLOOKUP(E46,Listas!$A$2:$C$1048576,3,FALSE),""))</f>
        <v/>
      </c>
    </row>
    <row r="47" spans="10:12" x14ac:dyDescent="0.25">
      <c r="J47" t="str">
        <f>IF(H47="","",IFERROR(VLOOKUP(H47,Listas!$J$2:$K$1048576,2,FALSE),""))</f>
        <v/>
      </c>
      <c r="K47" s="5" t="str">
        <f>IF(OR(I47="",G47=""),"",IF(G47="Saída",-I47,I47))</f>
        <v/>
      </c>
      <c r="L47" t="str">
        <f>IF(E47="","",IFERROR(VLOOKUP(E47,Listas!$A$2:$C$1048576,3,FALSE),""))</f>
        <v/>
      </c>
    </row>
    <row r="48" spans="10:12" x14ac:dyDescent="0.25">
      <c r="J48" t="str">
        <f>IF(H48="","",IFERROR(VLOOKUP(H48,Listas!$J$2:$K$1048576,2,FALSE),""))</f>
        <v/>
      </c>
      <c r="K48" s="5" t="str">
        <f>IF(OR(I48="",G48=""),"",IF(G48="Saída",-I48,I48))</f>
        <v/>
      </c>
      <c r="L48" t="str">
        <f>IF(E48="","",IFERROR(VLOOKUP(E48,Listas!$A$2:$C$1048576,3,FALSE),""))</f>
        <v/>
      </c>
    </row>
    <row r="49" spans="10:12" x14ac:dyDescent="0.25">
      <c r="J49" t="str">
        <f>IF(H49="","",IFERROR(VLOOKUP(H49,Listas!$J$2:$K$1048576,2,FALSE),""))</f>
        <v/>
      </c>
      <c r="K49" s="5" t="str">
        <f>IF(OR(I49="",G49=""),"",IF(G49="Saída",-I49,I49))</f>
        <v/>
      </c>
      <c r="L49" t="str">
        <f>IF(E49="","",IFERROR(VLOOKUP(E49,Listas!$A$2:$C$1048576,3,FALSE),""))</f>
        <v/>
      </c>
    </row>
    <row r="50" spans="10:12" x14ac:dyDescent="0.25">
      <c r="J50" t="str">
        <f>IF(H50="","",IFERROR(VLOOKUP(H50,Listas!$J$2:$K$1048576,2,FALSE),""))</f>
        <v/>
      </c>
      <c r="K50" s="5" t="str">
        <f>IF(OR(I50="",G50=""),"",IF(G50="Saída",-I50,I50))</f>
        <v/>
      </c>
      <c r="L50" t="str">
        <f>IF(E50="","",IFERROR(VLOOKUP(E50,Listas!$A$2:$C$1048576,3,FALSE),""))</f>
        <v/>
      </c>
    </row>
    <row r="51" spans="10:12" x14ac:dyDescent="0.25">
      <c r="J51" t="str">
        <f>IF(H51="","",IFERROR(VLOOKUP(H51,Listas!$J$2:$K$1048576,2,FALSE),""))</f>
        <v/>
      </c>
      <c r="K51" s="5" t="str">
        <f>IF(OR(I51="",G51=""),"",IF(G51="Saída",-I51,I51))</f>
        <v/>
      </c>
      <c r="L51" t="str">
        <f>IF(E51="","",IFERROR(VLOOKUP(E51,Listas!$A$2:$C$1048576,3,FALSE),""))</f>
        <v/>
      </c>
    </row>
    <row r="52" spans="10:12" x14ac:dyDescent="0.25">
      <c r="J52" t="str">
        <f>IF(H52="","",IFERROR(VLOOKUP(H52,Listas!$J$2:$K$1048576,2,FALSE),""))</f>
        <v/>
      </c>
      <c r="K52" s="5" t="str">
        <f>IF(OR(I52="",G52=""),"",IF(G52="Saída",-I52,I52))</f>
        <v/>
      </c>
      <c r="L52" t="str">
        <f>IF(E52="","",IFERROR(VLOOKUP(E52,Listas!$A$2:$C$1048576,3,FALSE),""))</f>
        <v/>
      </c>
    </row>
    <row r="53" spans="10:12" x14ac:dyDescent="0.25">
      <c r="J53" t="str">
        <f>IF(H53="","",IFERROR(VLOOKUP(H53,Listas!$J$2:$K$1048576,2,FALSE),""))</f>
        <v/>
      </c>
      <c r="K53" s="5" t="str">
        <f>IF(OR(I53="",G53=""),"",IF(G53="Saída",-I53,I53))</f>
        <v/>
      </c>
      <c r="L53" t="str">
        <f>IF(E53="","",IFERROR(VLOOKUP(E53,Listas!$A$2:$C$1048576,3,FALSE),""))</f>
        <v/>
      </c>
    </row>
    <row r="54" spans="10:12" x14ac:dyDescent="0.25">
      <c r="J54" t="str">
        <f>IF(H54="","",IFERROR(VLOOKUP(H54,Listas!$J$2:$K$1048576,2,FALSE),""))</f>
        <v/>
      </c>
      <c r="K54" s="5" t="str">
        <f>IF(OR(I54="",G54=""),"",IF(G54="Saída",-I54,I54))</f>
        <v/>
      </c>
      <c r="L54" t="str">
        <f>IF(E54="","",IFERROR(VLOOKUP(E54,Listas!$A$2:$C$1048576,3,FALSE),""))</f>
        <v/>
      </c>
    </row>
    <row r="55" spans="10:12" x14ac:dyDescent="0.25">
      <c r="J55" t="str">
        <f>IF(H55="","",IFERROR(VLOOKUP(H55,Listas!$J$2:$K$1048576,2,FALSE),""))</f>
        <v/>
      </c>
      <c r="K55" s="5" t="str">
        <f>IF(OR(I55="",G55=""),"",IF(G55="Saída",-I55,I55))</f>
        <v/>
      </c>
      <c r="L55" t="str">
        <f>IF(E55="","",IFERROR(VLOOKUP(E55,Listas!$A$2:$C$1048576,3,FALSE),""))</f>
        <v/>
      </c>
    </row>
    <row r="56" spans="10:12" x14ac:dyDescent="0.25">
      <c r="J56" t="str">
        <f>IF(H56="","",IFERROR(VLOOKUP(H56,Listas!$J$2:$K$1048576,2,FALSE),""))</f>
        <v/>
      </c>
      <c r="K56" s="5" t="str">
        <f>IF(OR(I56="",G56=""),"",IF(G56="Saída",-I56,I56))</f>
        <v/>
      </c>
      <c r="L56" t="str">
        <f>IF(E56="","",IFERROR(VLOOKUP(E56,Listas!$A$2:$C$1048576,3,FALSE),""))</f>
        <v/>
      </c>
    </row>
    <row r="57" spans="10:12" x14ac:dyDescent="0.25">
      <c r="J57" t="str">
        <f>IF(H57="","",IFERROR(VLOOKUP(H57,Listas!$J$2:$K$1048576,2,FALSE),""))</f>
        <v/>
      </c>
      <c r="K57" s="5" t="str">
        <f>IF(OR(I57="",G57=""),"",IF(G57="Saída",-I57,I57))</f>
        <v/>
      </c>
      <c r="L57" t="str">
        <f>IF(E57="","",IFERROR(VLOOKUP(E57,Listas!$A$2:$C$1048576,3,FALSE),""))</f>
        <v/>
      </c>
    </row>
    <row r="58" spans="10:12" x14ac:dyDescent="0.25">
      <c r="J58" t="str">
        <f>IF(H58="","",IFERROR(VLOOKUP(H58,Listas!$J$2:$K$1048576,2,FALSE),""))</f>
        <v/>
      </c>
      <c r="K58" s="5" t="str">
        <f>IF(OR(I58="",G58=""),"",IF(G58="Saída",-I58,I58))</f>
        <v/>
      </c>
      <c r="L58" t="str">
        <f>IF(E58="","",IFERROR(VLOOKUP(E58,Listas!$A$2:$C$1048576,3,FALSE),""))</f>
        <v/>
      </c>
    </row>
    <row r="59" spans="10:12" x14ac:dyDescent="0.25">
      <c r="J59" t="str">
        <f>IF(H59="","",IFERROR(VLOOKUP(H59,Listas!$J$2:$K$1048576,2,FALSE),""))</f>
        <v/>
      </c>
      <c r="K59" s="5" t="str">
        <f>IF(OR(I59="",G59=""),"",IF(G59="Saída",-I59,I59))</f>
        <v/>
      </c>
      <c r="L59" t="str">
        <f>IF(E59="","",IFERROR(VLOOKUP(E59,Listas!$A$2:$C$1048576,3,FALSE),""))</f>
        <v/>
      </c>
    </row>
    <row r="60" spans="10:12" x14ac:dyDescent="0.25">
      <c r="J60" t="str">
        <f>IF(H60="","",IFERROR(VLOOKUP(H60,Listas!$J$2:$K$1048576,2,FALSE),""))</f>
        <v/>
      </c>
      <c r="K60" s="5" t="str">
        <f>IF(OR(I60="",G60=""),"",IF(G60="Saída",-I60,I60))</f>
        <v/>
      </c>
      <c r="L60" t="str">
        <f>IF(E60="","",IFERROR(VLOOKUP(E60,Listas!$A$2:$C$1048576,3,FALSE),""))</f>
        <v/>
      </c>
    </row>
    <row r="61" spans="10:12" x14ac:dyDescent="0.25">
      <c r="J61" t="str">
        <f>IF(H61="","",IFERROR(VLOOKUP(H61,Listas!$J$2:$K$1048576,2,FALSE),""))</f>
        <v/>
      </c>
      <c r="K61" s="5" t="str">
        <f>IF(OR(I61="",G61=""),"",IF(G61="Saída",-I61,I61))</f>
        <v/>
      </c>
      <c r="L61" t="str">
        <f>IF(E61="","",IFERROR(VLOOKUP(E61,Listas!$A$2:$C$1048576,3,FALSE),""))</f>
        <v/>
      </c>
    </row>
    <row r="62" spans="10:12" x14ac:dyDescent="0.25">
      <c r="J62" t="str">
        <f>IF(H62="","",IFERROR(VLOOKUP(H62,Listas!$J$2:$K$1048576,2,FALSE),""))</f>
        <v/>
      </c>
      <c r="K62" s="5" t="str">
        <f>IF(OR(I62="",G62=""),"",IF(G62="Saída",-I62,I62))</f>
        <v/>
      </c>
      <c r="L62" t="str">
        <f>IF(E62="","",IFERROR(VLOOKUP(E62,Listas!$A$2:$C$1048576,3,FALSE),""))</f>
        <v/>
      </c>
    </row>
    <row r="63" spans="10:12" x14ac:dyDescent="0.25">
      <c r="J63" t="str">
        <f>IF(H63="","",IFERROR(VLOOKUP(H63,Listas!$J$2:$K$1048576,2,FALSE),""))</f>
        <v/>
      </c>
      <c r="K63" s="5" t="str">
        <f>IF(OR(I63="",G63=""),"",IF(G63="Saída",-I63,I63))</f>
        <v/>
      </c>
      <c r="L63" t="str">
        <f>IF(E63="","",IFERROR(VLOOKUP(E63,Listas!$A$2:$C$1048576,3,FALSE),""))</f>
        <v/>
      </c>
    </row>
    <row r="64" spans="10:12" x14ac:dyDescent="0.25">
      <c r="J64" t="str">
        <f>IF(H64="","",IFERROR(VLOOKUP(H64,Listas!$J$2:$K$1048576,2,FALSE),""))</f>
        <v/>
      </c>
      <c r="K64" s="5" t="str">
        <f>IF(OR(I64="",G64=""),"",IF(G64="Saída",-I64,I64))</f>
        <v/>
      </c>
      <c r="L64" t="str">
        <f>IF(E64="","",IFERROR(VLOOKUP(E64,Listas!$A$2:$C$1048576,3,FALSE),""))</f>
        <v/>
      </c>
    </row>
    <row r="65" spans="10:12" x14ac:dyDescent="0.25">
      <c r="J65" t="str">
        <f>IF(H65="","",IFERROR(VLOOKUP(H65,Listas!$J$2:$K$1048576,2,FALSE),""))</f>
        <v/>
      </c>
      <c r="K65" s="5" t="str">
        <f>IF(OR(I65="",G65=""),"",IF(G65="Saída",-I65,I65))</f>
        <v/>
      </c>
      <c r="L65" t="str">
        <f>IF(E65="","",IFERROR(VLOOKUP(E65,Listas!$A$2:$C$1048576,3,FALSE),""))</f>
        <v/>
      </c>
    </row>
    <row r="66" spans="10:12" x14ac:dyDescent="0.25">
      <c r="J66" t="str">
        <f>IF(H66="","",IFERROR(VLOOKUP(H66,Listas!$J$2:$K$1048576,2,FALSE),""))</f>
        <v/>
      </c>
      <c r="K66" s="5" t="str">
        <f>IF(OR(I66="",G66=""),"",IF(G66="Saída",-I66,I66))</f>
        <v/>
      </c>
      <c r="L66" t="str">
        <f>IF(E66="","",IFERROR(VLOOKUP(E66,Listas!$A$2:$C$1048576,3,FALSE),""))</f>
        <v/>
      </c>
    </row>
    <row r="67" spans="10:12" x14ac:dyDescent="0.25">
      <c r="J67" t="str">
        <f>IF(H67="","",IFERROR(VLOOKUP(H67,Listas!$J$2:$K$1048576,2,FALSE),""))</f>
        <v/>
      </c>
      <c r="K67" s="5" t="str">
        <f>IF(OR(I67="",G67=""),"",IF(G67="Saída",-I67,I67))</f>
        <v/>
      </c>
      <c r="L67" t="str">
        <f>IF(E67="","",IFERROR(VLOOKUP(E67,Listas!$A$2:$C$1048576,3,FALSE),""))</f>
        <v/>
      </c>
    </row>
    <row r="68" spans="10:12" x14ac:dyDescent="0.25">
      <c r="J68" t="str">
        <f>IF(H68="","",IFERROR(VLOOKUP(H68,Listas!$J$2:$K$1048576,2,FALSE),""))</f>
        <v/>
      </c>
      <c r="K68" s="5" t="str">
        <f>IF(OR(I68="",G68=""),"",IF(G68="Saída",-I68,I68))</f>
        <v/>
      </c>
      <c r="L68" t="str">
        <f>IF(E68="","",IFERROR(VLOOKUP(E68,Listas!$A$2:$C$1048576,3,FALSE),""))</f>
        <v/>
      </c>
    </row>
    <row r="69" spans="10:12" x14ac:dyDescent="0.25">
      <c r="J69" t="str">
        <f>IF(H69="","",IFERROR(VLOOKUP(H69,Listas!$J$2:$K$1048576,2,FALSE),""))</f>
        <v/>
      </c>
      <c r="K69" s="5" t="str">
        <f>IF(OR(I69="",G69=""),"",IF(G69="Saída",-I69,I69))</f>
        <v/>
      </c>
      <c r="L69" t="str">
        <f>IF(E69="","",IFERROR(VLOOKUP(E69,Listas!$A$2:$C$1048576,3,FALSE),""))</f>
        <v/>
      </c>
    </row>
    <row r="70" spans="10:12" x14ac:dyDescent="0.25">
      <c r="J70" t="str">
        <f>IF(H70="","",IFERROR(VLOOKUP(H70,Listas!$J$2:$K$1048576,2,FALSE),""))</f>
        <v/>
      </c>
      <c r="K70" s="5" t="str">
        <f>IF(OR(I70="",G70=""),"",IF(G70="Saída",-I70,I70))</f>
        <v/>
      </c>
      <c r="L70" t="str">
        <f>IF(E70="","",IFERROR(VLOOKUP(E70,Listas!$A$2:$C$1048576,3,FALSE),""))</f>
        <v/>
      </c>
    </row>
    <row r="71" spans="10:12" x14ac:dyDescent="0.25">
      <c r="J71" t="str">
        <f>IF(H71="","",IFERROR(VLOOKUP(H71,Listas!$J$2:$K$1048576,2,FALSE),""))</f>
        <v/>
      </c>
      <c r="K71" s="5" t="str">
        <f>IF(OR(I71="",G71=""),"",IF(G71="Saída",-I71,I71))</f>
        <v/>
      </c>
      <c r="L71" t="str">
        <f>IF(E71="","",IFERROR(VLOOKUP(E71,Listas!$A$2:$C$1048576,3,FALSE),""))</f>
        <v/>
      </c>
    </row>
    <row r="72" spans="10:12" x14ac:dyDescent="0.25">
      <c r="J72" t="str">
        <f>IF(H72="","",IFERROR(VLOOKUP(H72,Listas!$J$2:$K$1048576,2,FALSE),""))</f>
        <v/>
      </c>
      <c r="K72" s="5" t="str">
        <f>IF(OR(I72="",G72=""),"",IF(G72="Saída",-I72,I72))</f>
        <v/>
      </c>
      <c r="L72" t="str">
        <f>IF(E72="","",IFERROR(VLOOKUP(E72,Listas!$A$2:$C$1048576,3,FALSE),""))</f>
        <v/>
      </c>
    </row>
    <row r="73" spans="10:12" x14ac:dyDescent="0.25">
      <c r="J73" t="str">
        <f>IF(H73="","",IFERROR(VLOOKUP(H73,Listas!$J$2:$K$1048576,2,FALSE),""))</f>
        <v/>
      </c>
      <c r="K73" s="5" t="str">
        <f>IF(OR(I73="",G73=""),"",IF(G73="Saída",-I73,I73))</f>
        <v/>
      </c>
      <c r="L73" t="str">
        <f>IF(E73="","",IFERROR(VLOOKUP(E73,Listas!$A$2:$C$1048576,3,FALSE),""))</f>
        <v/>
      </c>
    </row>
    <row r="74" spans="10:12" x14ac:dyDescent="0.25">
      <c r="J74" t="str">
        <f>IF(H74="","",IFERROR(VLOOKUP(H74,Listas!$J$2:$K$1048576,2,FALSE),""))</f>
        <v/>
      </c>
      <c r="K74" s="5" t="str">
        <f>IF(OR(I74="",G74=""),"",IF(G74="Saída",-I74,I74))</f>
        <v/>
      </c>
      <c r="L74" t="str">
        <f>IF(E74="","",IFERROR(VLOOKUP(E74,Listas!$A$2:$C$1048576,3,FALSE),""))</f>
        <v/>
      </c>
    </row>
    <row r="75" spans="10:12" x14ac:dyDescent="0.25">
      <c r="J75" t="str">
        <f>IF(H75="","",IFERROR(VLOOKUP(H75,Listas!$J$2:$K$1048576,2,FALSE),""))</f>
        <v/>
      </c>
      <c r="K75" s="5" t="str">
        <f>IF(OR(I75="",G75=""),"",IF(G75="Saída",-I75,I75))</f>
        <v/>
      </c>
      <c r="L75" t="str">
        <f>IF(E75="","",IFERROR(VLOOKUP(E75,Listas!$A$2:$C$1048576,3,FALSE),""))</f>
        <v/>
      </c>
    </row>
    <row r="76" spans="10:12" x14ac:dyDescent="0.25">
      <c r="J76" t="str">
        <f>IF(H76="","",IFERROR(VLOOKUP(H76,Listas!$J$2:$K$1048576,2,FALSE),""))</f>
        <v/>
      </c>
      <c r="K76" s="5" t="str">
        <f>IF(OR(I76="",G76=""),"",IF(G76="Saída",-I76,I76))</f>
        <v/>
      </c>
      <c r="L76" t="str">
        <f>IF(E76="","",IFERROR(VLOOKUP(E76,Listas!$A$2:$C$1048576,3,FALSE),""))</f>
        <v/>
      </c>
    </row>
    <row r="77" spans="10:12" x14ac:dyDescent="0.25">
      <c r="J77" t="str">
        <f>IF(H77="","",IFERROR(VLOOKUP(H77,Listas!$J$2:$K$1048576,2,FALSE),""))</f>
        <v/>
      </c>
      <c r="K77" s="5" t="str">
        <f>IF(OR(I77="",G77=""),"",IF(G77="Saída",-I77,I77))</f>
        <v/>
      </c>
      <c r="L77" t="str">
        <f>IF(E77="","",IFERROR(VLOOKUP(E77,Listas!$A$2:$C$1048576,3,FALSE),""))</f>
        <v/>
      </c>
    </row>
    <row r="78" spans="10:12" x14ac:dyDescent="0.25">
      <c r="J78" t="str">
        <f>IF(H78="","",IFERROR(VLOOKUP(H78,Listas!$J$2:$K$1048576,2,FALSE),""))</f>
        <v/>
      </c>
      <c r="K78" s="5" t="str">
        <f>IF(OR(I78="",G78=""),"",IF(G78="Saída",-I78,I78))</f>
        <v/>
      </c>
      <c r="L78" t="str">
        <f>IF(E78="","",IFERROR(VLOOKUP(E78,Listas!$A$2:$C$1048576,3,FALSE),""))</f>
        <v/>
      </c>
    </row>
    <row r="79" spans="10:12" x14ac:dyDescent="0.25">
      <c r="J79" t="str">
        <f>IF(H79="","",IFERROR(VLOOKUP(H79,Listas!$J$2:$K$1048576,2,FALSE),""))</f>
        <v/>
      </c>
      <c r="K79" s="5" t="str">
        <f>IF(OR(I79="",G79=""),"",IF(G79="Saída",-I79,I79))</f>
        <v/>
      </c>
      <c r="L79" t="str">
        <f>IF(E79="","",IFERROR(VLOOKUP(E79,Listas!$A$2:$C$1048576,3,FALSE),""))</f>
        <v/>
      </c>
    </row>
    <row r="80" spans="10:12" x14ac:dyDescent="0.25">
      <c r="J80" t="str">
        <f>IF(H80="","",IFERROR(VLOOKUP(H80,Listas!$J$2:$K$1048576,2,FALSE),""))</f>
        <v/>
      </c>
      <c r="K80" s="5" t="str">
        <f>IF(OR(I80="",G80=""),"",IF(G80="Saída",-I80,I80))</f>
        <v/>
      </c>
      <c r="L80" t="str">
        <f>IF(E80="","",IFERROR(VLOOKUP(E80,Listas!$A$2:$C$1048576,3,FALSE),""))</f>
        <v/>
      </c>
    </row>
    <row r="81" spans="10:12" x14ac:dyDescent="0.25">
      <c r="J81" t="str">
        <f>IF(H81="","",IFERROR(VLOOKUP(H81,Listas!$J$2:$K$1048576,2,FALSE),""))</f>
        <v/>
      </c>
      <c r="K81" s="5" t="str">
        <f>IF(OR(I81="",G81=""),"",IF(G81="Saída",-I81,I81))</f>
        <v/>
      </c>
      <c r="L81" t="str">
        <f>IF(E81="","",IFERROR(VLOOKUP(E81,Listas!$A$2:$C$1048576,3,FALSE),""))</f>
        <v/>
      </c>
    </row>
    <row r="82" spans="10:12" x14ac:dyDescent="0.25">
      <c r="J82" t="str">
        <f>IF(H82="","",IFERROR(VLOOKUP(H82,Listas!$J$2:$K$1048576,2,FALSE),""))</f>
        <v/>
      </c>
      <c r="K82" s="5" t="str">
        <f>IF(OR(I82="",G82=""),"",IF(G82="Saída",-I82,I82))</f>
        <v/>
      </c>
      <c r="L82" t="str">
        <f>IF(E82="","",IFERROR(VLOOKUP(E82,Listas!$A$2:$C$1048576,3,FALSE),""))</f>
        <v/>
      </c>
    </row>
    <row r="83" spans="10:12" x14ac:dyDescent="0.25">
      <c r="J83" t="str">
        <f>IF(H83="","",IFERROR(VLOOKUP(H83,Listas!$J$2:$K$1048576,2,FALSE),""))</f>
        <v/>
      </c>
      <c r="K83" s="5" t="str">
        <f>IF(OR(I83="",G83=""),"",IF(G83="Saída",-I83,I83))</f>
        <v/>
      </c>
      <c r="L83" t="str">
        <f>IF(E83="","",IFERROR(VLOOKUP(E83,Listas!$A$2:$C$1048576,3,FALSE),""))</f>
        <v/>
      </c>
    </row>
    <row r="84" spans="10:12" x14ac:dyDescent="0.25">
      <c r="J84" t="str">
        <f>IF(H84="","",IFERROR(VLOOKUP(H84,Listas!$J$2:$K$1048576,2,FALSE),""))</f>
        <v/>
      </c>
      <c r="K84" s="5" t="str">
        <f>IF(OR(I84="",G84=""),"",IF(G84="Saída",-I84,I84))</f>
        <v/>
      </c>
      <c r="L84" t="str">
        <f>IF(E84="","",IFERROR(VLOOKUP(E84,Listas!$A$2:$C$1048576,3,FALSE),""))</f>
        <v/>
      </c>
    </row>
    <row r="85" spans="10:12" x14ac:dyDescent="0.25">
      <c r="J85" t="str">
        <f>IF(H85="","",IFERROR(VLOOKUP(H85,Listas!$J$2:$K$1048576,2,FALSE),""))</f>
        <v/>
      </c>
      <c r="K85" s="5" t="str">
        <f>IF(OR(I85="",G85=""),"",IF(G85="Saída",-I85,I85))</f>
        <v/>
      </c>
      <c r="L85" t="str">
        <f>IF(E85="","",IFERROR(VLOOKUP(E85,Listas!$A$2:$C$1048576,3,FALSE),""))</f>
        <v/>
      </c>
    </row>
    <row r="86" spans="10:12" x14ac:dyDescent="0.25">
      <c r="J86" t="str">
        <f>IF(H86="","",IFERROR(VLOOKUP(H86,Listas!$J$2:$K$1048576,2,FALSE),""))</f>
        <v/>
      </c>
      <c r="K86" s="5" t="str">
        <f>IF(OR(I86="",G86=""),"",IF(G86="Saída",-I86,I86))</f>
        <v/>
      </c>
      <c r="L86" t="str">
        <f>IF(E86="","",IFERROR(VLOOKUP(E86,Listas!$A$2:$C$1048576,3,FALSE),""))</f>
        <v/>
      </c>
    </row>
    <row r="87" spans="10:12" x14ac:dyDescent="0.25">
      <c r="J87" t="str">
        <f>IF(H87="","",IFERROR(VLOOKUP(H87,Listas!$J$2:$K$1048576,2,FALSE),""))</f>
        <v/>
      </c>
      <c r="K87" s="5" t="str">
        <f>IF(OR(I87="",G87=""),"",IF(G87="Saída",-I87,I87))</f>
        <v/>
      </c>
      <c r="L87" t="str">
        <f>IF(E87="","",IFERROR(VLOOKUP(E87,Listas!$A$2:$C$1048576,3,FALSE),""))</f>
        <v/>
      </c>
    </row>
    <row r="88" spans="10:12" x14ac:dyDescent="0.25">
      <c r="J88" t="str">
        <f>IF(H88="","",IFERROR(VLOOKUP(H88,Listas!$J$2:$K$1048576,2,FALSE),""))</f>
        <v/>
      </c>
      <c r="K88" s="5" t="str">
        <f>IF(OR(I88="",G88=""),"",IF(G88="Saída",-I88,I88))</f>
        <v/>
      </c>
      <c r="L88" t="str">
        <f>IF(E88="","",IFERROR(VLOOKUP(E88,Listas!$A$2:$C$1048576,3,FALSE),""))</f>
        <v/>
      </c>
    </row>
    <row r="89" spans="10:12" x14ac:dyDescent="0.25">
      <c r="J89" t="str">
        <f>IF(H89="","",IFERROR(VLOOKUP(H89,Listas!$J$2:$K$1048576,2,FALSE),""))</f>
        <v/>
      </c>
      <c r="K89" s="5" t="str">
        <f>IF(OR(I89="",G89=""),"",IF(G89="Saída",-I89,I89))</f>
        <v/>
      </c>
      <c r="L89" t="str">
        <f>IF(E89="","",IFERROR(VLOOKUP(E89,Listas!$A$2:$C$1048576,3,FALSE),""))</f>
        <v/>
      </c>
    </row>
    <row r="90" spans="10:12" x14ac:dyDescent="0.25">
      <c r="J90" t="str">
        <f>IF(H90="","",IFERROR(VLOOKUP(H90,Listas!$J$2:$K$1048576,2,FALSE),""))</f>
        <v/>
      </c>
      <c r="K90" s="5" t="str">
        <f>IF(OR(I90="",G90=""),"",IF(G90="Saída",-I90,I90))</f>
        <v/>
      </c>
      <c r="L90" t="str">
        <f>IF(E90="","",IFERROR(VLOOKUP(E90,Listas!$A$2:$C$1048576,3,FALSE),""))</f>
        <v/>
      </c>
    </row>
    <row r="91" spans="10:12" x14ac:dyDescent="0.25">
      <c r="J91" t="str">
        <f>IF(H91="","",IFERROR(VLOOKUP(H91,Listas!$J$2:$K$1048576,2,FALSE),""))</f>
        <v/>
      </c>
      <c r="K91" s="5" t="str">
        <f>IF(OR(I91="",G91=""),"",IF(G91="Saída",-I91,I91))</f>
        <v/>
      </c>
      <c r="L91" t="str">
        <f>IF(E91="","",IFERROR(VLOOKUP(E91,Listas!$A$2:$C$1048576,3,FALSE),""))</f>
        <v/>
      </c>
    </row>
    <row r="92" spans="10:12" x14ac:dyDescent="0.25">
      <c r="J92" t="str">
        <f>IF(H92="","",IFERROR(VLOOKUP(H92,Listas!$J$2:$K$1048576,2,FALSE),""))</f>
        <v/>
      </c>
      <c r="K92" s="5" t="str">
        <f>IF(OR(I92="",G92=""),"",IF(G92="Saída",-I92,I92))</f>
        <v/>
      </c>
      <c r="L92" t="str">
        <f>IF(E92="","",IFERROR(VLOOKUP(E92,Listas!$A$2:$C$1048576,3,FALSE),""))</f>
        <v/>
      </c>
    </row>
    <row r="93" spans="10:12" x14ac:dyDescent="0.25">
      <c r="J93" t="str">
        <f>IF(H93="","",IFERROR(VLOOKUP(H93,Listas!$J$2:$K$1048576,2,FALSE),""))</f>
        <v/>
      </c>
      <c r="K93" s="5" t="str">
        <f>IF(OR(I93="",G93=""),"",IF(G93="Saída",-I93,I93))</f>
        <v/>
      </c>
      <c r="L93" t="str">
        <f>IF(E93="","",IFERROR(VLOOKUP(E93,Listas!$A$2:$C$1048576,3,FALSE),""))</f>
        <v/>
      </c>
    </row>
    <row r="94" spans="10:12" x14ac:dyDescent="0.25">
      <c r="J94" t="str">
        <f>IF(H94="","",IFERROR(VLOOKUP(H94,Listas!$J$2:$K$1048576,2,FALSE),""))</f>
        <v/>
      </c>
      <c r="K94" s="5" t="str">
        <f>IF(OR(I94="",G94=""),"",IF(G94="Saída",-I94,I94))</f>
        <v/>
      </c>
      <c r="L94" t="str">
        <f>IF(E94="","",IFERROR(VLOOKUP(E94,Listas!$A$2:$C$1048576,3,FALSE),""))</f>
        <v/>
      </c>
    </row>
    <row r="95" spans="10:12" x14ac:dyDescent="0.25">
      <c r="J95" t="str">
        <f>IF(H95="","",IFERROR(VLOOKUP(H95,Listas!$J$2:$K$1048576,2,FALSE),""))</f>
        <v/>
      </c>
      <c r="K95" s="5" t="str">
        <f>IF(OR(I95="",G95=""),"",IF(G95="Saída",-I95,I95))</f>
        <v/>
      </c>
      <c r="L95" t="str">
        <f>IF(E95="","",IFERROR(VLOOKUP(E95,Listas!$A$2:$C$1048576,3,FALSE),""))</f>
        <v/>
      </c>
    </row>
    <row r="96" spans="10:12" x14ac:dyDescent="0.25">
      <c r="J96" t="str">
        <f>IF(H96="","",IFERROR(VLOOKUP(H96,Listas!$J$2:$K$1048576,2,FALSE),""))</f>
        <v/>
      </c>
      <c r="K96" s="5" t="str">
        <f>IF(OR(I96="",G96=""),"",IF(G96="Saída",-I96,I96))</f>
        <v/>
      </c>
      <c r="L96" t="str">
        <f>IF(E96="","",IFERROR(VLOOKUP(E96,Listas!$A$2:$C$1048576,3,FALSE),""))</f>
        <v/>
      </c>
    </row>
    <row r="97" spans="10:12" x14ac:dyDescent="0.25">
      <c r="J97" t="str">
        <f>IF(H97="","",IFERROR(VLOOKUP(H97,Listas!$J$2:$K$1048576,2,FALSE),""))</f>
        <v/>
      </c>
      <c r="K97" s="5" t="str">
        <f>IF(OR(I97="",G97=""),"",IF(G97="Saída",-I97,I97))</f>
        <v/>
      </c>
      <c r="L97" t="str">
        <f>IF(E97="","",IFERROR(VLOOKUP(E97,Listas!$A$2:$C$1048576,3,FALSE),""))</f>
        <v/>
      </c>
    </row>
    <row r="98" spans="10:12" x14ac:dyDescent="0.25">
      <c r="J98" t="str">
        <f>IF(H98="","",IFERROR(VLOOKUP(H98,Listas!$J$2:$K$1048576,2,FALSE),""))</f>
        <v/>
      </c>
      <c r="K98" s="5" t="str">
        <f>IF(OR(I98="",G98=""),"",IF(G98="Saída",-I98,I98))</f>
        <v/>
      </c>
      <c r="L98" t="str">
        <f>IF(E98="","",IFERROR(VLOOKUP(E98,Listas!$A$2:$C$1048576,3,FALSE),""))</f>
        <v/>
      </c>
    </row>
    <row r="99" spans="10:12" x14ac:dyDescent="0.25">
      <c r="J99" t="str">
        <f>IF(H99="","",IFERROR(VLOOKUP(H99,Listas!$J$2:$K$1048576,2,FALSE),""))</f>
        <v/>
      </c>
      <c r="K99" s="5" t="str">
        <f>IF(OR(I99="",G99=""),"",IF(G99="Saída",-I99,I99))</f>
        <v/>
      </c>
      <c r="L99" t="str">
        <f>IF(E99="","",IFERROR(VLOOKUP(E99,Listas!$A$2:$C$1048576,3,FALSE),""))</f>
        <v/>
      </c>
    </row>
    <row r="100" spans="10:12" x14ac:dyDescent="0.25">
      <c r="J100" t="str">
        <f>IF(H100="","",IFERROR(VLOOKUP(H100,Listas!$J$2:$K$1048576,2,FALSE),""))</f>
        <v/>
      </c>
      <c r="K100" s="5" t="str">
        <f>IF(OR(I100="",G100=""),"",IF(G100="Saída",-I100,I100))</f>
        <v/>
      </c>
      <c r="L100" t="str">
        <f>IF(E100="","",IFERROR(VLOOKUP(E100,Listas!$A$2:$C$1048576,3,FALSE),""))</f>
        <v/>
      </c>
    </row>
    <row r="101" spans="10:12" x14ac:dyDescent="0.25">
      <c r="J101" t="str">
        <f>IF(H101="","",IFERROR(VLOOKUP(H101,Listas!$J$2:$K$1048576,2,FALSE),""))</f>
        <v/>
      </c>
      <c r="K101" s="5" t="str">
        <f>IF(OR(I101="",G101=""),"",IF(G101="Saída",-I101,I101))</f>
        <v/>
      </c>
      <c r="L101" t="str">
        <f>IF(E101="","",IFERROR(VLOOKUP(E101,Listas!$A$2:$C$1048576,3,FALSE),""))</f>
        <v/>
      </c>
    </row>
    <row r="102" spans="10:12" x14ac:dyDescent="0.25">
      <c r="J102" t="str">
        <f>IF(H102="","",IFERROR(VLOOKUP(H102,Listas!$J$2:$K$1048576,2,FALSE),""))</f>
        <v/>
      </c>
      <c r="K102" s="5" t="str">
        <f>IF(OR(I102="",G102=""),"",IF(G102="Saída",-I102,I102))</f>
        <v/>
      </c>
      <c r="L102" t="str">
        <f>IF(E102="","",IFERROR(VLOOKUP(E102,Listas!$A$2:$C$1048576,3,FALSE),""))</f>
        <v/>
      </c>
    </row>
    <row r="103" spans="10:12" x14ac:dyDescent="0.25">
      <c r="J103" t="str">
        <f>IF(H103="","",IFERROR(VLOOKUP(H103,Listas!$J$2:$K$1048576,2,FALSE),""))</f>
        <v/>
      </c>
      <c r="K103" s="5" t="str">
        <f>IF(OR(I103="",G103=""),"",IF(G103="Saída",-I103,I103))</f>
        <v/>
      </c>
      <c r="L103" t="str">
        <f>IF(E103="","",IFERROR(VLOOKUP(E103,Listas!$A$2:$C$1048576,3,FALSE),""))</f>
        <v/>
      </c>
    </row>
    <row r="104" spans="10:12" x14ac:dyDescent="0.25">
      <c r="J104" t="str">
        <f>IF(H104="","",IFERROR(VLOOKUP(H104,Listas!$J$2:$K$1048576,2,FALSE),""))</f>
        <v/>
      </c>
      <c r="K104" s="5" t="str">
        <f>IF(OR(I104="",G104=""),"",IF(G104="Saída",-I104,I104))</f>
        <v/>
      </c>
      <c r="L104" t="str">
        <f>IF(E104="","",IFERROR(VLOOKUP(E104,Listas!$A$2:$C$1048576,3,FALSE),""))</f>
        <v/>
      </c>
    </row>
    <row r="105" spans="10:12" x14ac:dyDescent="0.25">
      <c r="J105" t="str">
        <f>IF(H105="","",IFERROR(VLOOKUP(H105,Listas!$J$2:$K$1048576,2,FALSE),""))</f>
        <v/>
      </c>
      <c r="K105" s="5" t="str">
        <f>IF(OR(I105="",G105=""),"",IF(G105="Saída",-I105,I105))</f>
        <v/>
      </c>
      <c r="L105" t="str">
        <f>IF(E105="","",IFERROR(VLOOKUP(E105,Listas!$A$2:$C$1048576,3,FALSE),""))</f>
        <v/>
      </c>
    </row>
    <row r="106" spans="10:12" x14ac:dyDescent="0.25">
      <c r="J106" t="str">
        <f>IF(H106="","",IFERROR(VLOOKUP(H106,Listas!$J$2:$K$1048576,2,FALSE),""))</f>
        <v/>
      </c>
      <c r="K106" s="5" t="str">
        <f>IF(OR(I106="",G106=""),"",IF(G106="Saída",-I106,I106))</f>
        <v/>
      </c>
      <c r="L106" t="str">
        <f>IF(E106="","",IFERROR(VLOOKUP(E106,Listas!$A$2:$C$1048576,3,FALSE),""))</f>
        <v/>
      </c>
    </row>
    <row r="107" spans="10:12" x14ac:dyDescent="0.25">
      <c r="J107" t="str">
        <f>IF(H107="","",IFERROR(VLOOKUP(H107,Listas!$J$2:$K$1048576,2,FALSE),""))</f>
        <v/>
      </c>
      <c r="K107" s="5" t="str">
        <f>IF(OR(I107="",G107=""),"",IF(G107="Saída",-I107,I107))</f>
        <v/>
      </c>
      <c r="L107" t="str">
        <f>IF(E107="","",IFERROR(VLOOKUP(E107,Listas!$A$2:$C$1048576,3,FALSE),""))</f>
        <v/>
      </c>
    </row>
    <row r="108" spans="10:12" x14ac:dyDescent="0.25">
      <c r="J108" t="str">
        <f>IF(H108="","",IFERROR(VLOOKUP(H108,Listas!$J$2:$K$1048576,2,FALSE),""))</f>
        <v/>
      </c>
      <c r="K108" s="5" t="str">
        <f>IF(OR(I108="",G108=""),"",IF(G108="Saída",-I108,I108))</f>
        <v/>
      </c>
      <c r="L108" t="str">
        <f>IF(E108="","",IFERROR(VLOOKUP(E108,Listas!$A$2:$C$1048576,3,FALSE),""))</f>
        <v/>
      </c>
    </row>
    <row r="109" spans="10:12" x14ac:dyDescent="0.25">
      <c r="J109" t="str">
        <f>IF(H109="","",IFERROR(VLOOKUP(H109,Listas!$J$2:$K$1048576,2,FALSE),""))</f>
        <v/>
      </c>
      <c r="K109" s="5" t="str">
        <f>IF(OR(I109="",G109=""),"",IF(G109="Saída",-I109,I109))</f>
        <v/>
      </c>
      <c r="L109" t="str">
        <f>IF(E109="","",IFERROR(VLOOKUP(E109,Listas!$A$2:$C$1048576,3,FALSE),""))</f>
        <v/>
      </c>
    </row>
    <row r="110" spans="10:12" x14ac:dyDescent="0.25">
      <c r="J110" t="str">
        <f>IF(H110="","",IFERROR(VLOOKUP(H110,Listas!$J$2:$K$1048576,2,FALSE),""))</f>
        <v/>
      </c>
      <c r="K110" s="5" t="str">
        <f>IF(OR(I110="",G110=""),"",IF(G110="Saída",-I110,I110))</f>
        <v/>
      </c>
      <c r="L110" t="str">
        <f>IF(E110="","",IFERROR(VLOOKUP(E110,Listas!$A$2:$C$1048576,3,FALSE),""))</f>
        <v/>
      </c>
    </row>
    <row r="111" spans="10:12" x14ac:dyDescent="0.25">
      <c r="J111" t="str">
        <f>IF(H111="","",IFERROR(VLOOKUP(H111,Listas!$J$2:$K$1048576,2,FALSE),""))</f>
        <v/>
      </c>
      <c r="K111" s="5" t="str">
        <f>IF(OR(I111="",G111=""),"",IF(G111="Saída",-I111,I111))</f>
        <v/>
      </c>
      <c r="L111" t="str">
        <f>IF(E111="","",IFERROR(VLOOKUP(E111,Listas!$A$2:$C$1048576,3,FALSE),""))</f>
        <v/>
      </c>
    </row>
    <row r="112" spans="10:12" x14ac:dyDescent="0.25">
      <c r="J112" t="str">
        <f>IF(H112="","",IFERROR(VLOOKUP(H112,Listas!$J$2:$K$1048576,2,FALSE),""))</f>
        <v/>
      </c>
      <c r="K112" s="5" t="str">
        <f>IF(OR(I112="",G112=""),"",IF(G112="Saída",-I112,I112))</f>
        <v/>
      </c>
      <c r="L112" t="str">
        <f>IF(E112="","",IFERROR(VLOOKUP(E112,Listas!$A$2:$C$1048576,3,FALSE),""))</f>
        <v/>
      </c>
    </row>
    <row r="113" spans="10:12" x14ac:dyDescent="0.25">
      <c r="J113" t="str">
        <f>IF(H113="","",IFERROR(VLOOKUP(H113,Listas!$J$2:$K$1048576,2,FALSE),""))</f>
        <v/>
      </c>
      <c r="K113" s="5" t="str">
        <f>IF(OR(I113="",G113=""),"",IF(G113="Saída",-I113,I113))</f>
        <v/>
      </c>
      <c r="L113" t="str">
        <f>IF(E113="","",IFERROR(VLOOKUP(E113,Listas!$A$2:$C$1048576,3,FALSE),""))</f>
        <v/>
      </c>
    </row>
    <row r="114" spans="10:12" x14ac:dyDescent="0.25">
      <c r="J114" t="str">
        <f>IF(H114="","",IFERROR(VLOOKUP(H114,Listas!$J$2:$K$1048576,2,FALSE),""))</f>
        <v/>
      </c>
      <c r="K114" s="5" t="str">
        <f>IF(OR(I114="",G114=""),"",IF(G114="Saída",-I114,I114))</f>
        <v/>
      </c>
      <c r="L114" t="str">
        <f>IF(E114="","",IFERROR(VLOOKUP(E114,Listas!$A$2:$C$1048576,3,FALSE),""))</f>
        <v/>
      </c>
    </row>
    <row r="115" spans="10:12" x14ac:dyDescent="0.25">
      <c r="J115" t="str">
        <f>IF(H115="","",IFERROR(VLOOKUP(H115,Listas!$J$2:$K$1048576,2,FALSE),""))</f>
        <v/>
      </c>
      <c r="K115" s="5" t="str">
        <f>IF(OR(I115="",G115=""),"",IF(G115="Saída",-I115,I115))</f>
        <v/>
      </c>
      <c r="L115" t="str">
        <f>IF(E115="","",IFERROR(VLOOKUP(E115,Listas!$A$2:$C$1048576,3,FALSE),""))</f>
        <v/>
      </c>
    </row>
    <row r="116" spans="10:12" x14ac:dyDescent="0.25">
      <c r="J116" t="str">
        <f>IF(H116="","",IFERROR(VLOOKUP(H116,Listas!$J$2:$K$1048576,2,FALSE),""))</f>
        <v/>
      </c>
      <c r="K116" s="5" t="str">
        <f>IF(OR(I116="",G116=""),"",IF(G116="Saída",-I116,I116))</f>
        <v/>
      </c>
      <c r="L116" t="str">
        <f>IF(E116="","",IFERROR(VLOOKUP(E116,Listas!$A$2:$C$1048576,3,FALSE),""))</f>
        <v/>
      </c>
    </row>
    <row r="117" spans="10:12" x14ac:dyDescent="0.25">
      <c r="J117" t="str">
        <f>IF(H117="","",IFERROR(VLOOKUP(H117,Listas!$J$2:$K$1048576,2,FALSE),""))</f>
        <v/>
      </c>
      <c r="K117" s="5" t="str">
        <f>IF(OR(I117="",G117=""),"",IF(G117="Saída",-I117,I117))</f>
        <v/>
      </c>
      <c r="L117" t="str">
        <f>IF(E117="","",IFERROR(VLOOKUP(E117,Listas!$A$2:$C$1048576,3,FALSE),""))</f>
        <v/>
      </c>
    </row>
    <row r="118" spans="10:12" x14ac:dyDescent="0.25">
      <c r="J118" t="str">
        <f>IF(H118="","",IFERROR(VLOOKUP(H118,Listas!$J$2:$K$1048576,2,FALSE),""))</f>
        <v/>
      </c>
      <c r="K118" s="5" t="str">
        <f>IF(OR(I118="",G118=""),"",IF(G118="Saída",-I118,I118))</f>
        <v/>
      </c>
      <c r="L118" t="str">
        <f>IF(E118="","",IFERROR(VLOOKUP(E118,Listas!$A$2:$C$1048576,3,FALSE),""))</f>
        <v/>
      </c>
    </row>
    <row r="119" spans="10:12" x14ac:dyDescent="0.25">
      <c r="J119" t="str">
        <f>IF(H119="","",IFERROR(VLOOKUP(H119,Listas!$J$2:$K$1048576,2,FALSE),""))</f>
        <v/>
      </c>
      <c r="K119" s="5" t="str">
        <f>IF(OR(I119="",G119=""),"",IF(G119="Saída",-I119,I119))</f>
        <v/>
      </c>
      <c r="L119" t="str">
        <f>IF(E119="","",IFERROR(VLOOKUP(E119,Listas!$A$2:$C$1048576,3,FALSE),""))</f>
        <v/>
      </c>
    </row>
    <row r="120" spans="10:12" x14ac:dyDescent="0.25">
      <c r="J120" t="str">
        <f>IF(H120="","",IFERROR(VLOOKUP(H120,Listas!$J$2:$K$1048576,2,FALSE),""))</f>
        <v/>
      </c>
      <c r="K120" s="5" t="str">
        <f>IF(OR(I120="",G120=""),"",IF(G120="Saída",-I120,I120))</f>
        <v/>
      </c>
      <c r="L120" t="str">
        <f>IF(E120="","",IFERROR(VLOOKUP(E120,Listas!$A$2:$C$1048576,3,FALSE),""))</f>
        <v/>
      </c>
    </row>
    <row r="121" spans="10:12" x14ac:dyDescent="0.25">
      <c r="J121" t="str">
        <f>IF(H121="","",IFERROR(VLOOKUP(H121,Listas!$J$2:$K$1048576,2,FALSE),""))</f>
        <v/>
      </c>
      <c r="K121" s="5" t="str">
        <f>IF(OR(I121="",G121=""),"",IF(G121="Saída",-I121,I121))</f>
        <v/>
      </c>
      <c r="L121" t="str">
        <f>IF(E121="","",IFERROR(VLOOKUP(E121,Listas!$A$2:$C$1048576,3,FALSE),""))</f>
        <v/>
      </c>
    </row>
    <row r="122" spans="10:12" x14ac:dyDescent="0.25">
      <c r="J122" t="str">
        <f>IF(H122="","",IFERROR(VLOOKUP(H122,Listas!$J$2:$K$1048576,2,FALSE),""))</f>
        <v/>
      </c>
      <c r="K122" s="5" t="str">
        <f>IF(OR(I122="",G122=""),"",IF(G122="Saída",-I122,I122))</f>
        <v/>
      </c>
      <c r="L122" t="str">
        <f>IF(E122="","",IFERROR(VLOOKUP(E122,Listas!$A$2:$C$1048576,3,FALSE),""))</f>
        <v/>
      </c>
    </row>
    <row r="123" spans="10:12" x14ac:dyDescent="0.25">
      <c r="J123" t="str">
        <f>IF(H123="","",IFERROR(VLOOKUP(H123,Listas!$J$2:$K$1048576,2,FALSE),""))</f>
        <v/>
      </c>
      <c r="K123" s="5" t="str">
        <f>IF(OR(I123="",G123=""),"",IF(G123="Saída",-I123,I123))</f>
        <v/>
      </c>
      <c r="L123" t="str">
        <f>IF(E123="","",IFERROR(VLOOKUP(E123,Listas!$A$2:$C$1048576,3,FALSE),""))</f>
        <v/>
      </c>
    </row>
    <row r="124" spans="10:12" x14ac:dyDescent="0.25">
      <c r="J124" t="str">
        <f>IF(H124="","",IFERROR(VLOOKUP(H124,Listas!$J$2:$K$1048576,2,FALSE),""))</f>
        <v/>
      </c>
      <c r="K124" s="5" t="str">
        <f>IF(OR(I124="",G124=""),"",IF(G124="Saída",-I124,I124))</f>
        <v/>
      </c>
      <c r="L124" t="str">
        <f>IF(E124="","",IFERROR(VLOOKUP(E124,Listas!$A$2:$C$1048576,3,FALSE),""))</f>
        <v/>
      </c>
    </row>
    <row r="125" spans="10:12" x14ac:dyDescent="0.25">
      <c r="J125" t="str">
        <f>IF(H125="","",IFERROR(VLOOKUP(H125,Listas!$J$2:$K$1048576,2,FALSE),""))</f>
        <v/>
      </c>
      <c r="K125" s="5" t="str">
        <f>IF(OR(I125="",G125=""),"",IF(G125="Saída",-I125,I125))</f>
        <v/>
      </c>
      <c r="L125" t="str">
        <f>IF(E125="","",IFERROR(VLOOKUP(E125,Listas!$A$2:$C$1048576,3,FALSE),""))</f>
        <v/>
      </c>
    </row>
    <row r="126" spans="10:12" x14ac:dyDescent="0.25">
      <c r="J126" t="str">
        <f>IF(H126="","",IFERROR(VLOOKUP(H126,Listas!$J$2:$K$1048576,2,FALSE),""))</f>
        <v/>
      </c>
      <c r="K126" s="5" t="str">
        <f>IF(OR(I126="",G126=""),"",IF(G126="Saída",-I126,I126))</f>
        <v/>
      </c>
      <c r="L126" t="str">
        <f>IF(E126="","",IFERROR(VLOOKUP(E126,Listas!$A$2:$C$1048576,3,FALSE),""))</f>
        <v/>
      </c>
    </row>
    <row r="127" spans="10:12" x14ac:dyDescent="0.25">
      <c r="J127" t="str">
        <f>IF(H127="","",IFERROR(VLOOKUP(H127,Listas!$J$2:$K$1048576,2,FALSE),""))</f>
        <v/>
      </c>
      <c r="K127" s="5" t="str">
        <f>IF(OR(I127="",G127=""),"",IF(G127="Saída",-I127,I127))</f>
        <v/>
      </c>
      <c r="L127" t="str">
        <f>IF(E127="","",IFERROR(VLOOKUP(E127,Listas!$A$2:$C$1048576,3,FALSE),""))</f>
        <v/>
      </c>
    </row>
    <row r="128" spans="10:12" x14ac:dyDescent="0.25">
      <c r="J128" t="str">
        <f>IF(H128="","",IFERROR(VLOOKUP(H128,Listas!$J$2:$K$1048576,2,FALSE),""))</f>
        <v/>
      </c>
      <c r="K128" s="5" t="str">
        <f>IF(OR(I128="",G128=""),"",IF(G128="Saída",-I128,I128))</f>
        <v/>
      </c>
      <c r="L128" t="str">
        <f>IF(E128="","",IFERROR(VLOOKUP(E128,Listas!$A$2:$C$1048576,3,FALSE),""))</f>
        <v/>
      </c>
    </row>
    <row r="129" spans="10:12" x14ac:dyDescent="0.25">
      <c r="J129" t="str">
        <f>IF(H129="","",IFERROR(VLOOKUP(H129,Listas!$J$2:$K$1048576,2,FALSE),""))</f>
        <v/>
      </c>
      <c r="K129" s="5" t="str">
        <f>IF(OR(I129="",G129=""),"",IF(G129="Saída",-I129,I129))</f>
        <v/>
      </c>
      <c r="L129" t="str">
        <f>IF(E129="","",IFERROR(VLOOKUP(E129,Listas!$A$2:$C$1048576,3,FALSE),""))</f>
        <v/>
      </c>
    </row>
    <row r="130" spans="10:12" x14ac:dyDescent="0.25">
      <c r="J130" t="str">
        <f>IF(H130="","",IFERROR(VLOOKUP(H130,Listas!$J$2:$K$1048576,2,FALSE),""))</f>
        <v/>
      </c>
      <c r="K130" s="5" t="str">
        <f>IF(OR(I130="",G130=""),"",IF(G130="Saída",-I130,I130))</f>
        <v/>
      </c>
      <c r="L130" t="str">
        <f>IF(E130="","",IFERROR(VLOOKUP(E130,Listas!$A$2:$C$1048576,3,FALSE),""))</f>
        <v/>
      </c>
    </row>
    <row r="131" spans="10:12" x14ac:dyDescent="0.25">
      <c r="J131" t="str">
        <f>IF(H131="","",IFERROR(VLOOKUP(H131,Listas!$J$2:$K$1048576,2,FALSE),""))</f>
        <v/>
      </c>
      <c r="K131" s="5" t="str">
        <f>IF(OR(I131="",G131=""),"",IF(G131="Saída",-I131,I131))</f>
        <v/>
      </c>
      <c r="L131" t="str">
        <f>IF(E131="","",IFERROR(VLOOKUP(E131,Listas!$A$2:$C$1048576,3,FALSE),""))</f>
        <v/>
      </c>
    </row>
    <row r="132" spans="10:12" x14ac:dyDescent="0.25">
      <c r="J132" t="str">
        <f>IF(H132="","",IFERROR(VLOOKUP(H132,Listas!$J$2:$K$1048576,2,FALSE),""))</f>
        <v/>
      </c>
      <c r="K132" s="5" t="str">
        <f>IF(OR(I132="",G132=""),"",IF(G132="Saída",-I132,I132))</f>
        <v/>
      </c>
      <c r="L132" t="str">
        <f>IF(E132="","",IFERROR(VLOOKUP(E132,Listas!$A$2:$C$1048576,3,FALSE),""))</f>
        <v/>
      </c>
    </row>
    <row r="133" spans="10:12" x14ac:dyDescent="0.25">
      <c r="J133" t="str">
        <f>IF(H133="","",IFERROR(VLOOKUP(H133,Listas!$J$2:$K$1048576,2,FALSE),""))</f>
        <v/>
      </c>
      <c r="K133" s="5" t="str">
        <f>IF(OR(I133="",G133=""),"",IF(G133="Saída",-I133,I133))</f>
        <v/>
      </c>
      <c r="L133" t="str">
        <f>IF(E133="","",IFERROR(VLOOKUP(E133,Listas!$A$2:$C$1048576,3,FALSE),""))</f>
        <v/>
      </c>
    </row>
    <row r="134" spans="10:12" x14ac:dyDescent="0.25">
      <c r="J134" t="str">
        <f>IF(H134="","",IFERROR(VLOOKUP(H134,Listas!$J$2:$K$1048576,2,FALSE),""))</f>
        <v/>
      </c>
      <c r="K134" s="5" t="str">
        <f>IF(OR(I134="",G134=""),"",IF(G134="Saída",-I134,I134))</f>
        <v/>
      </c>
      <c r="L134" t="str">
        <f>IF(E134="","",IFERROR(VLOOKUP(E134,Listas!$A$2:$C$1048576,3,FALSE),""))</f>
        <v/>
      </c>
    </row>
    <row r="135" spans="10:12" x14ac:dyDescent="0.25">
      <c r="J135" t="str">
        <f>IF(H135="","",IFERROR(VLOOKUP(H135,Listas!$J$2:$K$1048576,2,FALSE),""))</f>
        <v/>
      </c>
      <c r="K135" s="5" t="str">
        <f>IF(OR(I135="",G135=""),"",IF(G135="Saída",-I135,I135))</f>
        <v/>
      </c>
      <c r="L135" t="str">
        <f>IF(E135="","",IFERROR(VLOOKUP(E135,Listas!$A$2:$C$1048576,3,FALSE),""))</f>
        <v/>
      </c>
    </row>
    <row r="136" spans="10:12" x14ac:dyDescent="0.25">
      <c r="J136" t="str">
        <f>IF(H136="","",IFERROR(VLOOKUP(H136,Listas!$J$2:$K$1048576,2,FALSE),""))</f>
        <v/>
      </c>
      <c r="K136" s="5" t="str">
        <f>IF(OR(I136="",G136=""),"",IF(G136="Saída",-I136,I136))</f>
        <v/>
      </c>
      <c r="L136" t="str">
        <f>IF(E136="","",IFERROR(VLOOKUP(E136,Listas!$A$2:$C$1048576,3,FALSE),""))</f>
        <v/>
      </c>
    </row>
    <row r="137" spans="10:12" x14ac:dyDescent="0.25">
      <c r="J137" t="str">
        <f>IF(H137="","",IFERROR(VLOOKUP(H137,Listas!$J$2:$K$1048576,2,FALSE),""))</f>
        <v/>
      </c>
      <c r="K137" s="5" t="str">
        <f>IF(OR(I137="",G137=""),"",IF(G137="Saída",-I137,I137))</f>
        <v/>
      </c>
      <c r="L137" t="str">
        <f>IF(E137="","",IFERROR(VLOOKUP(E137,Listas!$A$2:$C$1048576,3,FALSE),""))</f>
        <v/>
      </c>
    </row>
    <row r="138" spans="10:12" x14ac:dyDescent="0.25">
      <c r="J138" t="str">
        <f>IF(H138="","",IFERROR(VLOOKUP(H138,Listas!$J$2:$K$1048576,2,FALSE),""))</f>
        <v/>
      </c>
      <c r="K138" s="5" t="str">
        <f>IF(OR(I138="",G138=""),"",IF(G138="Saída",-I138,I138))</f>
        <v/>
      </c>
      <c r="L138" t="str">
        <f>IF(E138="","",IFERROR(VLOOKUP(E138,Listas!$A$2:$C$1048576,3,FALSE),""))</f>
        <v/>
      </c>
    </row>
    <row r="139" spans="10:12" x14ac:dyDescent="0.25">
      <c r="J139" t="str">
        <f>IF(H139="","",IFERROR(VLOOKUP(H139,Listas!$J$2:$K$1048576,2,FALSE),""))</f>
        <v/>
      </c>
      <c r="K139" s="5" t="str">
        <f>IF(OR(I139="",G139=""),"",IF(G139="Saída",-I139,I139))</f>
        <v/>
      </c>
      <c r="L139" t="str">
        <f>IF(E139="","",IFERROR(VLOOKUP(E139,Listas!$A$2:$C$1048576,3,FALSE),""))</f>
        <v/>
      </c>
    </row>
    <row r="140" spans="10:12" x14ac:dyDescent="0.25">
      <c r="J140" t="str">
        <f>IF(H140="","",IFERROR(VLOOKUP(H140,Listas!$J$2:$K$1048576,2,FALSE),""))</f>
        <v/>
      </c>
      <c r="K140" s="5" t="str">
        <f>IF(OR(I140="",G140=""),"",IF(G140="Saída",-I140,I140))</f>
        <v/>
      </c>
      <c r="L140" t="str">
        <f>IF(E140="","",IFERROR(VLOOKUP(E140,Listas!$A$2:$C$1048576,3,FALSE),""))</f>
        <v/>
      </c>
    </row>
    <row r="141" spans="10:12" x14ac:dyDescent="0.25">
      <c r="J141" t="str">
        <f>IF(H141="","",IFERROR(VLOOKUP(H141,Listas!$J$2:$K$1048576,2,FALSE),""))</f>
        <v/>
      </c>
      <c r="K141" s="5" t="str">
        <f>IF(OR(I141="",G141=""),"",IF(G141="Saída",-I141,I141))</f>
        <v/>
      </c>
      <c r="L141" t="str">
        <f>IF(E141="","",IFERROR(VLOOKUP(E141,Listas!$A$2:$C$1048576,3,FALSE),""))</f>
        <v/>
      </c>
    </row>
    <row r="142" spans="10:12" x14ac:dyDescent="0.25">
      <c r="J142" t="str">
        <f>IF(H142="","",IFERROR(VLOOKUP(H142,Listas!$J$2:$K$1048576,2,FALSE),""))</f>
        <v/>
      </c>
      <c r="K142" s="5" t="str">
        <f>IF(OR(I142="",G142=""),"",IF(G142="Saída",-I142,I142))</f>
        <v/>
      </c>
      <c r="L142" t="str">
        <f>IF(E142="","",IFERROR(VLOOKUP(E142,Listas!$A$2:$C$1048576,3,FALSE),""))</f>
        <v/>
      </c>
    </row>
    <row r="143" spans="10:12" x14ac:dyDescent="0.25">
      <c r="J143" t="str">
        <f>IF(H143="","",IFERROR(VLOOKUP(H143,Listas!$J$2:$K$1048576,2,FALSE),""))</f>
        <v/>
      </c>
      <c r="K143" s="5" t="str">
        <f>IF(OR(I143="",G143=""),"",IF(G143="Saída",-I143,I143))</f>
        <v/>
      </c>
      <c r="L143" t="str">
        <f>IF(E143="","",IFERROR(VLOOKUP(E143,Listas!$A$2:$C$1048576,3,FALSE),""))</f>
        <v/>
      </c>
    </row>
    <row r="144" spans="10:12" x14ac:dyDescent="0.25">
      <c r="J144" t="str">
        <f>IF(H144="","",IFERROR(VLOOKUP(H144,Listas!$J$2:$K$1048576,2,FALSE),""))</f>
        <v/>
      </c>
      <c r="K144" s="5" t="str">
        <f>IF(OR(I144="",G144=""),"",IF(G144="Saída",-I144,I144))</f>
        <v/>
      </c>
      <c r="L144" t="str">
        <f>IF(E144="","",IFERROR(VLOOKUP(E144,Listas!$A$2:$C$1048576,3,FALSE),""))</f>
        <v/>
      </c>
    </row>
    <row r="145" spans="10:12" x14ac:dyDescent="0.25">
      <c r="J145" t="str">
        <f>IF(H145="","",IFERROR(VLOOKUP(H145,Listas!$J$2:$K$1048576,2,FALSE),""))</f>
        <v/>
      </c>
      <c r="K145" s="5" t="str">
        <f>IF(OR(I145="",G145=""),"",IF(G145="Saída",-I145,I145))</f>
        <v/>
      </c>
      <c r="L145" t="str">
        <f>IF(E145="","",IFERROR(VLOOKUP(E145,Listas!$A$2:$C$1048576,3,FALSE),""))</f>
        <v/>
      </c>
    </row>
    <row r="146" spans="10:12" x14ac:dyDescent="0.25">
      <c r="J146" t="str">
        <f>IF(H146="","",IFERROR(VLOOKUP(H146,Listas!$J$2:$K$1048576,2,FALSE),""))</f>
        <v/>
      </c>
      <c r="K146" s="5" t="str">
        <f>IF(OR(I146="",G146=""),"",IF(G146="Saída",-I146,I146))</f>
        <v/>
      </c>
      <c r="L146" t="str">
        <f>IF(E146="","",IFERROR(VLOOKUP(E146,Listas!$A$2:$C$1048576,3,FALSE),""))</f>
        <v/>
      </c>
    </row>
    <row r="147" spans="10:12" x14ac:dyDescent="0.25">
      <c r="J147" t="str">
        <f>IF(H147="","",IFERROR(VLOOKUP(H147,Listas!$J$2:$K$1048576,2,FALSE),""))</f>
        <v/>
      </c>
      <c r="K147" s="5" t="str">
        <f>IF(OR(I147="",G147=""),"",IF(G147="Saída",-I147,I147))</f>
        <v/>
      </c>
      <c r="L147" t="str">
        <f>IF(E147="","",IFERROR(VLOOKUP(E147,Listas!$A$2:$C$1048576,3,FALSE),""))</f>
        <v/>
      </c>
    </row>
    <row r="148" spans="10:12" x14ac:dyDescent="0.25">
      <c r="J148" t="str">
        <f>IF(H148="","",IFERROR(VLOOKUP(H148,Listas!$J$2:$K$1048576,2,FALSE),""))</f>
        <v/>
      </c>
      <c r="K148" s="5" t="str">
        <f>IF(OR(I148="",G148=""),"",IF(G148="Saída",-I148,I148))</f>
        <v/>
      </c>
      <c r="L148" t="str">
        <f>IF(E148="","",IFERROR(VLOOKUP(E148,Listas!$A$2:$C$1048576,3,FALSE),""))</f>
        <v/>
      </c>
    </row>
    <row r="149" spans="10:12" x14ac:dyDescent="0.25">
      <c r="J149" t="str">
        <f>IF(H149="","",IFERROR(VLOOKUP(H149,Listas!$J$2:$K$1048576,2,FALSE),""))</f>
        <v/>
      </c>
      <c r="K149" s="5" t="str">
        <f>IF(OR(I149="",G149=""),"",IF(G149="Saída",-I149,I149))</f>
        <v/>
      </c>
      <c r="L149" t="str">
        <f>IF(E149="","",IFERROR(VLOOKUP(E149,Listas!$A$2:$C$1048576,3,FALSE),""))</f>
        <v/>
      </c>
    </row>
    <row r="150" spans="10:12" x14ac:dyDescent="0.25">
      <c r="J150" t="str">
        <f>IF(H150="","",IFERROR(VLOOKUP(H150,Listas!$J$2:$K$1048576,2,FALSE),""))</f>
        <v/>
      </c>
      <c r="K150" s="5" t="str">
        <f>IF(OR(I150="",G150=""),"",IF(G150="Saída",-I150,I150))</f>
        <v/>
      </c>
      <c r="L150" t="str">
        <f>IF(E150="","",IFERROR(VLOOKUP(E150,Listas!$A$2:$C$1048576,3,FALSE),""))</f>
        <v/>
      </c>
    </row>
    <row r="151" spans="10:12" x14ac:dyDescent="0.25">
      <c r="J151" t="str">
        <f>IF(H151="","",IFERROR(VLOOKUP(H151,Listas!$J$2:$K$1048576,2,FALSE),""))</f>
        <v/>
      </c>
      <c r="K151" s="5" t="str">
        <f>IF(OR(I151="",G151=""),"",IF(G151="Saída",-I151,I151))</f>
        <v/>
      </c>
      <c r="L151" t="str">
        <f>IF(E151="","",IFERROR(VLOOKUP(E151,Listas!$A$2:$C$1048576,3,FALSE),""))</f>
        <v/>
      </c>
    </row>
    <row r="152" spans="10:12" x14ac:dyDescent="0.25">
      <c r="J152" t="str">
        <f>IF(H152="","",IFERROR(VLOOKUP(H152,Listas!$J$2:$K$1048576,2,FALSE),""))</f>
        <v/>
      </c>
      <c r="K152" s="5" t="str">
        <f>IF(OR(I152="",G152=""),"",IF(G152="Saída",-I152,I152))</f>
        <v/>
      </c>
      <c r="L152" t="str">
        <f>IF(E152="","",IFERROR(VLOOKUP(E152,Listas!$A$2:$C$1048576,3,FALSE),""))</f>
        <v/>
      </c>
    </row>
    <row r="153" spans="10:12" x14ac:dyDescent="0.25">
      <c r="J153" t="str">
        <f>IF(H153="","",IFERROR(VLOOKUP(H153,Listas!$J$2:$K$1048576,2,FALSE),""))</f>
        <v/>
      </c>
      <c r="K153" s="5" t="str">
        <f>IF(OR(I153="",G153=""),"",IF(G153="Saída",-I153,I153))</f>
        <v/>
      </c>
      <c r="L153" t="str">
        <f>IF(E153="","",IFERROR(VLOOKUP(E153,Listas!$A$2:$C$1048576,3,FALSE),""))</f>
        <v/>
      </c>
    </row>
    <row r="154" spans="10:12" x14ac:dyDescent="0.25">
      <c r="J154" t="str">
        <f>IF(H154="","",IFERROR(VLOOKUP(H154,Listas!$J$2:$K$1048576,2,FALSE),""))</f>
        <v/>
      </c>
      <c r="K154" s="5" t="str">
        <f>IF(OR(I154="",G154=""),"",IF(G154="Saída",-I154,I154))</f>
        <v/>
      </c>
      <c r="L154" t="str">
        <f>IF(E154="","",IFERROR(VLOOKUP(E154,Listas!$A$2:$C$1048576,3,FALSE),""))</f>
        <v/>
      </c>
    </row>
    <row r="155" spans="10:12" x14ac:dyDescent="0.25">
      <c r="J155" t="str">
        <f>IF(H155="","",IFERROR(VLOOKUP(H155,Listas!$J$2:$K$1048576,2,FALSE),""))</f>
        <v/>
      </c>
      <c r="K155" s="5" t="str">
        <f>IF(OR(I155="",G155=""),"",IF(G155="Saída",-I155,I155))</f>
        <v/>
      </c>
      <c r="L155" t="str">
        <f>IF(E155="","",IFERROR(VLOOKUP(E155,Listas!$A$2:$C$1048576,3,FALSE),""))</f>
        <v/>
      </c>
    </row>
    <row r="156" spans="10:12" x14ac:dyDescent="0.25">
      <c r="J156" t="str">
        <f>IF(H156="","",IFERROR(VLOOKUP(H156,Listas!$J$2:$K$1048576,2,FALSE),""))</f>
        <v/>
      </c>
      <c r="K156" s="5" t="str">
        <f>IF(OR(I156="",G156=""),"",IF(G156="Saída",-I156,I156))</f>
        <v/>
      </c>
      <c r="L156" t="str">
        <f>IF(E156="","",IFERROR(VLOOKUP(E156,Listas!$A$2:$C$1048576,3,FALSE),""))</f>
        <v/>
      </c>
    </row>
    <row r="157" spans="10:12" x14ac:dyDescent="0.25">
      <c r="J157" t="str">
        <f>IF(H157="","",IFERROR(VLOOKUP(H157,Listas!$J$2:$K$1048576,2,FALSE),""))</f>
        <v/>
      </c>
      <c r="K157" s="5" t="str">
        <f>IF(OR(I157="",G157=""),"",IF(G157="Saída",-I157,I157))</f>
        <v/>
      </c>
      <c r="L157" t="str">
        <f>IF(E157="","",IFERROR(VLOOKUP(E157,Listas!$A$2:$C$1048576,3,FALSE),""))</f>
        <v/>
      </c>
    </row>
    <row r="158" spans="10:12" x14ac:dyDescent="0.25">
      <c r="J158" t="str">
        <f>IF(H158="","",IFERROR(VLOOKUP(H158,Listas!$J$2:$K$1048576,2,FALSE),""))</f>
        <v/>
      </c>
      <c r="K158" s="5" t="str">
        <f>IF(OR(I158="",G158=""),"",IF(G158="Saída",-I158,I158))</f>
        <v/>
      </c>
      <c r="L158" t="str">
        <f>IF(E158="","",IFERROR(VLOOKUP(E158,Listas!$A$2:$C$1048576,3,FALSE),""))</f>
        <v/>
      </c>
    </row>
    <row r="159" spans="10:12" x14ac:dyDescent="0.25">
      <c r="J159" t="str">
        <f>IF(H159="","",IFERROR(VLOOKUP(H159,Listas!$J$2:$K$1048576,2,FALSE),""))</f>
        <v/>
      </c>
      <c r="K159" s="5" t="str">
        <f>IF(OR(I159="",G159=""),"",IF(G159="Saída",-I159,I159))</f>
        <v/>
      </c>
      <c r="L159" t="str">
        <f>IF(E159="","",IFERROR(VLOOKUP(E159,Listas!$A$2:$C$1048576,3,FALSE),""))</f>
        <v/>
      </c>
    </row>
    <row r="160" spans="10:12" x14ac:dyDescent="0.25">
      <c r="J160" t="str">
        <f>IF(H160="","",IFERROR(VLOOKUP(H160,Listas!$J$2:$K$1048576,2,FALSE),""))</f>
        <v/>
      </c>
      <c r="K160" s="5" t="str">
        <f>IF(OR(I160="",G160=""),"",IF(G160="Saída",-I160,I160))</f>
        <v/>
      </c>
      <c r="L160" t="str">
        <f>IF(E160="","",IFERROR(VLOOKUP(E160,Listas!$A$2:$C$1048576,3,FALSE),""))</f>
        <v/>
      </c>
    </row>
    <row r="161" spans="10:12" x14ac:dyDescent="0.25">
      <c r="J161" t="str">
        <f>IF(H161="","",IFERROR(VLOOKUP(H161,Listas!$J$2:$K$1048576,2,FALSE),""))</f>
        <v/>
      </c>
      <c r="K161" s="5" t="str">
        <f>IF(OR(I161="",G161=""),"",IF(G161="Saída",-I161,I161))</f>
        <v/>
      </c>
      <c r="L161" t="str">
        <f>IF(E161="","",IFERROR(VLOOKUP(E161,Listas!$A$2:$C$1048576,3,FALSE),""))</f>
        <v/>
      </c>
    </row>
    <row r="162" spans="10:12" x14ac:dyDescent="0.25">
      <c r="J162" t="str">
        <f>IF(H162="","",IFERROR(VLOOKUP(H162,Listas!$J$2:$K$1048576,2,FALSE),""))</f>
        <v/>
      </c>
      <c r="K162" s="5" t="str">
        <f>IF(OR(I162="",G162=""),"",IF(G162="Saída",-I162,I162))</f>
        <v/>
      </c>
      <c r="L162" t="str">
        <f>IF(E162="","",IFERROR(VLOOKUP(E162,Listas!$A$2:$C$1048576,3,FALSE),""))</f>
        <v/>
      </c>
    </row>
    <row r="163" spans="10:12" x14ac:dyDescent="0.25">
      <c r="J163" t="str">
        <f>IF(H163="","",IFERROR(VLOOKUP(H163,Listas!$J$2:$K$1048576,2,FALSE),""))</f>
        <v/>
      </c>
      <c r="K163" s="5" t="str">
        <f>IF(OR(I163="",G163=""),"",IF(G163="Saída",-I163,I163))</f>
        <v/>
      </c>
      <c r="L163" t="str">
        <f>IF(E163="","",IFERROR(VLOOKUP(E163,Listas!$A$2:$C$1048576,3,FALSE),""))</f>
        <v/>
      </c>
    </row>
    <row r="164" spans="10:12" x14ac:dyDescent="0.25">
      <c r="J164" t="str">
        <f>IF(H164="","",IFERROR(VLOOKUP(H164,Listas!$J$2:$K$1048576,2,FALSE),""))</f>
        <v/>
      </c>
      <c r="K164" s="5" t="str">
        <f>IF(OR(I164="",G164=""),"",IF(G164="Saída",-I164,I164))</f>
        <v/>
      </c>
      <c r="L164" t="str">
        <f>IF(E164="","",IFERROR(VLOOKUP(E164,Listas!$A$2:$C$1048576,3,FALSE),""))</f>
        <v/>
      </c>
    </row>
    <row r="165" spans="10:12" x14ac:dyDescent="0.25">
      <c r="J165" t="str">
        <f>IF(H165="","",IFERROR(VLOOKUP(H165,Listas!$J$2:$K$1048576,2,FALSE),""))</f>
        <v/>
      </c>
      <c r="K165" s="5" t="str">
        <f>IF(OR(I165="",G165=""),"",IF(G165="Saída",-I165,I165))</f>
        <v/>
      </c>
      <c r="L165" t="str">
        <f>IF(E165="","",IFERROR(VLOOKUP(E165,Listas!$A$2:$C$1048576,3,FALSE),""))</f>
        <v/>
      </c>
    </row>
    <row r="166" spans="10:12" x14ac:dyDescent="0.25">
      <c r="J166" t="str">
        <f>IF(H166="","",IFERROR(VLOOKUP(H166,Listas!$J$2:$K$1048576,2,FALSE),""))</f>
        <v/>
      </c>
      <c r="K166" s="5" t="str">
        <f>IF(OR(I166="",G166=""),"",IF(G166="Saída",-I166,I166))</f>
        <v/>
      </c>
      <c r="L166" t="str">
        <f>IF(E166="","",IFERROR(VLOOKUP(E166,Listas!$A$2:$C$1048576,3,FALSE),""))</f>
        <v/>
      </c>
    </row>
    <row r="167" spans="10:12" x14ac:dyDescent="0.25">
      <c r="J167" t="str">
        <f>IF(H167="","",IFERROR(VLOOKUP(H167,Listas!$J$2:$K$1048576,2,FALSE),""))</f>
        <v/>
      </c>
      <c r="K167" s="5" t="str">
        <f>IF(OR(I167="",G167=""),"",IF(G167="Saída",-I167,I167))</f>
        <v/>
      </c>
      <c r="L167" t="str">
        <f>IF(E167="","",IFERROR(VLOOKUP(E167,Listas!$A$2:$C$1048576,3,FALSE),""))</f>
        <v/>
      </c>
    </row>
    <row r="168" spans="10:12" x14ac:dyDescent="0.25">
      <c r="J168" t="str">
        <f>IF(H168="","",IFERROR(VLOOKUP(H168,Listas!$J$2:$K$1048576,2,FALSE),""))</f>
        <v/>
      </c>
      <c r="K168" s="5" t="str">
        <f>IF(OR(I168="",G168=""),"",IF(G168="Saída",-I168,I168))</f>
        <v/>
      </c>
      <c r="L168" t="str">
        <f>IF(E168="","",IFERROR(VLOOKUP(E168,Listas!$A$2:$C$1048576,3,FALSE),""))</f>
        <v/>
      </c>
    </row>
    <row r="169" spans="10:12" x14ac:dyDescent="0.25">
      <c r="J169" t="str">
        <f>IF(H169="","",IFERROR(VLOOKUP(H169,Listas!$J$2:$K$1048576,2,FALSE),""))</f>
        <v/>
      </c>
      <c r="K169" s="5" t="str">
        <f>IF(OR(I169="",G169=""),"",IF(G169="Saída",-I169,I169))</f>
        <v/>
      </c>
      <c r="L169" t="str">
        <f>IF(E169="","",IFERROR(VLOOKUP(E169,Listas!$A$2:$C$1048576,3,FALSE),""))</f>
        <v/>
      </c>
    </row>
    <row r="170" spans="10:12" x14ac:dyDescent="0.25">
      <c r="J170" t="str">
        <f>IF(H170="","",IFERROR(VLOOKUP(H170,Listas!$J$2:$K$1048576,2,FALSE),""))</f>
        <v/>
      </c>
      <c r="K170" s="5" t="str">
        <f>IF(OR(I170="",G170=""),"",IF(G170="Saída",-I170,I170))</f>
        <v/>
      </c>
      <c r="L170" t="str">
        <f>IF(E170="","",IFERROR(VLOOKUP(E170,Listas!$A$2:$C$1048576,3,FALSE),""))</f>
        <v/>
      </c>
    </row>
    <row r="171" spans="10:12" x14ac:dyDescent="0.25">
      <c r="J171" t="str">
        <f>IF(H171="","",IFERROR(VLOOKUP(H171,Listas!$J$2:$K$1048576,2,FALSE),""))</f>
        <v/>
      </c>
      <c r="K171" s="5" t="str">
        <f>IF(OR(I171="",G171=""),"",IF(G171="Saída",-I171,I171))</f>
        <v/>
      </c>
      <c r="L171" t="str">
        <f>IF(E171="","",IFERROR(VLOOKUP(E171,Listas!$A$2:$C$1048576,3,FALSE),""))</f>
        <v/>
      </c>
    </row>
    <row r="172" spans="10:12" x14ac:dyDescent="0.25">
      <c r="J172" t="str">
        <f>IF(H172="","",IFERROR(VLOOKUP(H172,Listas!$J$2:$K$1048576,2,FALSE),""))</f>
        <v/>
      </c>
      <c r="K172" s="5" t="str">
        <f>IF(OR(I172="",G172=""),"",IF(G172="Saída",-I172,I172))</f>
        <v/>
      </c>
      <c r="L172" t="str">
        <f>IF(E172="","",IFERROR(VLOOKUP(E172,Listas!$A$2:$C$1048576,3,FALSE),""))</f>
        <v/>
      </c>
    </row>
    <row r="173" spans="10:12" x14ac:dyDescent="0.25">
      <c r="J173" t="str">
        <f>IF(H173="","",IFERROR(VLOOKUP(H173,Listas!$J$2:$K$1048576,2,FALSE),""))</f>
        <v/>
      </c>
      <c r="K173" s="5" t="str">
        <f>IF(OR(I173="",G173=""),"",IF(G173="Saída",-I173,I173))</f>
        <v/>
      </c>
      <c r="L173" t="str">
        <f>IF(E173="","",IFERROR(VLOOKUP(E173,Listas!$A$2:$C$1048576,3,FALSE),""))</f>
        <v/>
      </c>
    </row>
    <row r="174" spans="10:12" x14ac:dyDescent="0.25">
      <c r="J174" t="str">
        <f>IF(H174="","",IFERROR(VLOOKUP(H174,Listas!$J$2:$K$1048576,2,FALSE),""))</f>
        <v/>
      </c>
      <c r="K174" s="5" t="str">
        <f>IF(OR(I174="",G174=""),"",IF(G174="Saída",-I174,I174))</f>
        <v/>
      </c>
      <c r="L174" t="str">
        <f>IF(E174="","",IFERROR(VLOOKUP(E174,Listas!$A$2:$C$1048576,3,FALSE),""))</f>
        <v/>
      </c>
    </row>
    <row r="175" spans="10:12" x14ac:dyDescent="0.25">
      <c r="J175" t="str">
        <f>IF(H175="","",IFERROR(VLOOKUP(H175,Listas!$J$2:$K$1048576,2,FALSE),""))</f>
        <v/>
      </c>
      <c r="K175" s="5" t="str">
        <f>IF(OR(I175="",G175=""),"",IF(G175="Saída",-I175,I175))</f>
        <v/>
      </c>
      <c r="L175" t="str">
        <f>IF(E175="","",IFERROR(VLOOKUP(E175,Listas!$A$2:$C$1048576,3,FALSE),""))</f>
        <v/>
      </c>
    </row>
    <row r="176" spans="10:12" x14ac:dyDescent="0.25">
      <c r="J176" t="str">
        <f>IF(H176="","",IFERROR(VLOOKUP(H176,Listas!$J$2:$K$1048576,2,FALSE),""))</f>
        <v/>
      </c>
      <c r="K176" s="5" t="str">
        <f>IF(OR(I176="",G176=""),"",IF(G176="Saída",-I176,I176))</f>
        <v/>
      </c>
      <c r="L176" t="str">
        <f>IF(E176="","",IFERROR(VLOOKUP(E176,Listas!$A$2:$C$1048576,3,FALSE),""))</f>
        <v/>
      </c>
    </row>
    <row r="177" spans="10:12" x14ac:dyDescent="0.25">
      <c r="J177" t="str">
        <f>IF(H177="","",IFERROR(VLOOKUP(H177,Listas!$J$2:$K$1048576,2,FALSE),""))</f>
        <v/>
      </c>
      <c r="K177" s="5" t="str">
        <f>IF(OR(I177="",G177=""),"",IF(G177="Saída",-I177,I177))</f>
        <v/>
      </c>
      <c r="L177" t="str">
        <f>IF(E177="","",IFERROR(VLOOKUP(E177,Listas!$A$2:$C$1048576,3,FALSE),""))</f>
        <v/>
      </c>
    </row>
    <row r="178" spans="10:12" x14ac:dyDescent="0.25">
      <c r="J178" t="str">
        <f>IF(H178="","",IFERROR(VLOOKUP(H178,Listas!$J$2:$K$1048576,2,FALSE),""))</f>
        <v/>
      </c>
      <c r="K178" s="5" t="str">
        <f>IF(OR(I178="",G178=""),"",IF(G178="Saída",-I178,I178))</f>
        <v/>
      </c>
      <c r="L178" t="str">
        <f>IF(E178="","",IFERROR(VLOOKUP(E178,Listas!$A$2:$C$1048576,3,FALSE),""))</f>
        <v/>
      </c>
    </row>
    <row r="179" spans="10:12" x14ac:dyDescent="0.25">
      <c r="J179" t="str">
        <f>IF(H179="","",IFERROR(VLOOKUP(H179,Listas!$J$2:$K$1048576,2,FALSE),""))</f>
        <v/>
      </c>
      <c r="K179" s="5" t="str">
        <f>IF(OR(I179="",G179=""),"",IF(G179="Saída",-I179,I179))</f>
        <v/>
      </c>
      <c r="L179" t="str">
        <f>IF(E179="","",IFERROR(VLOOKUP(E179,Listas!$A$2:$C$1048576,3,FALSE),""))</f>
        <v/>
      </c>
    </row>
    <row r="180" spans="10:12" x14ac:dyDescent="0.25">
      <c r="J180" t="str">
        <f>IF(H180="","",IFERROR(VLOOKUP(H180,Listas!$J$2:$K$1048576,2,FALSE),""))</f>
        <v/>
      </c>
      <c r="K180" s="5" t="str">
        <f>IF(OR(I180="",G180=""),"",IF(G180="Saída",-I180,I180))</f>
        <v/>
      </c>
      <c r="L180" t="str">
        <f>IF(E180="","",IFERROR(VLOOKUP(E180,Listas!$A$2:$C$1048576,3,FALSE),""))</f>
        <v/>
      </c>
    </row>
    <row r="181" spans="10:12" x14ac:dyDescent="0.25">
      <c r="J181" t="str">
        <f>IF(H181="","",IFERROR(VLOOKUP(H181,Listas!$J$2:$K$1048576,2,FALSE),""))</f>
        <v/>
      </c>
      <c r="K181" s="5" t="str">
        <f>IF(OR(I181="",G181=""),"",IF(G181="Saída",-I181,I181))</f>
        <v/>
      </c>
      <c r="L181" t="str">
        <f>IF(E181="","",IFERROR(VLOOKUP(E181,Listas!$A$2:$C$1048576,3,FALSE),""))</f>
        <v/>
      </c>
    </row>
    <row r="182" spans="10:12" x14ac:dyDescent="0.25">
      <c r="J182" t="str">
        <f>IF(H182="","",IFERROR(VLOOKUP(H182,Listas!$J$2:$K$1048576,2,FALSE),""))</f>
        <v/>
      </c>
      <c r="K182" s="5" t="str">
        <f>IF(OR(I182="",G182=""),"",IF(G182="Saída",-I182,I182))</f>
        <v/>
      </c>
      <c r="L182" t="str">
        <f>IF(E182="","",IFERROR(VLOOKUP(E182,Listas!$A$2:$C$1048576,3,FALSE),""))</f>
        <v/>
      </c>
    </row>
    <row r="183" spans="10:12" x14ac:dyDescent="0.25">
      <c r="J183" t="str">
        <f>IF(H183="","",IFERROR(VLOOKUP(H183,Listas!$J$2:$K$1048576,2,FALSE),""))</f>
        <v/>
      </c>
      <c r="K183" s="5" t="str">
        <f>IF(OR(I183="",G183=""),"",IF(G183="Saída",-I183,I183))</f>
        <v/>
      </c>
      <c r="L183" t="str">
        <f>IF(E183="","",IFERROR(VLOOKUP(E183,Listas!$A$2:$C$1048576,3,FALSE),""))</f>
        <v/>
      </c>
    </row>
    <row r="184" spans="10:12" x14ac:dyDescent="0.25">
      <c r="J184" t="str">
        <f>IF(H184="","",IFERROR(VLOOKUP(H184,Listas!$J$2:$K$1048576,2,FALSE),""))</f>
        <v/>
      </c>
      <c r="K184" s="5" t="str">
        <f>IF(OR(I184="",G184=""),"",IF(G184="Saída",-I184,I184))</f>
        <v/>
      </c>
      <c r="L184" t="str">
        <f>IF(E184="","",IFERROR(VLOOKUP(E184,Listas!$A$2:$C$1048576,3,FALSE),""))</f>
        <v/>
      </c>
    </row>
    <row r="185" spans="10:12" x14ac:dyDescent="0.25">
      <c r="J185" t="str">
        <f>IF(H185="","",IFERROR(VLOOKUP(H185,Listas!$J$2:$K$1048576,2,FALSE),""))</f>
        <v/>
      </c>
      <c r="K185" s="5" t="str">
        <f>IF(OR(I185="",G185=""),"",IF(G185="Saída",-I185,I185))</f>
        <v/>
      </c>
      <c r="L185" t="str">
        <f>IF(E185="","",IFERROR(VLOOKUP(E185,Listas!$A$2:$C$1048576,3,FALSE),""))</f>
        <v/>
      </c>
    </row>
    <row r="186" spans="10:12" x14ac:dyDescent="0.25">
      <c r="J186" t="str">
        <f>IF(H186="","",IFERROR(VLOOKUP(H186,Listas!$J$2:$K$1048576,2,FALSE),""))</f>
        <v/>
      </c>
      <c r="K186" s="5" t="str">
        <f>IF(OR(I186="",G186=""),"",IF(G186="Saída",-I186,I186))</f>
        <v/>
      </c>
      <c r="L186" t="str">
        <f>IF(E186="","",IFERROR(VLOOKUP(E186,Listas!$A$2:$C$1048576,3,FALSE),""))</f>
        <v/>
      </c>
    </row>
    <row r="187" spans="10:12" x14ac:dyDescent="0.25">
      <c r="J187" t="str">
        <f>IF(H187="","",IFERROR(VLOOKUP(H187,Listas!$J$2:$K$1048576,2,FALSE),""))</f>
        <v/>
      </c>
      <c r="K187" s="5" t="str">
        <f>IF(OR(I187="",G187=""),"",IF(G187="Saída",-I187,I187))</f>
        <v/>
      </c>
      <c r="L187" t="str">
        <f>IF(E187="","",IFERROR(VLOOKUP(E187,Listas!$A$2:$C$1048576,3,FALSE),""))</f>
        <v/>
      </c>
    </row>
    <row r="188" spans="10:12" x14ac:dyDescent="0.25">
      <c r="J188" t="str">
        <f>IF(H188="","",IFERROR(VLOOKUP(H188,Listas!$J$2:$K$1048576,2,FALSE),""))</f>
        <v/>
      </c>
      <c r="K188" s="5" t="str">
        <f>IF(OR(I188="",G188=""),"",IF(G188="Saída",-I188,I188))</f>
        <v/>
      </c>
      <c r="L188" t="str">
        <f>IF(E188="","",IFERROR(VLOOKUP(E188,Listas!$A$2:$C$1048576,3,FALSE),""))</f>
        <v/>
      </c>
    </row>
    <row r="189" spans="10:12" x14ac:dyDescent="0.25">
      <c r="J189" t="str">
        <f>IF(H189="","",IFERROR(VLOOKUP(H189,Listas!$J$2:$K$1048576,2,FALSE),""))</f>
        <v/>
      </c>
      <c r="K189" s="5" t="str">
        <f>IF(OR(I189="",G189=""),"",IF(G189="Saída",-I189,I189))</f>
        <v/>
      </c>
      <c r="L189" t="str">
        <f>IF(E189="","",IFERROR(VLOOKUP(E189,Listas!$A$2:$C$1048576,3,FALSE),""))</f>
        <v/>
      </c>
    </row>
    <row r="190" spans="10:12" x14ac:dyDescent="0.25">
      <c r="J190" t="str">
        <f>IF(H190="","",IFERROR(VLOOKUP(H190,Listas!$J$2:$K$1048576,2,FALSE),""))</f>
        <v/>
      </c>
      <c r="K190" s="5" t="str">
        <f>IF(OR(I190="",G190=""),"",IF(G190="Saída",-I190,I190))</f>
        <v/>
      </c>
      <c r="L190" t="str">
        <f>IF(E190="","",IFERROR(VLOOKUP(E190,Listas!$A$2:$C$1048576,3,FALSE),""))</f>
        <v/>
      </c>
    </row>
    <row r="191" spans="10:12" x14ac:dyDescent="0.25">
      <c r="J191" t="str">
        <f>IF(H191="","",IFERROR(VLOOKUP(H191,Listas!$J$2:$K$1048576,2,FALSE),""))</f>
        <v/>
      </c>
      <c r="K191" s="5" t="str">
        <f>IF(OR(I191="",G191=""),"",IF(G191="Saída",-I191,I191))</f>
        <v/>
      </c>
      <c r="L191" t="str">
        <f>IF(E191="","",IFERROR(VLOOKUP(E191,Listas!$A$2:$C$1048576,3,FALSE),""))</f>
        <v/>
      </c>
    </row>
    <row r="192" spans="10:12" x14ac:dyDescent="0.25">
      <c r="J192" t="str">
        <f>IF(H192="","",IFERROR(VLOOKUP(H192,Listas!$J$2:$K$1048576,2,FALSE),""))</f>
        <v/>
      </c>
      <c r="K192" s="5" t="str">
        <f>IF(OR(I192="",G192=""),"",IF(G192="Saída",-I192,I192))</f>
        <v/>
      </c>
      <c r="L192" t="str">
        <f>IF(E192="","",IFERROR(VLOOKUP(E192,Listas!$A$2:$C$1048576,3,FALSE),""))</f>
        <v/>
      </c>
    </row>
    <row r="193" spans="10:12" x14ac:dyDescent="0.25">
      <c r="J193" t="str">
        <f>IF(H193="","",IFERROR(VLOOKUP(H193,Listas!$J$2:$K$1048576,2,FALSE),""))</f>
        <v/>
      </c>
      <c r="K193" s="5" t="str">
        <f>IF(OR(I193="",G193=""),"",IF(G193="Saída",-I193,I193))</f>
        <v/>
      </c>
      <c r="L193" t="str">
        <f>IF(E193="","",IFERROR(VLOOKUP(E193,Listas!$A$2:$C$1048576,3,FALSE),""))</f>
        <v/>
      </c>
    </row>
    <row r="194" spans="10:12" x14ac:dyDescent="0.25">
      <c r="J194" t="str">
        <f>IF(H194="","",IFERROR(VLOOKUP(H194,Listas!$J$2:$K$1048576,2,FALSE),""))</f>
        <v/>
      </c>
      <c r="K194" s="5" t="str">
        <f>IF(OR(I194="",G194=""),"",IF(G194="Saída",-I194,I194))</f>
        <v/>
      </c>
      <c r="L194" t="str">
        <f>IF(E194="","",IFERROR(VLOOKUP(E194,Listas!$A$2:$C$1048576,3,FALSE),""))</f>
        <v/>
      </c>
    </row>
    <row r="195" spans="10:12" x14ac:dyDescent="0.25">
      <c r="J195" t="str">
        <f>IF(H195="","",IFERROR(VLOOKUP(H195,Listas!$J$2:$K$1048576,2,FALSE),""))</f>
        <v/>
      </c>
      <c r="K195" s="5" t="str">
        <f>IF(OR(I195="",G195=""),"",IF(G195="Saída",-I195,I195))</f>
        <v/>
      </c>
      <c r="L195" t="str">
        <f>IF(E195="","",IFERROR(VLOOKUP(E195,Listas!$A$2:$C$1048576,3,FALSE),""))</f>
        <v/>
      </c>
    </row>
    <row r="196" spans="10:12" x14ac:dyDescent="0.25">
      <c r="J196" t="str">
        <f>IF(H196="","",IFERROR(VLOOKUP(H196,Listas!$J$2:$K$1048576,2,FALSE),""))</f>
        <v/>
      </c>
      <c r="K196" s="5" t="str">
        <f>IF(OR(I196="",G196=""),"",IF(G196="Saída",-I196,I196))</f>
        <v/>
      </c>
      <c r="L196" t="str">
        <f>IF(E196="","",IFERROR(VLOOKUP(E196,Listas!$A$2:$C$1048576,3,FALSE),""))</f>
        <v/>
      </c>
    </row>
    <row r="197" spans="10:12" x14ac:dyDescent="0.25">
      <c r="J197" t="str">
        <f>IF(H197="","",IFERROR(VLOOKUP(H197,Listas!$J$2:$K$1048576,2,FALSE),""))</f>
        <v/>
      </c>
      <c r="K197" s="5" t="str">
        <f>IF(OR(I197="",G197=""),"",IF(G197="Saída",-I197,I197))</f>
        <v/>
      </c>
      <c r="L197" t="str">
        <f>IF(E197="","",IFERROR(VLOOKUP(E197,Listas!$A$2:$C$1048576,3,FALSE),""))</f>
        <v/>
      </c>
    </row>
    <row r="198" spans="10:12" x14ac:dyDescent="0.25">
      <c r="J198" t="str">
        <f>IF(H198="","",IFERROR(VLOOKUP(H198,Listas!$J$2:$K$1048576,2,FALSE),""))</f>
        <v/>
      </c>
      <c r="K198" s="5" t="str">
        <f>IF(OR(I198="",G198=""),"",IF(G198="Saída",-I198,I198))</f>
        <v/>
      </c>
      <c r="L198" t="str">
        <f>IF(E198="","",IFERROR(VLOOKUP(E198,Listas!$A$2:$C$1048576,3,FALSE),""))</f>
        <v/>
      </c>
    </row>
    <row r="199" spans="10:12" x14ac:dyDescent="0.25">
      <c r="J199" t="str">
        <f>IF(H199="","",IFERROR(VLOOKUP(H199,Listas!$J$2:$K$1048576,2,FALSE),""))</f>
        <v/>
      </c>
      <c r="K199" s="5" t="str">
        <f>IF(OR(I199="",G199=""),"",IF(G199="Saída",-I199,I199))</f>
        <v/>
      </c>
      <c r="L199" t="str">
        <f>IF(E199="","",IFERROR(VLOOKUP(E199,Listas!$A$2:$C$1048576,3,FALSE),""))</f>
        <v/>
      </c>
    </row>
    <row r="200" spans="10:12" x14ac:dyDescent="0.25">
      <c r="J200" t="str">
        <f>IF(H200="","",IFERROR(VLOOKUP(H200,Listas!$J$2:$K$1048576,2,FALSE),""))</f>
        <v/>
      </c>
      <c r="K200" s="5" t="str">
        <f>IF(OR(I200="",G200=""),"",IF(G200="Saída",-I200,I200))</f>
        <v/>
      </c>
      <c r="L200" t="str">
        <f>IF(E200="","",IFERROR(VLOOKUP(E200,Listas!$A$2:$C$1048576,3,FALSE),""))</f>
        <v/>
      </c>
    </row>
    <row r="201" spans="10:12" x14ac:dyDescent="0.25">
      <c r="J201" t="str">
        <f>IF(H201="","",IFERROR(VLOOKUP(H201,Listas!$J$2:$K$1048576,2,FALSE),""))</f>
        <v/>
      </c>
      <c r="K201" s="5" t="str">
        <f>IF(OR(I201="",G201=""),"",IF(G201="Saída",-I201,I201))</f>
        <v/>
      </c>
      <c r="L201" t="str">
        <f>IF(E201="","",IFERROR(VLOOKUP(E201,Listas!$A$2:$C$1048576,3,FALSE),""))</f>
        <v/>
      </c>
    </row>
    <row r="202" spans="10:12" x14ac:dyDescent="0.25">
      <c r="J202" t="str">
        <f>IF(H202="","",IFERROR(VLOOKUP(H202,Listas!$J$2:$K$1048576,2,FALSE),""))</f>
        <v/>
      </c>
      <c r="K202" s="5" t="str">
        <f>IF(OR(I202="",G202=""),"",IF(G202="Saída",-I202,I202))</f>
        <v/>
      </c>
      <c r="L202" t="str">
        <f>IF(E202="","",IFERROR(VLOOKUP(E202,Listas!$A$2:$C$1048576,3,FALSE),""))</f>
        <v/>
      </c>
    </row>
    <row r="203" spans="10:12" x14ac:dyDescent="0.25">
      <c r="J203" t="str">
        <f>IF(H203="","",IFERROR(VLOOKUP(H203,Listas!$J$2:$K$1048576,2,FALSE),""))</f>
        <v/>
      </c>
      <c r="K203" s="5" t="str">
        <f>IF(OR(I203="",G203=""),"",IF(G203="Saída",-I203,I203))</f>
        <v/>
      </c>
      <c r="L203" t="str">
        <f>IF(E203="","",IFERROR(VLOOKUP(E203,Listas!$A$2:$C$1048576,3,FALSE),""))</f>
        <v/>
      </c>
    </row>
    <row r="204" spans="10:12" x14ac:dyDescent="0.25">
      <c r="J204" t="str">
        <f>IF(H204="","",IFERROR(VLOOKUP(H204,Listas!$J$2:$K$1048576,2,FALSE),""))</f>
        <v/>
      </c>
      <c r="K204" s="5" t="str">
        <f>IF(OR(I204="",G204=""),"",IF(G204="Saída",-I204,I204))</f>
        <v/>
      </c>
      <c r="L204" t="str">
        <f>IF(E204="","",IFERROR(VLOOKUP(E204,Listas!$A$2:$C$1048576,3,FALSE),""))</f>
        <v/>
      </c>
    </row>
    <row r="205" spans="10:12" x14ac:dyDescent="0.25">
      <c r="J205" t="str">
        <f>IF(H205="","",IFERROR(VLOOKUP(H205,Listas!$J$2:$K$1048576,2,FALSE),""))</f>
        <v/>
      </c>
      <c r="K205" s="5" t="str">
        <f>IF(OR(I205="",G205=""),"",IF(G205="Saída",-I205,I205))</f>
        <v/>
      </c>
      <c r="L205" t="str">
        <f>IF(E205="","",IFERROR(VLOOKUP(E205,Listas!$A$2:$C$1048576,3,FALSE),""))</f>
        <v/>
      </c>
    </row>
    <row r="206" spans="10:12" x14ac:dyDescent="0.25">
      <c r="J206" t="str">
        <f>IF(H206="","",IFERROR(VLOOKUP(H206,Listas!$J$2:$K$1048576,2,FALSE),""))</f>
        <v/>
      </c>
      <c r="K206" s="5" t="str">
        <f>IF(OR(I206="",G206=""),"",IF(G206="Saída",-I206,I206))</f>
        <v/>
      </c>
      <c r="L206" t="str">
        <f>IF(E206="","",IFERROR(VLOOKUP(E206,Listas!$A$2:$C$1048576,3,FALSE),""))</f>
        <v/>
      </c>
    </row>
    <row r="207" spans="10:12" x14ac:dyDescent="0.25">
      <c r="J207" t="str">
        <f>IF(H207="","",IFERROR(VLOOKUP(H207,Listas!$J$2:$K$1048576,2,FALSE),""))</f>
        <v/>
      </c>
      <c r="K207" s="5" t="str">
        <f>IF(OR(I207="",G207=""),"",IF(G207="Saída",-I207,I207))</f>
        <v/>
      </c>
      <c r="L207" t="str">
        <f>IF(E207="","",IFERROR(VLOOKUP(E207,Listas!$A$2:$C$1048576,3,FALSE),""))</f>
        <v/>
      </c>
    </row>
    <row r="208" spans="10:12" x14ac:dyDescent="0.25">
      <c r="J208" t="str">
        <f>IF(H208="","",IFERROR(VLOOKUP(H208,Listas!$J$2:$K$1048576,2,FALSE),""))</f>
        <v/>
      </c>
      <c r="K208" s="5" t="str">
        <f>IF(OR(I208="",G208=""),"",IF(G208="Saída",-I208,I208))</f>
        <v/>
      </c>
      <c r="L208" t="str">
        <f>IF(E208="","",IFERROR(VLOOKUP(E208,Listas!$A$2:$C$1048576,3,FALSE),""))</f>
        <v/>
      </c>
    </row>
    <row r="209" spans="10:12" x14ac:dyDescent="0.25">
      <c r="J209" t="str">
        <f>IF(H209="","",IFERROR(VLOOKUP(H209,Listas!$J$2:$K$1048576,2,FALSE),""))</f>
        <v/>
      </c>
      <c r="K209" s="5" t="str">
        <f>IF(OR(I209="",G209=""),"",IF(G209="Saída",-I209,I209))</f>
        <v/>
      </c>
      <c r="L209" t="str">
        <f>IF(E209="","",IFERROR(VLOOKUP(E209,Listas!$A$2:$C$1048576,3,FALSE),""))</f>
        <v/>
      </c>
    </row>
    <row r="210" spans="10:12" x14ac:dyDescent="0.25">
      <c r="J210" t="str">
        <f>IF(H210="","",IFERROR(VLOOKUP(H210,Listas!$J$2:$K$1048576,2,FALSE),""))</f>
        <v/>
      </c>
      <c r="K210" s="5" t="str">
        <f>IF(OR(I210="",G210=""),"",IF(G210="Saída",-I210,I210))</f>
        <v/>
      </c>
      <c r="L210" t="str">
        <f>IF(E210="","",IFERROR(VLOOKUP(E210,Listas!$A$2:$C$1048576,3,FALSE),""))</f>
        <v/>
      </c>
    </row>
    <row r="211" spans="10:12" x14ac:dyDescent="0.25">
      <c r="J211" t="str">
        <f>IF(H211="","",IFERROR(VLOOKUP(H211,Listas!$J$2:$K$1048576,2,FALSE),""))</f>
        <v/>
      </c>
      <c r="K211" s="5" t="str">
        <f>IF(OR(I211="",G211=""),"",IF(G211="Saída",-I211,I211))</f>
        <v/>
      </c>
      <c r="L211" t="str">
        <f>IF(E211="","",IFERROR(VLOOKUP(E211,Listas!$A$2:$C$1048576,3,FALSE),""))</f>
        <v/>
      </c>
    </row>
    <row r="212" spans="10:12" x14ac:dyDescent="0.25">
      <c r="J212" t="str">
        <f>IF(H212="","",IFERROR(VLOOKUP(H212,Listas!$J$2:$K$1048576,2,FALSE),""))</f>
        <v/>
      </c>
      <c r="K212" s="5" t="str">
        <f>IF(OR(I212="",G212=""),"",IF(G212="Saída",-I212,I212))</f>
        <v/>
      </c>
      <c r="L212" t="str">
        <f>IF(E212="","",IFERROR(VLOOKUP(E212,Listas!$A$2:$C$1048576,3,FALSE),""))</f>
        <v/>
      </c>
    </row>
    <row r="213" spans="10:12" x14ac:dyDescent="0.25">
      <c r="J213" t="str">
        <f>IF(H213="","",IFERROR(VLOOKUP(H213,Listas!$J$2:$K$1048576,2,FALSE),""))</f>
        <v/>
      </c>
      <c r="K213" s="5" t="str">
        <f>IF(OR(I213="",G213=""),"",IF(G213="Saída",-I213,I213))</f>
        <v/>
      </c>
      <c r="L213" t="str">
        <f>IF(E213="","",IFERROR(VLOOKUP(E213,Listas!$A$2:$C$1048576,3,FALSE),""))</f>
        <v/>
      </c>
    </row>
    <row r="214" spans="10:12" x14ac:dyDescent="0.25">
      <c r="J214" t="str">
        <f>IF(H214="","",IFERROR(VLOOKUP(H214,Listas!$J$2:$K$1048576,2,FALSE),""))</f>
        <v/>
      </c>
      <c r="K214" s="5" t="str">
        <f>IF(OR(I214="",G214=""),"",IF(G214="Saída",-I214,I214))</f>
        <v/>
      </c>
      <c r="L214" t="str">
        <f>IF(E214="","",IFERROR(VLOOKUP(E214,Listas!$A$2:$C$1048576,3,FALSE),""))</f>
        <v/>
      </c>
    </row>
    <row r="215" spans="10:12" x14ac:dyDescent="0.25">
      <c r="J215" t="str">
        <f>IF(H215="","",IFERROR(VLOOKUP(H215,Listas!$J$2:$K$1048576,2,FALSE),""))</f>
        <v/>
      </c>
      <c r="K215" s="5" t="str">
        <f>IF(OR(I215="",G215=""),"",IF(G215="Saída",-I215,I215))</f>
        <v/>
      </c>
      <c r="L215" t="str">
        <f>IF(E215="","",IFERROR(VLOOKUP(E215,Listas!$A$2:$C$1048576,3,FALSE),""))</f>
        <v/>
      </c>
    </row>
    <row r="216" spans="10:12" x14ac:dyDescent="0.25">
      <c r="J216" t="str">
        <f>IF(H216="","",IFERROR(VLOOKUP(H216,Listas!$J$2:$K$1048576,2,FALSE),""))</f>
        <v/>
      </c>
      <c r="K216" s="5" t="str">
        <f>IF(OR(I216="",G216=""),"",IF(G216="Saída",-I216,I216))</f>
        <v/>
      </c>
      <c r="L216" t="str">
        <f>IF(E216="","",IFERROR(VLOOKUP(E216,Listas!$A$2:$C$1048576,3,FALSE),""))</f>
        <v/>
      </c>
    </row>
    <row r="217" spans="10:12" x14ac:dyDescent="0.25">
      <c r="J217" t="str">
        <f>IF(H217="","",IFERROR(VLOOKUP(H217,Listas!$J$2:$K$1048576,2,FALSE),""))</f>
        <v/>
      </c>
      <c r="K217" s="5" t="str">
        <f>IF(OR(I217="",G217=""),"",IF(G217="Saída",-I217,I217))</f>
        <v/>
      </c>
      <c r="L217" t="str">
        <f>IF(E217="","",IFERROR(VLOOKUP(E217,Listas!$A$2:$C$1048576,3,FALSE),""))</f>
        <v/>
      </c>
    </row>
    <row r="218" spans="10:12" x14ac:dyDescent="0.25">
      <c r="J218" t="str">
        <f>IF(H218="","",IFERROR(VLOOKUP(H218,Listas!$J$2:$K$1048576,2,FALSE),""))</f>
        <v/>
      </c>
      <c r="K218" s="5" t="str">
        <f>IF(OR(I218="",G218=""),"",IF(G218="Saída",-I218,I218))</f>
        <v/>
      </c>
      <c r="L218" t="str">
        <f>IF(E218="","",IFERROR(VLOOKUP(E218,Listas!$A$2:$C$1048576,3,FALSE),""))</f>
        <v/>
      </c>
    </row>
    <row r="219" spans="10:12" x14ac:dyDescent="0.25">
      <c r="J219" t="str">
        <f>IF(H219="","",IFERROR(VLOOKUP(H219,Listas!$J$2:$K$1048576,2,FALSE),""))</f>
        <v/>
      </c>
      <c r="K219" s="5" t="str">
        <f>IF(OR(I219="",G219=""),"",IF(G219="Saída",-I219,I219))</f>
        <v/>
      </c>
      <c r="L219" t="str">
        <f>IF(E219="","",IFERROR(VLOOKUP(E219,Listas!$A$2:$C$1048576,3,FALSE),""))</f>
        <v/>
      </c>
    </row>
    <row r="220" spans="10:12" x14ac:dyDescent="0.25">
      <c r="J220" t="str">
        <f>IF(H220="","",IFERROR(VLOOKUP(H220,Listas!$J$2:$K$1048576,2,FALSE),""))</f>
        <v/>
      </c>
      <c r="K220" s="5" t="str">
        <f>IF(OR(I220="",G220=""),"",IF(G220="Saída",-I220,I220))</f>
        <v/>
      </c>
      <c r="L220" t="str">
        <f>IF(E220="","",IFERROR(VLOOKUP(E220,Listas!$A$2:$C$1048576,3,FALSE),""))</f>
        <v/>
      </c>
    </row>
    <row r="221" spans="10:12" x14ac:dyDescent="0.25">
      <c r="J221" t="str">
        <f>IF(H221="","",IFERROR(VLOOKUP(H221,Listas!$J$2:$K$1048576,2,FALSE),""))</f>
        <v/>
      </c>
      <c r="K221" s="5" t="str">
        <f>IF(OR(I221="",G221=""),"",IF(G221="Saída",-I221,I221))</f>
        <v/>
      </c>
      <c r="L221" t="str">
        <f>IF(E221="","",IFERROR(VLOOKUP(E221,Listas!$A$2:$C$1048576,3,FALSE),""))</f>
        <v/>
      </c>
    </row>
    <row r="222" spans="10:12" x14ac:dyDescent="0.25">
      <c r="J222" t="str">
        <f>IF(H222="","",IFERROR(VLOOKUP(H222,Listas!$J$2:$K$1048576,2,FALSE),""))</f>
        <v/>
      </c>
      <c r="K222" s="5" t="str">
        <f>IF(OR(I222="",G222=""),"",IF(G222="Saída",-I222,I222))</f>
        <v/>
      </c>
      <c r="L222" t="str">
        <f>IF(E222="","",IFERROR(VLOOKUP(E222,Listas!$A$2:$C$1048576,3,FALSE),""))</f>
        <v/>
      </c>
    </row>
    <row r="223" spans="10:12" x14ac:dyDescent="0.25">
      <c r="J223" t="str">
        <f>IF(H223="","",IFERROR(VLOOKUP(H223,Listas!$J$2:$K$1048576,2,FALSE),""))</f>
        <v/>
      </c>
      <c r="K223" s="5" t="str">
        <f>IF(OR(I223="",G223=""),"",IF(G223="Saída",-I223,I223))</f>
        <v/>
      </c>
      <c r="L223" t="str">
        <f>IF(E223="","",IFERROR(VLOOKUP(E223,Listas!$A$2:$C$1048576,3,FALSE),""))</f>
        <v/>
      </c>
    </row>
    <row r="224" spans="10:12" x14ac:dyDescent="0.25">
      <c r="J224" t="str">
        <f>IF(H224="","",IFERROR(VLOOKUP(H224,Listas!$J$2:$K$1048576,2,FALSE),""))</f>
        <v/>
      </c>
      <c r="K224" s="5" t="str">
        <f>IF(OR(I224="",G224=""),"",IF(G224="Saída",-I224,I224))</f>
        <v/>
      </c>
      <c r="L224" t="str">
        <f>IF(E224="","",IFERROR(VLOOKUP(E224,Listas!$A$2:$C$1048576,3,FALSE),""))</f>
        <v/>
      </c>
    </row>
    <row r="225" spans="10:12" x14ac:dyDescent="0.25">
      <c r="J225" t="str">
        <f>IF(H225="","",IFERROR(VLOOKUP(H225,Listas!$J$2:$K$1048576,2,FALSE),""))</f>
        <v/>
      </c>
      <c r="K225" s="5" t="str">
        <f>IF(OR(I225="",G225=""),"",IF(G225="Saída",-I225,I225))</f>
        <v/>
      </c>
      <c r="L225" t="str">
        <f>IF(E225="","",IFERROR(VLOOKUP(E225,Listas!$A$2:$C$1048576,3,FALSE),""))</f>
        <v/>
      </c>
    </row>
    <row r="226" spans="10:12" x14ac:dyDescent="0.25">
      <c r="J226" t="str">
        <f>IF(H226="","",IFERROR(VLOOKUP(H226,Listas!$J$2:$K$1048576,2,FALSE),""))</f>
        <v/>
      </c>
      <c r="K226" s="5" t="str">
        <f>IF(OR(I226="",G226=""),"",IF(G226="Saída",-I226,I226))</f>
        <v/>
      </c>
      <c r="L226" t="str">
        <f>IF(E226="","",IFERROR(VLOOKUP(E226,Listas!$A$2:$C$1048576,3,FALSE),""))</f>
        <v/>
      </c>
    </row>
    <row r="227" spans="10:12" x14ac:dyDescent="0.25">
      <c r="J227" t="str">
        <f>IF(H227="","",IFERROR(VLOOKUP(H227,Listas!$J$2:$K$1048576,2,FALSE),""))</f>
        <v/>
      </c>
      <c r="K227" s="5" t="str">
        <f>IF(OR(I227="",G227=""),"",IF(G227="Saída",-I227,I227))</f>
        <v/>
      </c>
      <c r="L227" t="str">
        <f>IF(E227="","",IFERROR(VLOOKUP(E227,Listas!$A$2:$C$1048576,3,FALSE),""))</f>
        <v/>
      </c>
    </row>
    <row r="228" spans="10:12" x14ac:dyDescent="0.25">
      <c r="J228" t="str">
        <f>IF(H228="","",IFERROR(VLOOKUP(H228,Listas!$J$2:$K$1048576,2,FALSE),""))</f>
        <v/>
      </c>
      <c r="K228" s="5" t="str">
        <f>IF(OR(I228="",G228=""),"",IF(G228="Saída",-I228,I228))</f>
        <v/>
      </c>
      <c r="L228" t="str">
        <f>IF(E228="","",IFERROR(VLOOKUP(E228,Listas!$A$2:$C$1048576,3,FALSE),""))</f>
        <v/>
      </c>
    </row>
    <row r="229" spans="10:12" x14ac:dyDescent="0.25">
      <c r="J229" t="str">
        <f>IF(H229="","",IFERROR(VLOOKUP(H229,Listas!$J$2:$K$1048576,2,FALSE),""))</f>
        <v/>
      </c>
      <c r="K229" s="5" t="str">
        <f>IF(OR(I229="",G229=""),"",IF(G229="Saída",-I229,I229))</f>
        <v/>
      </c>
      <c r="L229" t="str">
        <f>IF(E229="","",IFERROR(VLOOKUP(E229,Listas!$A$2:$C$1048576,3,FALSE),""))</f>
        <v/>
      </c>
    </row>
    <row r="230" spans="10:12" x14ac:dyDescent="0.25">
      <c r="J230" t="str">
        <f>IF(H230="","",IFERROR(VLOOKUP(H230,Listas!$J$2:$K$1048576,2,FALSE),""))</f>
        <v/>
      </c>
      <c r="K230" s="5" t="str">
        <f>IF(OR(I230="",G230=""),"",IF(G230="Saída",-I230,I230))</f>
        <v/>
      </c>
      <c r="L230" t="str">
        <f>IF(E230="","",IFERROR(VLOOKUP(E230,Listas!$A$2:$C$1048576,3,FALSE),""))</f>
        <v/>
      </c>
    </row>
    <row r="231" spans="10:12" x14ac:dyDescent="0.25">
      <c r="J231" t="str">
        <f>IF(H231="","",IFERROR(VLOOKUP(H231,Listas!$J$2:$K$1048576,2,FALSE),""))</f>
        <v/>
      </c>
      <c r="K231" s="5" t="str">
        <f>IF(OR(I231="",G231=""),"",IF(G231="Saída",-I231,I231))</f>
        <v/>
      </c>
      <c r="L231" t="str">
        <f>IF(E231="","",IFERROR(VLOOKUP(E231,Listas!$A$2:$C$1048576,3,FALSE),""))</f>
        <v/>
      </c>
    </row>
    <row r="232" spans="10:12" x14ac:dyDescent="0.25">
      <c r="J232" t="str">
        <f>IF(H232="","",IFERROR(VLOOKUP(H232,Listas!$J$2:$K$1048576,2,FALSE),""))</f>
        <v/>
      </c>
      <c r="K232" s="5" t="str">
        <f>IF(OR(I232="",G232=""),"",IF(G232="Saída",-I232,I232))</f>
        <v/>
      </c>
      <c r="L232" t="str">
        <f>IF(E232="","",IFERROR(VLOOKUP(E232,Listas!$A$2:$C$1048576,3,FALSE),""))</f>
        <v/>
      </c>
    </row>
    <row r="233" spans="10:12" x14ac:dyDescent="0.25">
      <c r="J233" t="str">
        <f>IF(H233="","",IFERROR(VLOOKUP(H233,Listas!$J$2:$K$1048576,2,FALSE),""))</f>
        <v/>
      </c>
      <c r="K233" s="5" t="str">
        <f>IF(OR(I233="",G233=""),"",IF(G233="Saída",-I233,I233))</f>
        <v/>
      </c>
      <c r="L233" t="str">
        <f>IF(E233="","",IFERROR(VLOOKUP(E233,Listas!$A$2:$C$1048576,3,FALSE),""))</f>
        <v/>
      </c>
    </row>
    <row r="234" spans="10:12" x14ac:dyDescent="0.25">
      <c r="J234" t="str">
        <f>IF(H234="","",IFERROR(VLOOKUP(H234,Listas!$J$2:$K$1048576,2,FALSE),""))</f>
        <v/>
      </c>
      <c r="K234" s="5" t="str">
        <f>IF(OR(I234="",G234=""),"",IF(G234="Saída",-I234,I234))</f>
        <v/>
      </c>
      <c r="L234" t="str">
        <f>IF(E234="","",IFERROR(VLOOKUP(E234,Listas!$A$2:$C$1048576,3,FALSE),""))</f>
        <v/>
      </c>
    </row>
    <row r="235" spans="10:12" x14ac:dyDescent="0.25">
      <c r="J235" t="str">
        <f>IF(H235="","",IFERROR(VLOOKUP(H235,Listas!$J$2:$K$1048576,2,FALSE),""))</f>
        <v/>
      </c>
      <c r="K235" s="5" t="str">
        <f>IF(OR(I235="",G235=""),"",IF(G235="Saída",-I235,I235))</f>
        <v/>
      </c>
      <c r="L235" t="str">
        <f>IF(E235="","",IFERROR(VLOOKUP(E235,Listas!$A$2:$C$1048576,3,FALSE),""))</f>
        <v/>
      </c>
    </row>
    <row r="236" spans="10:12" x14ac:dyDescent="0.25">
      <c r="J236" t="str">
        <f>IF(H236="","",IFERROR(VLOOKUP(H236,Listas!$J$2:$K$1048576,2,FALSE),""))</f>
        <v/>
      </c>
      <c r="K236" s="5" t="str">
        <f>IF(OR(I236="",G236=""),"",IF(G236="Saída",-I236,I236))</f>
        <v/>
      </c>
      <c r="L236" t="str">
        <f>IF(E236="","",IFERROR(VLOOKUP(E236,Listas!$A$2:$C$1048576,3,FALSE),""))</f>
        <v/>
      </c>
    </row>
    <row r="237" spans="10:12" x14ac:dyDescent="0.25">
      <c r="J237" t="str">
        <f>IF(H237="","",IFERROR(VLOOKUP(H237,Listas!$J$2:$K$1048576,2,FALSE),""))</f>
        <v/>
      </c>
      <c r="K237" s="5" t="str">
        <f>IF(OR(I237="",G237=""),"",IF(G237="Saída",-I237,I237))</f>
        <v/>
      </c>
      <c r="L237" t="str">
        <f>IF(E237="","",IFERROR(VLOOKUP(E237,Listas!$A$2:$C$1048576,3,FALSE),""))</f>
        <v/>
      </c>
    </row>
    <row r="238" spans="10:12" x14ac:dyDescent="0.25">
      <c r="J238" t="str">
        <f>IF(H238="","",IFERROR(VLOOKUP(H238,Listas!$J$2:$K$1048576,2,FALSE),""))</f>
        <v/>
      </c>
      <c r="K238" s="5" t="str">
        <f>IF(OR(I238="",G238=""),"",IF(G238="Saída",-I238,I238))</f>
        <v/>
      </c>
      <c r="L238" t="str">
        <f>IF(E238="","",IFERROR(VLOOKUP(E238,Listas!$A$2:$C$1048576,3,FALSE),""))</f>
        <v/>
      </c>
    </row>
    <row r="239" spans="10:12" x14ac:dyDescent="0.25">
      <c r="J239" t="str">
        <f>IF(H239="","",IFERROR(VLOOKUP(H239,Listas!$J$2:$K$1048576,2,FALSE),""))</f>
        <v/>
      </c>
      <c r="K239" s="5" t="str">
        <f>IF(OR(I239="",G239=""),"",IF(G239="Saída",-I239,I239))</f>
        <v/>
      </c>
      <c r="L239" t="str">
        <f>IF(E239="","",IFERROR(VLOOKUP(E239,Listas!$A$2:$C$1048576,3,FALSE),""))</f>
        <v/>
      </c>
    </row>
    <row r="240" spans="10:12" x14ac:dyDescent="0.25">
      <c r="J240" t="str">
        <f>IF(H240="","",IFERROR(VLOOKUP(H240,Listas!$J$2:$K$1048576,2,FALSE),""))</f>
        <v/>
      </c>
      <c r="K240" s="5" t="str">
        <f>IF(OR(I240="",G240=""),"",IF(G240="Saída",-I240,I240))</f>
        <v/>
      </c>
      <c r="L240" t="str">
        <f>IF(E240="","",IFERROR(VLOOKUP(E240,Listas!$A$2:$C$1048576,3,FALSE),""))</f>
        <v/>
      </c>
    </row>
    <row r="241" spans="10:12" x14ac:dyDescent="0.25">
      <c r="J241" t="str">
        <f>IF(H241="","",IFERROR(VLOOKUP(H241,Listas!$J$2:$K$1048576,2,FALSE),""))</f>
        <v/>
      </c>
      <c r="K241" s="5" t="str">
        <f>IF(OR(I241="",G241=""),"",IF(G241="Saída",-I241,I241))</f>
        <v/>
      </c>
      <c r="L241" t="str">
        <f>IF(E241="","",IFERROR(VLOOKUP(E241,Listas!$A$2:$C$1048576,3,FALSE),""))</f>
        <v/>
      </c>
    </row>
    <row r="242" spans="10:12" x14ac:dyDescent="0.25">
      <c r="J242" t="str">
        <f>IF(H242="","",IFERROR(VLOOKUP(H242,Listas!$J$2:$K$1048576,2,FALSE),""))</f>
        <v/>
      </c>
      <c r="K242" s="5" t="str">
        <f>IF(OR(I242="",G242=""),"",IF(G242="Saída",-I242,I242))</f>
        <v/>
      </c>
      <c r="L242" t="str">
        <f>IF(E242="","",IFERROR(VLOOKUP(E242,Listas!$A$2:$C$1048576,3,FALSE),""))</f>
        <v/>
      </c>
    </row>
    <row r="243" spans="10:12" x14ac:dyDescent="0.25">
      <c r="J243" t="str">
        <f>IF(H243="","",IFERROR(VLOOKUP(H243,Listas!$J$2:$K$1048576,2,FALSE),""))</f>
        <v/>
      </c>
      <c r="K243" s="5" t="str">
        <f>IF(OR(I243="",G243=""),"",IF(G243="Saída",-I243,I243))</f>
        <v/>
      </c>
      <c r="L243" t="str">
        <f>IF(E243="","",IFERROR(VLOOKUP(E243,Listas!$A$2:$C$1048576,3,FALSE),""))</f>
        <v/>
      </c>
    </row>
    <row r="244" spans="10:12" x14ac:dyDescent="0.25">
      <c r="J244" t="str">
        <f>IF(H244="","",IFERROR(VLOOKUP(H244,Listas!$J$2:$K$1048576,2,FALSE),""))</f>
        <v/>
      </c>
      <c r="K244" s="5" t="str">
        <f>IF(OR(I244="",G244=""),"",IF(G244="Saída",-I244,I244))</f>
        <v/>
      </c>
      <c r="L244" t="str">
        <f>IF(E244="","",IFERROR(VLOOKUP(E244,Listas!$A$2:$C$1048576,3,FALSE),""))</f>
        <v/>
      </c>
    </row>
    <row r="245" spans="10:12" x14ac:dyDescent="0.25">
      <c r="J245" t="str">
        <f>IF(H245="","",IFERROR(VLOOKUP(H245,Listas!$J$2:$K$1048576,2,FALSE),""))</f>
        <v/>
      </c>
      <c r="K245" s="5" t="str">
        <f>IF(OR(I245="",G245=""),"",IF(G245="Saída",-I245,I245))</f>
        <v/>
      </c>
      <c r="L245" t="str">
        <f>IF(E245="","",IFERROR(VLOOKUP(E245,Listas!$A$2:$C$1048576,3,FALSE),""))</f>
        <v/>
      </c>
    </row>
    <row r="246" spans="10:12" x14ac:dyDescent="0.25">
      <c r="J246" t="str">
        <f>IF(H246="","",IFERROR(VLOOKUP(H246,Listas!$J$2:$K$1048576,2,FALSE),""))</f>
        <v/>
      </c>
      <c r="K246" s="5" t="str">
        <f>IF(OR(I246="",G246=""),"",IF(G246="Saída",-I246,I246))</f>
        <v/>
      </c>
      <c r="L246" t="str">
        <f>IF(E246="","",IFERROR(VLOOKUP(E246,Listas!$A$2:$C$1048576,3,FALSE),""))</f>
        <v/>
      </c>
    </row>
    <row r="247" spans="10:12" x14ac:dyDescent="0.25">
      <c r="J247" t="str">
        <f>IF(H247="","",IFERROR(VLOOKUP(H247,Listas!$J$2:$K$1048576,2,FALSE),""))</f>
        <v/>
      </c>
      <c r="K247" s="5" t="str">
        <f>IF(OR(I247="",G247=""),"",IF(G247="Saída",-I247,I247))</f>
        <v/>
      </c>
      <c r="L247" t="str">
        <f>IF(E247="","",IFERROR(VLOOKUP(E247,Listas!$A$2:$C$1048576,3,FALSE),""))</f>
        <v/>
      </c>
    </row>
    <row r="248" spans="10:12" x14ac:dyDescent="0.25">
      <c r="J248" t="str">
        <f>IF(H248="","",IFERROR(VLOOKUP(H248,Listas!$J$2:$K$1048576,2,FALSE),""))</f>
        <v/>
      </c>
      <c r="K248" s="5" t="str">
        <f>IF(OR(I248="",G248=""),"",IF(G248="Saída",-I248,I248))</f>
        <v/>
      </c>
      <c r="L248" t="str">
        <f>IF(E248="","",IFERROR(VLOOKUP(E248,Listas!$A$2:$C$1048576,3,FALSE),""))</f>
        <v/>
      </c>
    </row>
    <row r="249" spans="10:12" x14ac:dyDescent="0.25">
      <c r="J249" t="str">
        <f>IF(H249="","",IFERROR(VLOOKUP(H249,Listas!$J$2:$K$1048576,2,FALSE),""))</f>
        <v/>
      </c>
      <c r="K249" s="5" t="str">
        <f>IF(OR(I249="",G249=""),"",IF(G249="Saída",-I249,I249))</f>
        <v/>
      </c>
      <c r="L249" t="str">
        <f>IF(E249="","",IFERROR(VLOOKUP(E249,Listas!$A$2:$C$1048576,3,FALSE),""))</f>
        <v/>
      </c>
    </row>
    <row r="250" spans="10:12" x14ac:dyDescent="0.25">
      <c r="J250" t="str">
        <f>IF(H250="","",IFERROR(VLOOKUP(H250,Listas!$J$2:$K$1048576,2,FALSE),""))</f>
        <v/>
      </c>
      <c r="K250" s="5" t="str">
        <f>IF(OR(I250="",G250=""),"",IF(G250="Saída",-I250,I250))</f>
        <v/>
      </c>
      <c r="L250" t="str">
        <f>IF(E250="","",IFERROR(VLOOKUP(E250,Listas!$A$2:$C$1048576,3,FALSE),""))</f>
        <v/>
      </c>
    </row>
    <row r="251" spans="10:12" x14ac:dyDescent="0.25">
      <c r="J251" t="str">
        <f>IF(H251="","",IFERROR(VLOOKUP(H251,Listas!$J$2:$K$1048576,2,FALSE),""))</f>
        <v/>
      </c>
      <c r="K251" s="5" t="str">
        <f>IF(OR(I251="",G251=""),"",IF(G251="Saída",-I251,I251))</f>
        <v/>
      </c>
      <c r="L251" t="str">
        <f>IF(E251="","",IFERROR(VLOOKUP(E251,Listas!$A$2:$C$1048576,3,FALSE),""))</f>
        <v/>
      </c>
    </row>
    <row r="252" spans="10:12" x14ac:dyDescent="0.25">
      <c r="J252" t="str">
        <f>IF(H252="","",IFERROR(VLOOKUP(H252,Listas!$J$2:$K$1048576,2,FALSE),""))</f>
        <v/>
      </c>
      <c r="K252" s="5" t="str">
        <f>IF(OR(I252="",G252=""),"",IF(G252="Saída",-I252,I252))</f>
        <v/>
      </c>
      <c r="L252" t="str">
        <f>IF(E252="","",IFERROR(VLOOKUP(E252,Listas!$A$2:$C$1048576,3,FALSE),""))</f>
        <v/>
      </c>
    </row>
    <row r="253" spans="10:12" x14ac:dyDescent="0.25">
      <c r="J253" t="str">
        <f>IF(H253="","",IFERROR(VLOOKUP(H253,Listas!$J$2:$K$1048576,2,FALSE),""))</f>
        <v/>
      </c>
      <c r="K253" s="5" t="str">
        <f>IF(OR(I253="",G253=""),"",IF(G253="Saída",-I253,I253))</f>
        <v/>
      </c>
      <c r="L253" t="str">
        <f>IF(E253="","",IFERROR(VLOOKUP(E253,Listas!$A$2:$C$1048576,3,FALSE),""))</f>
        <v/>
      </c>
    </row>
    <row r="254" spans="10:12" x14ac:dyDescent="0.25">
      <c r="J254" t="str">
        <f>IF(H254="","",IFERROR(VLOOKUP(H254,Listas!$J$2:$K$1048576,2,FALSE),""))</f>
        <v/>
      </c>
      <c r="K254" s="5" t="str">
        <f>IF(OR(I254="",G254=""),"",IF(G254="Saída",-I254,I254))</f>
        <v/>
      </c>
      <c r="L254" t="str">
        <f>IF(E254="","",IFERROR(VLOOKUP(E254,Listas!$A$2:$C$1048576,3,FALSE),""))</f>
        <v/>
      </c>
    </row>
    <row r="255" spans="10:12" x14ac:dyDescent="0.25">
      <c r="J255" t="str">
        <f>IF(H255="","",IFERROR(VLOOKUP(H255,Listas!$J$2:$K$1048576,2,FALSE),""))</f>
        <v/>
      </c>
      <c r="K255" s="5" t="str">
        <f>IF(OR(I255="",G255=""),"",IF(G255="Saída",-I255,I255))</f>
        <v/>
      </c>
      <c r="L255" t="str">
        <f>IF(E255="","",IFERROR(VLOOKUP(E255,Listas!$A$2:$C$1048576,3,FALSE),""))</f>
        <v/>
      </c>
    </row>
    <row r="256" spans="10:12" x14ac:dyDescent="0.25">
      <c r="J256" t="str">
        <f>IF(H256="","",IFERROR(VLOOKUP(H256,Listas!$J$2:$K$1048576,2,FALSE),""))</f>
        <v/>
      </c>
      <c r="K256" s="5" t="str">
        <f>IF(OR(I256="",G256=""),"",IF(G256="Saída",-I256,I256))</f>
        <v/>
      </c>
      <c r="L256" t="str">
        <f>IF(E256="","",IFERROR(VLOOKUP(E256,Listas!$A$2:$C$1048576,3,FALSE),""))</f>
        <v/>
      </c>
    </row>
    <row r="257" spans="10:12" x14ac:dyDescent="0.25">
      <c r="J257" t="str">
        <f>IF(H257="","",IFERROR(VLOOKUP(H257,Listas!$J$2:$K$1048576,2,FALSE),""))</f>
        <v/>
      </c>
      <c r="K257" s="5" t="str">
        <f>IF(OR(I257="",G257=""),"",IF(G257="Saída",-I257,I257))</f>
        <v/>
      </c>
      <c r="L257" t="str">
        <f>IF(E257="","",IFERROR(VLOOKUP(E257,Listas!$A$2:$C$1048576,3,FALSE),""))</f>
        <v/>
      </c>
    </row>
    <row r="258" spans="10:12" x14ac:dyDescent="0.25">
      <c r="J258" t="str">
        <f>IF(H258="","",IFERROR(VLOOKUP(H258,Listas!$J$2:$K$1048576,2,FALSE),""))</f>
        <v/>
      </c>
      <c r="K258" s="5" t="str">
        <f>IF(OR(I258="",G258=""),"",IF(G258="Saída",-I258,I258))</f>
        <v/>
      </c>
      <c r="L258" t="str">
        <f>IF(E258="","",IFERROR(VLOOKUP(E258,Listas!$A$2:$C$1048576,3,FALSE),""))</f>
        <v/>
      </c>
    </row>
    <row r="259" spans="10:12" x14ac:dyDescent="0.25">
      <c r="J259" t="str">
        <f>IF(H259="","",IFERROR(VLOOKUP(H259,Listas!$J$2:$K$1048576,2,FALSE),""))</f>
        <v/>
      </c>
      <c r="K259" s="5" t="str">
        <f>IF(OR(I259="",G259=""),"",IF(G259="Saída",-I259,I259))</f>
        <v/>
      </c>
      <c r="L259" t="str">
        <f>IF(E259="","",IFERROR(VLOOKUP(E259,Listas!$A$2:$C$1048576,3,FALSE),""))</f>
        <v/>
      </c>
    </row>
    <row r="260" spans="10:12" x14ac:dyDescent="0.25">
      <c r="J260" t="str">
        <f>IF(H260="","",IFERROR(VLOOKUP(H260,Listas!$J$2:$K$1048576,2,FALSE),""))</f>
        <v/>
      </c>
      <c r="K260" s="5" t="str">
        <f>IF(OR(I260="",G260=""),"",IF(G260="Saída",-I260,I260))</f>
        <v/>
      </c>
      <c r="L260" t="str">
        <f>IF(E260="","",IFERROR(VLOOKUP(E260,Listas!$A$2:$C$1048576,3,FALSE),""))</f>
        <v/>
      </c>
    </row>
    <row r="261" spans="10:12" x14ac:dyDescent="0.25">
      <c r="J261" t="str">
        <f>IF(H261="","",IFERROR(VLOOKUP(H261,Listas!$J$2:$K$1048576,2,FALSE),""))</f>
        <v/>
      </c>
      <c r="K261" s="5" t="str">
        <f>IF(OR(I261="",G261=""),"",IF(G261="Saída",-I261,I261))</f>
        <v/>
      </c>
      <c r="L261" t="str">
        <f>IF(E261="","",IFERROR(VLOOKUP(E261,Listas!$A$2:$C$1048576,3,FALSE),""))</f>
        <v/>
      </c>
    </row>
    <row r="262" spans="10:12" x14ac:dyDescent="0.25">
      <c r="J262" t="str">
        <f>IF(H262="","",IFERROR(VLOOKUP(H262,Listas!$J$2:$K$1048576,2,FALSE),""))</f>
        <v/>
      </c>
      <c r="K262" s="5" t="str">
        <f>IF(OR(I262="",G262=""),"",IF(G262="Saída",-I262,I262))</f>
        <v/>
      </c>
      <c r="L262" t="str">
        <f>IF(E262="","",IFERROR(VLOOKUP(E262,Listas!$A$2:$C$1048576,3,FALSE),""))</f>
        <v/>
      </c>
    </row>
    <row r="263" spans="10:12" x14ac:dyDescent="0.25">
      <c r="J263" t="str">
        <f>IF(H263="","",IFERROR(VLOOKUP(H263,Listas!$J$2:$K$1048576,2,FALSE),""))</f>
        <v/>
      </c>
      <c r="K263" s="5" t="str">
        <f>IF(OR(I263="",G263=""),"",IF(G263="Saída",-I263,I263))</f>
        <v/>
      </c>
      <c r="L263" t="str">
        <f>IF(E263="","",IFERROR(VLOOKUP(E263,Listas!$A$2:$C$1048576,3,FALSE),""))</f>
        <v/>
      </c>
    </row>
    <row r="264" spans="10:12" x14ac:dyDescent="0.25">
      <c r="J264" t="str">
        <f>IF(H264="","",IFERROR(VLOOKUP(H264,Listas!$J$2:$K$1048576,2,FALSE),""))</f>
        <v/>
      </c>
      <c r="K264" s="5" t="str">
        <f>IF(OR(I264="",G264=""),"",IF(G264="Saída",-I264,I264))</f>
        <v/>
      </c>
      <c r="L264" t="str">
        <f>IF(E264="","",IFERROR(VLOOKUP(E264,Listas!$A$2:$C$1048576,3,FALSE),""))</f>
        <v/>
      </c>
    </row>
    <row r="265" spans="10:12" x14ac:dyDescent="0.25">
      <c r="J265" t="str">
        <f>IF(H265="","",IFERROR(VLOOKUP(H265,Listas!$J$2:$K$1048576,2,FALSE),""))</f>
        <v/>
      </c>
      <c r="K265" s="5" t="str">
        <f>IF(OR(I265="",G265=""),"",IF(G265="Saída",-I265,I265))</f>
        <v/>
      </c>
      <c r="L265" t="str">
        <f>IF(E265="","",IFERROR(VLOOKUP(E265,Listas!$A$2:$C$1048576,3,FALSE),""))</f>
        <v/>
      </c>
    </row>
    <row r="266" spans="10:12" x14ac:dyDescent="0.25">
      <c r="J266" t="str">
        <f>IF(H266="","",IFERROR(VLOOKUP(H266,Listas!$J$2:$K$1048576,2,FALSE),""))</f>
        <v/>
      </c>
      <c r="K266" s="5" t="str">
        <f>IF(OR(I266="",G266=""),"",IF(G266="Saída",-I266,I266))</f>
        <v/>
      </c>
      <c r="L266" t="str">
        <f>IF(E266="","",IFERROR(VLOOKUP(E266,Listas!$A$2:$C$1048576,3,FALSE),""))</f>
        <v/>
      </c>
    </row>
    <row r="267" spans="10:12" x14ac:dyDescent="0.25">
      <c r="J267" t="str">
        <f>IF(H267="","",IFERROR(VLOOKUP(H267,Listas!$J$2:$K$1048576,2,FALSE),""))</f>
        <v/>
      </c>
      <c r="K267" s="5" t="str">
        <f>IF(OR(I267="",G267=""),"",IF(G267="Saída",-I267,I267))</f>
        <v/>
      </c>
      <c r="L267" t="str">
        <f>IF(E267="","",IFERROR(VLOOKUP(E267,Listas!$A$2:$C$1048576,3,FALSE),""))</f>
        <v/>
      </c>
    </row>
    <row r="268" spans="10:12" x14ac:dyDescent="0.25">
      <c r="J268" t="str">
        <f>IF(H268="","",IFERROR(VLOOKUP(H268,Listas!$J$2:$K$1048576,2,FALSE),""))</f>
        <v/>
      </c>
      <c r="K268" s="5" t="str">
        <f>IF(OR(I268="",G268=""),"",IF(G268="Saída",-I268,I268))</f>
        <v/>
      </c>
      <c r="L268" t="str">
        <f>IF(E268="","",IFERROR(VLOOKUP(E268,Listas!$A$2:$C$1048576,3,FALSE),""))</f>
        <v/>
      </c>
    </row>
    <row r="269" spans="10:12" x14ac:dyDescent="0.25">
      <c r="J269" t="str">
        <f>IF(H269="","",IFERROR(VLOOKUP(H269,Listas!$J$2:$K$1048576,2,FALSE),""))</f>
        <v/>
      </c>
      <c r="K269" s="5" t="str">
        <f>IF(OR(I269="",G269=""),"",IF(G269="Saída",-I269,I269))</f>
        <v/>
      </c>
      <c r="L269" t="str">
        <f>IF(E269="","",IFERROR(VLOOKUP(E269,Listas!$A$2:$C$1048576,3,FALSE),""))</f>
        <v/>
      </c>
    </row>
    <row r="270" spans="10:12" x14ac:dyDescent="0.25">
      <c r="J270" t="str">
        <f>IF(H270="","",IFERROR(VLOOKUP(H270,Listas!$J$2:$K$1048576,2,FALSE),""))</f>
        <v/>
      </c>
      <c r="K270" s="5" t="str">
        <f>IF(OR(I270="",G270=""),"",IF(G270="Saída",-I270,I270))</f>
        <v/>
      </c>
      <c r="L270" t="str">
        <f>IF(E270="","",IFERROR(VLOOKUP(E270,Listas!$A$2:$C$1048576,3,FALSE),""))</f>
        <v/>
      </c>
    </row>
    <row r="271" spans="10:12" x14ac:dyDescent="0.25">
      <c r="J271" t="str">
        <f>IF(H271="","",IFERROR(VLOOKUP(H271,Listas!$J$2:$K$1048576,2,FALSE),""))</f>
        <v/>
      </c>
      <c r="K271" s="5" t="str">
        <f>IF(OR(I271="",G271=""),"",IF(G271="Saída",-I271,I271))</f>
        <v/>
      </c>
      <c r="L271" t="str">
        <f>IF(E271="","",IFERROR(VLOOKUP(E271,Listas!$A$2:$C$1048576,3,FALSE),""))</f>
        <v/>
      </c>
    </row>
    <row r="272" spans="10:12" x14ac:dyDescent="0.25">
      <c r="J272" t="str">
        <f>IF(H272="","",IFERROR(VLOOKUP(H272,Listas!$J$2:$K$1048576,2,FALSE),""))</f>
        <v/>
      </c>
      <c r="K272" s="5" t="str">
        <f>IF(OR(I272="",G272=""),"",IF(G272="Saída",-I272,I272))</f>
        <v/>
      </c>
      <c r="L272" t="str">
        <f>IF(E272="","",IFERROR(VLOOKUP(E272,Listas!$A$2:$C$1048576,3,FALSE),""))</f>
        <v/>
      </c>
    </row>
    <row r="273" spans="10:12" x14ac:dyDescent="0.25">
      <c r="J273" t="str">
        <f>IF(H273="","",IFERROR(VLOOKUP(H273,Listas!$J$2:$K$1048576,2,FALSE),""))</f>
        <v/>
      </c>
      <c r="K273" s="5" t="str">
        <f>IF(OR(I273="",G273=""),"",IF(G273="Saída",-I273,I273))</f>
        <v/>
      </c>
      <c r="L273" t="str">
        <f>IF(E273="","",IFERROR(VLOOKUP(E273,Listas!$A$2:$C$1048576,3,FALSE),""))</f>
        <v/>
      </c>
    </row>
    <row r="274" spans="10:12" x14ac:dyDescent="0.25">
      <c r="J274" t="str">
        <f>IF(H274="","",IFERROR(VLOOKUP(H274,Listas!$J$2:$K$1048576,2,FALSE),""))</f>
        <v/>
      </c>
      <c r="K274" s="5" t="str">
        <f>IF(OR(I274="",G274=""),"",IF(G274="Saída",-I274,I274))</f>
        <v/>
      </c>
      <c r="L274" t="str">
        <f>IF(E274="","",IFERROR(VLOOKUP(E274,Listas!$A$2:$C$1048576,3,FALSE),""))</f>
        <v/>
      </c>
    </row>
    <row r="275" spans="10:12" x14ac:dyDescent="0.25">
      <c r="J275" t="str">
        <f>IF(H275="","",IFERROR(VLOOKUP(H275,Listas!$J$2:$K$1048576,2,FALSE),""))</f>
        <v/>
      </c>
      <c r="K275" s="5" t="str">
        <f>IF(OR(I275="",G275=""),"",IF(G275="Saída",-I275,I275))</f>
        <v/>
      </c>
      <c r="L275" t="str">
        <f>IF(E275="","",IFERROR(VLOOKUP(E275,Listas!$A$2:$C$1048576,3,FALSE),""))</f>
        <v/>
      </c>
    </row>
    <row r="276" spans="10:12" x14ac:dyDescent="0.25">
      <c r="J276" t="str">
        <f>IF(H276="","",IFERROR(VLOOKUP(H276,Listas!$J$2:$K$1048576,2,FALSE),""))</f>
        <v/>
      </c>
      <c r="K276" s="5" t="str">
        <f>IF(OR(I276="",G276=""),"",IF(G276="Saída",-I276,I276))</f>
        <v/>
      </c>
      <c r="L276" t="str">
        <f>IF(E276="","",IFERROR(VLOOKUP(E276,Listas!$A$2:$C$1048576,3,FALSE),""))</f>
        <v/>
      </c>
    </row>
    <row r="277" spans="10:12" x14ac:dyDescent="0.25">
      <c r="J277" t="str">
        <f>IF(H277="","",IFERROR(VLOOKUP(H277,Listas!$J$2:$K$1048576,2,FALSE),""))</f>
        <v/>
      </c>
      <c r="K277" s="5" t="str">
        <f>IF(OR(I277="",G277=""),"",IF(G277="Saída",-I277,I277))</f>
        <v/>
      </c>
      <c r="L277" t="str">
        <f>IF(E277="","",IFERROR(VLOOKUP(E277,Listas!$A$2:$C$1048576,3,FALSE),""))</f>
        <v/>
      </c>
    </row>
    <row r="278" spans="10:12" x14ac:dyDescent="0.25">
      <c r="J278" t="str">
        <f>IF(H278="","",IFERROR(VLOOKUP(H278,Listas!$J$2:$K$1048576,2,FALSE),""))</f>
        <v/>
      </c>
      <c r="K278" s="5" t="str">
        <f>IF(OR(I278="",G278=""),"",IF(G278="Saída",-I278,I278))</f>
        <v/>
      </c>
      <c r="L278" t="str">
        <f>IF(E278="","",IFERROR(VLOOKUP(E278,Listas!$A$2:$C$1048576,3,FALSE),""))</f>
        <v/>
      </c>
    </row>
    <row r="279" spans="10:12" x14ac:dyDescent="0.25">
      <c r="J279" t="str">
        <f>IF(H279="","",IFERROR(VLOOKUP(H279,Listas!$J$2:$K$1048576,2,FALSE),""))</f>
        <v/>
      </c>
      <c r="K279" s="5" t="str">
        <f>IF(OR(I279="",G279=""),"",IF(G279="Saída",-I279,I279))</f>
        <v/>
      </c>
      <c r="L279" t="str">
        <f>IF(E279="","",IFERROR(VLOOKUP(E279,Listas!$A$2:$C$1048576,3,FALSE),""))</f>
        <v/>
      </c>
    </row>
    <row r="280" spans="10:12" x14ac:dyDescent="0.25">
      <c r="J280" t="str">
        <f>IF(H280="","",IFERROR(VLOOKUP(H280,Listas!$J$2:$K$1048576,2,FALSE),""))</f>
        <v/>
      </c>
      <c r="K280" s="5" t="str">
        <f>IF(OR(I280="",G280=""),"",IF(G280="Saída",-I280,I280))</f>
        <v/>
      </c>
      <c r="L280" t="str">
        <f>IF(E280="","",IFERROR(VLOOKUP(E280,Listas!$A$2:$C$1048576,3,FALSE),""))</f>
        <v/>
      </c>
    </row>
    <row r="281" spans="10:12" x14ac:dyDescent="0.25">
      <c r="J281" t="str">
        <f>IF(H281="","",IFERROR(VLOOKUP(H281,Listas!$J$2:$K$1048576,2,FALSE),""))</f>
        <v/>
      </c>
      <c r="K281" s="5" t="str">
        <f>IF(OR(I281="",G281=""),"",IF(G281="Saída",-I281,I281))</f>
        <v/>
      </c>
      <c r="L281" t="str">
        <f>IF(E281="","",IFERROR(VLOOKUP(E281,Listas!$A$2:$C$1048576,3,FALSE),""))</f>
        <v/>
      </c>
    </row>
    <row r="282" spans="10:12" x14ac:dyDescent="0.25">
      <c r="J282" t="str">
        <f>IF(H282="","",IFERROR(VLOOKUP(H282,Listas!$J$2:$K$1048576,2,FALSE),""))</f>
        <v/>
      </c>
      <c r="K282" s="5" t="str">
        <f>IF(OR(I282="",G282=""),"",IF(G282="Saída",-I282,I282))</f>
        <v/>
      </c>
      <c r="L282" t="str">
        <f>IF(E282="","",IFERROR(VLOOKUP(E282,Listas!$A$2:$C$1048576,3,FALSE),""))</f>
        <v/>
      </c>
    </row>
    <row r="283" spans="10:12" x14ac:dyDescent="0.25">
      <c r="J283" t="str">
        <f>IF(H283="","",IFERROR(VLOOKUP(H283,Listas!$J$2:$K$1048576,2,FALSE),""))</f>
        <v/>
      </c>
      <c r="K283" s="5" t="str">
        <f>IF(OR(I283="",G283=""),"",IF(G283="Saída",-I283,I283))</f>
        <v/>
      </c>
      <c r="L283" t="str">
        <f>IF(E283="","",IFERROR(VLOOKUP(E283,Listas!$A$2:$C$1048576,3,FALSE),""))</f>
        <v/>
      </c>
    </row>
    <row r="284" spans="10:12" x14ac:dyDescent="0.25">
      <c r="J284" t="str">
        <f>IF(H284="","",IFERROR(VLOOKUP(H284,Listas!$J$2:$K$1048576,2,FALSE),""))</f>
        <v/>
      </c>
      <c r="K284" s="5" t="str">
        <f>IF(OR(I284="",G284=""),"",IF(G284="Saída",-I284,I284))</f>
        <v/>
      </c>
      <c r="L284" t="str">
        <f>IF(E284="","",IFERROR(VLOOKUP(E284,Listas!$A$2:$C$1048576,3,FALSE),""))</f>
        <v/>
      </c>
    </row>
    <row r="285" spans="10:12" x14ac:dyDescent="0.25">
      <c r="J285" t="str">
        <f>IF(H285="","",IFERROR(VLOOKUP(H285,Listas!$J$2:$K$1048576,2,FALSE),""))</f>
        <v/>
      </c>
      <c r="K285" s="5" t="str">
        <f>IF(OR(I285="",G285=""),"",IF(G285="Saída",-I285,I285))</f>
        <v/>
      </c>
      <c r="L285" t="str">
        <f>IF(E285="","",IFERROR(VLOOKUP(E285,Listas!$A$2:$C$1048576,3,FALSE),""))</f>
        <v/>
      </c>
    </row>
    <row r="286" spans="10:12" x14ac:dyDescent="0.25">
      <c r="J286" t="str">
        <f>IF(H286="","",IFERROR(VLOOKUP(H286,Listas!$J$2:$K$1048576,2,FALSE),""))</f>
        <v/>
      </c>
      <c r="K286" s="5" t="str">
        <f>IF(OR(I286="",G286=""),"",IF(G286="Saída",-I286,I286))</f>
        <v/>
      </c>
      <c r="L286" t="str">
        <f>IF(E286="","",IFERROR(VLOOKUP(E286,Listas!$A$2:$C$1048576,3,FALSE),""))</f>
        <v/>
      </c>
    </row>
    <row r="287" spans="10:12" x14ac:dyDescent="0.25">
      <c r="J287" t="str">
        <f>IF(H287="","",IFERROR(VLOOKUP(H287,Listas!$J$2:$K$1048576,2,FALSE),""))</f>
        <v/>
      </c>
      <c r="K287" s="5" t="str">
        <f>IF(OR(I287="",G287=""),"",IF(G287="Saída",-I287,I287))</f>
        <v/>
      </c>
      <c r="L287" t="str">
        <f>IF(E287="","",IFERROR(VLOOKUP(E287,Listas!$A$2:$C$1048576,3,FALSE),""))</f>
        <v/>
      </c>
    </row>
    <row r="288" spans="10:12" x14ac:dyDescent="0.25">
      <c r="J288" t="str">
        <f>IF(H288="","",IFERROR(VLOOKUP(H288,Listas!$J$2:$K$1048576,2,FALSE),""))</f>
        <v/>
      </c>
      <c r="K288" s="5" t="str">
        <f>IF(OR(I288="",G288=""),"",IF(G288="Saída",-I288,I288))</f>
        <v/>
      </c>
      <c r="L288" t="str">
        <f>IF(E288="","",IFERROR(VLOOKUP(E288,Listas!$A$2:$C$1048576,3,FALSE),""))</f>
        <v/>
      </c>
    </row>
    <row r="289" spans="10:12" x14ac:dyDescent="0.25">
      <c r="J289" t="str">
        <f>IF(H289="","",IFERROR(VLOOKUP(H289,Listas!$J$2:$K$1048576,2,FALSE),""))</f>
        <v/>
      </c>
      <c r="K289" s="5" t="str">
        <f>IF(OR(I289="",G289=""),"",IF(G289="Saída",-I289,I289))</f>
        <v/>
      </c>
      <c r="L289" t="str">
        <f>IF(E289="","",IFERROR(VLOOKUP(E289,Listas!$A$2:$C$1048576,3,FALSE),""))</f>
        <v/>
      </c>
    </row>
    <row r="290" spans="10:12" x14ac:dyDescent="0.25">
      <c r="J290" t="str">
        <f>IF(H290="","",IFERROR(VLOOKUP(H290,Listas!$J$2:$K$1048576,2,FALSE),""))</f>
        <v/>
      </c>
      <c r="K290" s="5" t="str">
        <f>IF(OR(I290="",G290=""),"",IF(G290="Saída",-I290,I290))</f>
        <v/>
      </c>
      <c r="L290" t="str">
        <f>IF(E290="","",IFERROR(VLOOKUP(E290,Listas!$A$2:$C$1048576,3,FALSE),""))</f>
        <v/>
      </c>
    </row>
    <row r="291" spans="10:12" x14ac:dyDescent="0.25">
      <c r="J291" t="str">
        <f>IF(H291="","",IFERROR(VLOOKUP(H291,Listas!$J$2:$K$1048576,2,FALSE),""))</f>
        <v/>
      </c>
      <c r="K291" s="5" t="str">
        <f>IF(OR(I291="",G291=""),"",IF(G291="Saída",-I291,I291))</f>
        <v/>
      </c>
      <c r="L291" t="str">
        <f>IF(E291="","",IFERROR(VLOOKUP(E291,Listas!$A$2:$C$1048576,3,FALSE),""))</f>
        <v/>
      </c>
    </row>
    <row r="292" spans="10:12" x14ac:dyDescent="0.25">
      <c r="J292" t="str">
        <f>IF(H292="","",IFERROR(VLOOKUP(H292,Listas!$J$2:$K$1048576,2,FALSE),""))</f>
        <v/>
      </c>
      <c r="K292" s="5" t="str">
        <f>IF(OR(I292="",G292=""),"",IF(G292="Saída",-I292,I292))</f>
        <v/>
      </c>
      <c r="L292" t="str">
        <f>IF(E292="","",IFERROR(VLOOKUP(E292,Listas!$A$2:$C$1048576,3,FALSE),""))</f>
        <v/>
      </c>
    </row>
    <row r="293" spans="10:12" x14ac:dyDescent="0.25">
      <c r="J293" t="str">
        <f>IF(H293="","",IFERROR(VLOOKUP(H293,Listas!$J$2:$K$1048576,2,FALSE),""))</f>
        <v/>
      </c>
      <c r="K293" s="5" t="str">
        <f>IF(OR(I293="",G293=""),"",IF(G293="Saída",-I293,I293))</f>
        <v/>
      </c>
      <c r="L293" t="str">
        <f>IF(E293="","",IFERROR(VLOOKUP(E293,Listas!$A$2:$C$1048576,3,FALSE),""))</f>
        <v/>
      </c>
    </row>
    <row r="294" spans="10:12" x14ac:dyDescent="0.25">
      <c r="J294" t="str">
        <f>IF(H294="","",IFERROR(VLOOKUP(H294,Listas!$J$2:$K$1048576,2,FALSE),""))</f>
        <v/>
      </c>
      <c r="K294" s="5" t="str">
        <f>IF(OR(I294="",G294=""),"",IF(G294="Saída",-I294,I294))</f>
        <v/>
      </c>
      <c r="L294" t="str">
        <f>IF(E294="","",IFERROR(VLOOKUP(E294,Listas!$A$2:$C$1048576,3,FALSE),""))</f>
        <v/>
      </c>
    </row>
    <row r="295" spans="10:12" x14ac:dyDescent="0.25">
      <c r="J295" t="str">
        <f>IF(H295="","",IFERROR(VLOOKUP(H295,Listas!$J$2:$K$1048576,2,FALSE),""))</f>
        <v/>
      </c>
      <c r="K295" s="5" t="str">
        <f>IF(OR(I295="",G295=""),"",IF(G295="Saída",-I295,I295))</f>
        <v/>
      </c>
      <c r="L295" t="str">
        <f>IF(E295="","",IFERROR(VLOOKUP(E295,Listas!$A$2:$C$1048576,3,FALSE),""))</f>
        <v/>
      </c>
    </row>
    <row r="296" spans="10:12" x14ac:dyDescent="0.25">
      <c r="J296" t="str">
        <f>IF(H296="","",IFERROR(VLOOKUP(H296,Listas!$J$2:$K$1048576,2,FALSE),""))</f>
        <v/>
      </c>
      <c r="K296" s="5" t="str">
        <f>IF(OR(I296="",G296=""),"",IF(G296="Saída",-I296,I296))</f>
        <v/>
      </c>
      <c r="L296" t="str">
        <f>IF(E296="","",IFERROR(VLOOKUP(E296,Listas!$A$2:$C$1048576,3,FALSE),""))</f>
        <v/>
      </c>
    </row>
    <row r="297" spans="10:12" x14ac:dyDescent="0.25">
      <c r="J297" t="str">
        <f>IF(H297="","",IFERROR(VLOOKUP(H297,Listas!$J$2:$K$1048576,2,FALSE),""))</f>
        <v/>
      </c>
      <c r="K297" s="5" t="str">
        <f>IF(OR(I297="",G297=""),"",IF(G297="Saída",-I297,I297))</f>
        <v/>
      </c>
      <c r="L297" t="str">
        <f>IF(E297="","",IFERROR(VLOOKUP(E297,Listas!$A$2:$C$1048576,3,FALSE),""))</f>
        <v/>
      </c>
    </row>
    <row r="298" spans="10:12" x14ac:dyDescent="0.25">
      <c r="J298" t="str">
        <f>IF(H298="","",IFERROR(VLOOKUP(H298,Listas!$J$2:$K$1048576,2,FALSE),""))</f>
        <v/>
      </c>
      <c r="K298" s="5" t="str">
        <f>IF(OR(I298="",G298=""),"",IF(G298="Saída",-I298,I298))</f>
        <v/>
      </c>
      <c r="L298" t="str">
        <f>IF(E298="","",IFERROR(VLOOKUP(E298,Listas!$A$2:$C$1048576,3,FALSE),""))</f>
        <v/>
      </c>
    </row>
    <row r="299" spans="10:12" x14ac:dyDescent="0.25">
      <c r="J299" t="str">
        <f>IF(H299="","",IFERROR(VLOOKUP(H299,Listas!$J$2:$K$1048576,2,FALSE),""))</f>
        <v/>
      </c>
      <c r="K299" s="5" t="str">
        <f>IF(OR(I299="",G299=""),"",IF(G299="Saída",-I299,I299))</f>
        <v/>
      </c>
      <c r="L299" t="str">
        <f>IF(E299="","",IFERROR(VLOOKUP(E299,Listas!$A$2:$C$1048576,3,FALSE),""))</f>
        <v/>
      </c>
    </row>
    <row r="300" spans="10:12" x14ac:dyDescent="0.25">
      <c r="J300" t="str">
        <f>IF(H300="","",IFERROR(VLOOKUP(H300,Listas!$J$2:$K$1048576,2,FALSE),""))</f>
        <v/>
      </c>
      <c r="K300" s="5" t="str">
        <f>IF(OR(I300="",G300=""),"",IF(G300="Saída",-I300,I300))</f>
        <v/>
      </c>
      <c r="L300" t="str">
        <f>IF(E300="","",IFERROR(VLOOKUP(E300,Listas!$A$2:$C$1048576,3,FALSE),""))</f>
        <v/>
      </c>
    </row>
    <row r="301" spans="10:12" x14ac:dyDescent="0.25">
      <c r="J301" t="str">
        <f>IF(H301="","",IFERROR(VLOOKUP(H301,Listas!$J$2:$K$1048576,2,FALSE),""))</f>
        <v/>
      </c>
      <c r="K301" s="5" t="str">
        <f>IF(OR(I301="",G301=""),"",IF(G301="Saída",-I301,I301))</f>
        <v/>
      </c>
      <c r="L301" t="str">
        <f>IF(E301="","",IFERROR(VLOOKUP(E301,Listas!$A$2:$C$1048576,3,FALSE),""))</f>
        <v/>
      </c>
    </row>
    <row r="302" spans="10:12" x14ac:dyDescent="0.25">
      <c r="J302" t="str">
        <f>IF(H302="","",IFERROR(VLOOKUP(H302,Listas!$J$2:$K$1048576,2,FALSE),""))</f>
        <v/>
      </c>
      <c r="K302" s="5" t="str">
        <f>IF(OR(I302="",G302=""),"",IF(G302="Saída",-I302,I302))</f>
        <v/>
      </c>
      <c r="L302" t="str">
        <f>IF(E302="","",IFERROR(VLOOKUP(E302,Listas!$A$2:$C$1048576,3,FALSE),""))</f>
        <v/>
      </c>
    </row>
    <row r="303" spans="10:12" x14ac:dyDescent="0.25">
      <c r="J303" t="str">
        <f>IF(H303="","",IFERROR(VLOOKUP(H303,Listas!$J$2:$K$1048576,2,FALSE),""))</f>
        <v/>
      </c>
      <c r="K303" s="5" t="str">
        <f>IF(OR(I303="",G303=""),"",IF(G303="Saída",-I303,I303))</f>
        <v/>
      </c>
      <c r="L303" t="str">
        <f>IF(E303="","",IFERROR(VLOOKUP(E303,Listas!$A$2:$C$1048576,3,FALSE),""))</f>
        <v/>
      </c>
    </row>
    <row r="304" spans="10:12" x14ac:dyDescent="0.25">
      <c r="J304" t="str">
        <f>IF(H304="","",IFERROR(VLOOKUP(H304,Listas!$J$2:$K$1048576,2,FALSE),""))</f>
        <v/>
      </c>
      <c r="K304" s="5" t="str">
        <f>IF(OR(I304="",G304=""),"",IF(G304="Saída",-I304,I304))</f>
        <v/>
      </c>
      <c r="L304" t="str">
        <f>IF(E304="","",IFERROR(VLOOKUP(E304,Listas!$A$2:$C$1048576,3,FALSE),""))</f>
        <v/>
      </c>
    </row>
    <row r="305" spans="10:12" x14ac:dyDescent="0.25">
      <c r="J305" t="str">
        <f>IF(H305="","",IFERROR(VLOOKUP(H305,Listas!$J$2:$K$1048576,2,FALSE),""))</f>
        <v/>
      </c>
      <c r="K305" s="5" t="str">
        <f>IF(OR(I305="",G305=""),"",IF(G305="Saída",-I305,I305))</f>
        <v/>
      </c>
      <c r="L305" t="str">
        <f>IF(E305="","",IFERROR(VLOOKUP(E305,Listas!$A$2:$C$1048576,3,FALSE),""))</f>
        <v/>
      </c>
    </row>
    <row r="306" spans="10:12" x14ac:dyDescent="0.25">
      <c r="J306" t="str">
        <f>IF(H306="","",IFERROR(VLOOKUP(H306,Listas!$J$2:$K$1048576,2,FALSE),""))</f>
        <v/>
      </c>
      <c r="K306" s="5" t="str">
        <f>IF(OR(I306="",G306=""),"",IF(G306="Saída",-I306,I306))</f>
        <v/>
      </c>
      <c r="L306" t="str">
        <f>IF(E306="","",IFERROR(VLOOKUP(E306,Listas!$A$2:$C$1048576,3,FALSE),""))</f>
        <v/>
      </c>
    </row>
    <row r="307" spans="10:12" x14ac:dyDescent="0.25">
      <c r="J307" t="str">
        <f>IF(H307="","",IFERROR(VLOOKUP(H307,Listas!$J$2:$K$1048576,2,FALSE),""))</f>
        <v/>
      </c>
      <c r="K307" s="5" t="str">
        <f>IF(OR(I307="",G307=""),"",IF(G307="Saída",-I307,I307))</f>
        <v/>
      </c>
      <c r="L307" t="str">
        <f>IF(E307="","",IFERROR(VLOOKUP(E307,Listas!$A$2:$C$1048576,3,FALSE),""))</f>
        <v/>
      </c>
    </row>
    <row r="308" spans="10:12" x14ac:dyDescent="0.25">
      <c r="J308" t="str">
        <f>IF(H308="","",IFERROR(VLOOKUP(H308,Listas!$J$2:$K$1048576,2,FALSE),""))</f>
        <v/>
      </c>
      <c r="K308" s="5" t="str">
        <f>IF(OR(I308="",G308=""),"",IF(G308="Saída",-I308,I308))</f>
        <v/>
      </c>
      <c r="L308" t="str">
        <f>IF(E308="","",IFERROR(VLOOKUP(E308,Listas!$A$2:$C$1048576,3,FALSE),""))</f>
        <v/>
      </c>
    </row>
    <row r="309" spans="10:12" x14ac:dyDescent="0.25">
      <c r="J309" t="str">
        <f>IF(H309="","",IFERROR(VLOOKUP(H309,Listas!$J$2:$K$1048576,2,FALSE),""))</f>
        <v/>
      </c>
      <c r="K309" s="5" t="str">
        <f>IF(OR(I309="",G309=""),"",IF(G309="Saída",-I309,I309))</f>
        <v/>
      </c>
      <c r="L309" t="str">
        <f>IF(E309="","",IFERROR(VLOOKUP(E309,Listas!$A$2:$C$1048576,3,FALSE),""))</f>
        <v/>
      </c>
    </row>
    <row r="310" spans="10:12" x14ac:dyDescent="0.25">
      <c r="J310" t="str">
        <f>IF(H310="","",IFERROR(VLOOKUP(H310,Listas!$J$2:$K$1048576,2,FALSE),""))</f>
        <v/>
      </c>
      <c r="K310" s="5" t="str">
        <f>IF(OR(I310="",G310=""),"",IF(G310="Saída",-I310,I310))</f>
        <v/>
      </c>
      <c r="L310" t="str">
        <f>IF(E310="","",IFERROR(VLOOKUP(E310,Listas!$A$2:$C$1048576,3,FALSE),""))</f>
        <v/>
      </c>
    </row>
    <row r="311" spans="10:12" x14ac:dyDescent="0.25">
      <c r="J311" t="str">
        <f>IF(H311="","",IFERROR(VLOOKUP(H311,Listas!$J$2:$K$1048576,2,FALSE),""))</f>
        <v/>
      </c>
      <c r="K311" s="5" t="str">
        <f>IF(OR(I311="",G311=""),"",IF(G311="Saída",-I311,I311))</f>
        <v/>
      </c>
      <c r="L311" t="str">
        <f>IF(E311="","",IFERROR(VLOOKUP(E311,Listas!$A$2:$C$1048576,3,FALSE),""))</f>
        <v/>
      </c>
    </row>
    <row r="312" spans="10:12" x14ac:dyDescent="0.25">
      <c r="J312" t="str">
        <f>IF(H312="","",IFERROR(VLOOKUP(H312,Listas!$J$2:$K$1048576,2,FALSE),""))</f>
        <v/>
      </c>
      <c r="K312" s="5" t="str">
        <f>IF(OR(I312="",G312=""),"",IF(G312="Saída",-I312,I312))</f>
        <v/>
      </c>
      <c r="L312" t="str">
        <f>IF(E312="","",IFERROR(VLOOKUP(E312,Listas!$A$2:$C$1048576,3,FALSE),""))</f>
        <v/>
      </c>
    </row>
    <row r="313" spans="10:12" x14ac:dyDescent="0.25">
      <c r="J313" t="str">
        <f>IF(H313="","",IFERROR(VLOOKUP(H313,Listas!$J$2:$K$1048576,2,FALSE),""))</f>
        <v/>
      </c>
      <c r="K313" s="5" t="str">
        <f>IF(OR(I313="",G313=""),"",IF(G313="Saída",-I313,I313))</f>
        <v/>
      </c>
      <c r="L313" t="str">
        <f>IF(E313="","",IFERROR(VLOOKUP(E313,Listas!$A$2:$C$1048576,3,FALSE),""))</f>
        <v/>
      </c>
    </row>
    <row r="314" spans="10:12" x14ac:dyDescent="0.25">
      <c r="J314" t="str">
        <f>IF(H314="","",IFERROR(VLOOKUP(H314,Listas!$J$2:$K$1048576,2,FALSE),""))</f>
        <v/>
      </c>
      <c r="K314" s="5" t="str">
        <f>IF(OR(I314="",G314=""),"",IF(G314="Saída",-I314,I314))</f>
        <v/>
      </c>
      <c r="L314" t="str">
        <f>IF(E314="","",IFERROR(VLOOKUP(E314,Listas!$A$2:$C$1048576,3,FALSE),""))</f>
        <v/>
      </c>
    </row>
    <row r="315" spans="10:12" x14ac:dyDescent="0.25">
      <c r="J315" t="str">
        <f>IF(H315="","",IFERROR(VLOOKUP(H315,Listas!$J$2:$K$1048576,2,FALSE),""))</f>
        <v/>
      </c>
      <c r="K315" s="5" t="str">
        <f>IF(OR(I315="",G315=""),"",IF(G315="Saída",-I315,I315))</f>
        <v/>
      </c>
      <c r="L315" t="str">
        <f>IF(E315="","",IFERROR(VLOOKUP(E315,Listas!$A$2:$C$1048576,3,FALSE),""))</f>
        <v/>
      </c>
    </row>
    <row r="316" spans="10:12" x14ac:dyDescent="0.25">
      <c r="J316" t="str">
        <f>IF(H316="","",IFERROR(VLOOKUP(H316,Listas!$J$2:$K$1048576,2,FALSE),""))</f>
        <v/>
      </c>
      <c r="K316" s="5" t="str">
        <f>IF(OR(I316="",G316=""),"",IF(G316="Saída",-I316,I316))</f>
        <v/>
      </c>
      <c r="L316" t="str">
        <f>IF(E316="","",IFERROR(VLOOKUP(E316,Listas!$A$2:$C$1048576,3,FALSE),""))</f>
        <v/>
      </c>
    </row>
    <row r="317" spans="10:12" x14ac:dyDescent="0.25">
      <c r="J317" t="str">
        <f>IF(H317="","",IFERROR(VLOOKUP(H317,Listas!$J$2:$K$1048576,2,FALSE),""))</f>
        <v/>
      </c>
      <c r="K317" s="5" t="str">
        <f>IF(OR(I317="",G317=""),"",IF(G317="Saída",-I317,I317))</f>
        <v/>
      </c>
      <c r="L317" t="str">
        <f>IF(E317="","",IFERROR(VLOOKUP(E317,Listas!$A$2:$C$1048576,3,FALSE),""))</f>
        <v/>
      </c>
    </row>
    <row r="318" spans="10:12" x14ac:dyDescent="0.25">
      <c r="J318" t="str">
        <f>IF(H318="","",IFERROR(VLOOKUP(H318,Listas!$J$2:$K$1048576,2,FALSE),""))</f>
        <v/>
      </c>
      <c r="K318" s="5" t="str">
        <f>IF(OR(I318="",G318=""),"",IF(G318="Saída",-I318,I318))</f>
        <v/>
      </c>
      <c r="L318" t="str">
        <f>IF(E318="","",IFERROR(VLOOKUP(E318,Listas!$A$2:$C$1048576,3,FALSE),""))</f>
        <v/>
      </c>
    </row>
    <row r="319" spans="10:12" x14ac:dyDescent="0.25">
      <c r="J319" t="str">
        <f>IF(H319="","",IFERROR(VLOOKUP(H319,Listas!$J$2:$K$1048576,2,FALSE),""))</f>
        <v/>
      </c>
      <c r="K319" s="5" t="str">
        <f>IF(OR(I319="",G319=""),"",IF(G319="Saída",-I319,I319))</f>
        <v/>
      </c>
      <c r="L319" t="str">
        <f>IF(E319="","",IFERROR(VLOOKUP(E319,Listas!$A$2:$C$1048576,3,FALSE),""))</f>
        <v/>
      </c>
    </row>
    <row r="320" spans="10:12" x14ac:dyDescent="0.25">
      <c r="J320" t="str">
        <f>IF(H320="","",IFERROR(VLOOKUP(H320,Listas!$J$2:$K$1048576,2,FALSE),""))</f>
        <v/>
      </c>
      <c r="K320" s="5" t="str">
        <f>IF(OR(I320="",G320=""),"",IF(G320="Saída",-I320,I320))</f>
        <v/>
      </c>
      <c r="L320" t="str">
        <f>IF(E320="","",IFERROR(VLOOKUP(E320,Listas!$A$2:$C$1048576,3,FALSE),""))</f>
        <v/>
      </c>
    </row>
    <row r="321" spans="10:12" x14ac:dyDescent="0.25">
      <c r="J321" t="str">
        <f>IF(H321="","",IFERROR(VLOOKUP(H321,Listas!$J$2:$K$1048576,2,FALSE),""))</f>
        <v/>
      </c>
      <c r="K321" s="5" t="str">
        <f>IF(OR(I321="",G321=""),"",IF(G321="Saída",-I321,I321))</f>
        <v/>
      </c>
      <c r="L321" t="str">
        <f>IF(E321="","",IFERROR(VLOOKUP(E321,Listas!$A$2:$C$1048576,3,FALSE),""))</f>
        <v/>
      </c>
    </row>
    <row r="322" spans="10:12" x14ac:dyDescent="0.25">
      <c r="J322" t="str">
        <f>IF(H322="","",IFERROR(VLOOKUP(H322,Listas!$J$2:$K$1048576,2,FALSE),""))</f>
        <v/>
      </c>
      <c r="K322" s="5" t="str">
        <f>IF(OR(I322="",G322=""),"",IF(G322="Saída",-I322,I322))</f>
        <v/>
      </c>
      <c r="L322" t="str">
        <f>IF(E322="","",IFERROR(VLOOKUP(E322,Listas!$A$2:$C$1048576,3,FALSE),""))</f>
        <v/>
      </c>
    </row>
    <row r="323" spans="10:12" x14ac:dyDescent="0.25">
      <c r="J323" t="str">
        <f>IF(H323="","",IFERROR(VLOOKUP(H323,Listas!$J$2:$K$1048576,2,FALSE),""))</f>
        <v/>
      </c>
      <c r="K323" s="5" t="str">
        <f>IF(OR(I323="",G323=""),"",IF(G323="Saída",-I323,I323))</f>
        <v/>
      </c>
      <c r="L323" t="str">
        <f>IF(E323="","",IFERROR(VLOOKUP(E323,Listas!$A$2:$C$1048576,3,FALSE),""))</f>
        <v/>
      </c>
    </row>
    <row r="324" spans="10:12" x14ac:dyDescent="0.25">
      <c r="J324" t="str">
        <f>IF(H324="","",IFERROR(VLOOKUP(H324,Listas!$J$2:$K$1048576,2,FALSE),""))</f>
        <v/>
      </c>
      <c r="K324" s="5" t="str">
        <f>IF(OR(I324="",G324=""),"",IF(G324="Saída",-I324,I324))</f>
        <v/>
      </c>
      <c r="L324" t="str">
        <f>IF(E324="","",IFERROR(VLOOKUP(E324,Listas!$A$2:$C$1048576,3,FALSE),""))</f>
        <v/>
      </c>
    </row>
    <row r="325" spans="10:12" x14ac:dyDescent="0.25">
      <c r="J325" t="str">
        <f>IF(H325="","",IFERROR(VLOOKUP(H325,Listas!$J$2:$K$1048576,2,FALSE),""))</f>
        <v/>
      </c>
      <c r="K325" s="5" t="str">
        <f>IF(OR(I325="",G325=""),"",IF(G325="Saída",-I325,I325))</f>
        <v/>
      </c>
      <c r="L325" t="str">
        <f>IF(E325="","",IFERROR(VLOOKUP(E325,Listas!$A$2:$C$1048576,3,FALSE),""))</f>
        <v/>
      </c>
    </row>
    <row r="326" spans="10:12" x14ac:dyDescent="0.25">
      <c r="J326" t="str">
        <f>IF(H326="","",IFERROR(VLOOKUP(H326,Listas!$J$2:$K$1048576,2,FALSE),""))</f>
        <v/>
      </c>
      <c r="K326" s="5" t="str">
        <f>IF(OR(I326="",G326=""),"",IF(G326="Saída",-I326,I326))</f>
        <v/>
      </c>
      <c r="L326" t="str">
        <f>IF(E326="","",IFERROR(VLOOKUP(E326,Listas!$A$2:$C$1048576,3,FALSE),""))</f>
        <v/>
      </c>
    </row>
    <row r="327" spans="10:12" x14ac:dyDescent="0.25">
      <c r="J327" t="str">
        <f>IF(H327="","",IFERROR(VLOOKUP(H327,Listas!$J$2:$K$1048576,2,FALSE),""))</f>
        <v/>
      </c>
      <c r="K327" s="5" t="str">
        <f>IF(OR(I327="",G327=""),"",IF(G327="Saída",-I327,I327))</f>
        <v/>
      </c>
      <c r="L327" t="str">
        <f>IF(E327="","",IFERROR(VLOOKUP(E327,Listas!$A$2:$C$1048576,3,FALSE),""))</f>
        <v/>
      </c>
    </row>
    <row r="328" spans="10:12" x14ac:dyDescent="0.25">
      <c r="J328" t="str">
        <f>IF(H328="","",IFERROR(VLOOKUP(H328,Listas!$J$2:$K$1048576,2,FALSE),""))</f>
        <v/>
      </c>
      <c r="K328" s="5" t="str">
        <f>IF(OR(I328="",G328=""),"",IF(G328="Saída",-I328,I328))</f>
        <v/>
      </c>
      <c r="L328" t="str">
        <f>IF(E328="","",IFERROR(VLOOKUP(E328,Listas!$A$2:$C$1048576,3,FALSE),""))</f>
        <v/>
      </c>
    </row>
    <row r="329" spans="10:12" x14ac:dyDescent="0.25">
      <c r="J329" t="str">
        <f>IF(H329="","",IFERROR(VLOOKUP(H329,Listas!$J$2:$K$1048576,2,FALSE),""))</f>
        <v/>
      </c>
      <c r="K329" s="5" t="str">
        <f>IF(OR(I329="",G329=""),"",IF(G329="Saída",-I329,I329))</f>
        <v/>
      </c>
      <c r="L329" t="str">
        <f>IF(E329="","",IFERROR(VLOOKUP(E329,Listas!$A$2:$C$1048576,3,FALSE),""))</f>
        <v/>
      </c>
    </row>
    <row r="330" spans="10:12" x14ac:dyDescent="0.25">
      <c r="J330" t="str">
        <f>IF(H330="","",IFERROR(VLOOKUP(H330,Listas!$J$2:$K$1048576,2,FALSE),""))</f>
        <v/>
      </c>
      <c r="K330" s="5" t="str">
        <f>IF(OR(I330="",G330=""),"",IF(G330="Saída",-I330,I330))</f>
        <v/>
      </c>
      <c r="L330" t="str">
        <f>IF(E330="","",IFERROR(VLOOKUP(E330,Listas!$A$2:$C$1048576,3,FALSE),""))</f>
        <v/>
      </c>
    </row>
    <row r="331" spans="10:12" x14ac:dyDescent="0.25">
      <c r="J331" t="str">
        <f>IF(H331="","",IFERROR(VLOOKUP(H331,Listas!$J$2:$K$1048576,2,FALSE),""))</f>
        <v/>
      </c>
      <c r="K331" s="5" t="str">
        <f>IF(OR(I331="",G331=""),"",IF(G331="Saída",-I331,I331))</f>
        <v/>
      </c>
      <c r="L331" t="str">
        <f>IF(E331="","",IFERROR(VLOOKUP(E331,Listas!$A$2:$C$1048576,3,FALSE),""))</f>
        <v/>
      </c>
    </row>
    <row r="332" spans="10:12" x14ac:dyDescent="0.25">
      <c r="J332" t="str">
        <f>IF(H332="","",IFERROR(VLOOKUP(H332,Listas!$J$2:$K$1048576,2,FALSE),""))</f>
        <v/>
      </c>
      <c r="K332" s="5" t="str">
        <f>IF(OR(I332="",G332=""),"",IF(G332="Saída",-I332,I332))</f>
        <v/>
      </c>
      <c r="L332" t="str">
        <f>IF(E332="","",IFERROR(VLOOKUP(E332,Listas!$A$2:$C$1048576,3,FALSE),""))</f>
        <v/>
      </c>
    </row>
    <row r="333" spans="10:12" x14ac:dyDescent="0.25">
      <c r="J333" t="str">
        <f>IF(H333="","",IFERROR(VLOOKUP(H333,Listas!$J$2:$K$1048576,2,FALSE),""))</f>
        <v/>
      </c>
      <c r="K333" s="5" t="str">
        <f>IF(OR(I333="",G333=""),"",IF(G333="Saída",-I333,I333))</f>
        <v/>
      </c>
      <c r="L333" t="str">
        <f>IF(E333="","",IFERROR(VLOOKUP(E333,Listas!$A$2:$C$1048576,3,FALSE),""))</f>
        <v/>
      </c>
    </row>
    <row r="334" spans="10:12" x14ac:dyDescent="0.25">
      <c r="J334" t="str">
        <f>IF(H334="","",IFERROR(VLOOKUP(H334,Listas!$J$2:$K$1048576,2,FALSE),""))</f>
        <v/>
      </c>
      <c r="K334" s="5" t="str">
        <f>IF(OR(I334="",G334=""),"",IF(G334="Saída",-I334,I334))</f>
        <v/>
      </c>
      <c r="L334" t="str">
        <f>IF(E334="","",IFERROR(VLOOKUP(E334,Listas!$A$2:$C$1048576,3,FALSE),""))</f>
        <v/>
      </c>
    </row>
    <row r="335" spans="10:12" x14ac:dyDescent="0.25">
      <c r="J335" t="str">
        <f>IF(H335="","",IFERROR(VLOOKUP(H335,Listas!$J$2:$K$1048576,2,FALSE),""))</f>
        <v/>
      </c>
      <c r="K335" s="5" t="str">
        <f>IF(OR(I335="",G335=""),"",IF(G335="Saída",-I335,I335))</f>
        <v/>
      </c>
      <c r="L335" t="str">
        <f>IF(E335="","",IFERROR(VLOOKUP(E335,Listas!$A$2:$C$1048576,3,FALSE),""))</f>
        <v/>
      </c>
    </row>
    <row r="336" spans="10:12" x14ac:dyDescent="0.25">
      <c r="J336" t="str">
        <f>IF(H336="","",IFERROR(VLOOKUP(H336,Listas!$J$2:$K$1048576,2,FALSE),""))</f>
        <v/>
      </c>
      <c r="K336" s="5" t="str">
        <f>IF(OR(I336="",G336=""),"",IF(G336="Saída",-I336,I336))</f>
        <v/>
      </c>
      <c r="L336" t="str">
        <f>IF(E336="","",IFERROR(VLOOKUP(E336,Listas!$A$2:$C$1048576,3,FALSE),""))</f>
        <v/>
      </c>
    </row>
    <row r="337" spans="10:12" x14ac:dyDescent="0.25">
      <c r="J337" t="str">
        <f>IF(H337="","",IFERROR(VLOOKUP(H337,Listas!$J$2:$K$1048576,2,FALSE),""))</f>
        <v/>
      </c>
      <c r="K337" s="5" t="str">
        <f>IF(OR(I337="",G337=""),"",IF(G337="Saída",-I337,I337))</f>
        <v/>
      </c>
      <c r="L337" t="str">
        <f>IF(E337="","",IFERROR(VLOOKUP(E337,Listas!$A$2:$C$1048576,3,FALSE),""))</f>
        <v/>
      </c>
    </row>
    <row r="338" spans="10:12" x14ac:dyDescent="0.25">
      <c r="J338" t="str">
        <f>IF(H338="","",IFERROR(VLOOKUP(H338,Listas!$J$2:$K$1048576,2,FALSE),""))</f>
        <v/>
      </c>
      <c r="K338" s="5" t="str">
        <f>IF(OR(I338="",G338=""),"",IF(G338="Saída",-I338,I338))</f>
        <v/>
      </c>
      <c r="L338" t="str">
        <f>IF(E338="","",IFERROR(VLOOKUP(E338,Listas!$A$2:$C$1048576,3,FALSE),""))</f>
        <v/>
      </c>
    </row>
    <row r="339" spans="10:12" x14ac:dyDescent="0.25">
      <c r="J339" t="str">
        <f>IF(H339="","",IFERROR(VLOOKUP(H339,Listas!$J$2:$K$1048576,2,FALSE),""))</f>
        <v/>
      </c>
      <c r="K339" s="5" t="str">
        <f>IF(OR(I339="",G339=""),"",IF(G339="Saída",-I339,I339))</f>
        <v/>
      </c>
      <c r="L339" t="str">
        <f>IF(E339="","",IFERROR(VLOOKUP(E339,Listas!$A$2:$C$1048576,3,FALSE),""))</f>
        <v/>
      </c>
    </row>
    <row r="340" spans="10:12" x14ac:dyDescent="0.25">
      <c r="J340" t="str">
        <f>IF(H340="","",IFERROR(VLOOKUP(H340,Listas!$J$2:$K$1048576,2,FALSE),""))</f>
        <v/>
      </c>
      <c r="K340" s="5" t="str">
        <f>IF(OR(I340="",G340=""),"",IF(G340="Saída",-I340,I340))</f>
        <v/>
      </c>
      <c r="L340" t="str">
        <f>IF(E340="","",IFERROR(VLOOKUP(E340,Listas!$A$2:$C$1048576,3,FALSE),""))</f>
        <v/>
      </c>
    </row>
    <row r="341" spans="10:12" x14ac:dyDescent="0.25">
      <c r="J341" t="str">
        <f>IF(H341="","",IFERROR(VLOOKUP(H341,Listas!$J$2:$K$1048576,2,FALSE),""))</f>
        <v/>
      </c>
      <c r="K341" s="5" t="str">
        <f>IF(OR(I341="",G341=""),"",IF(G341="Saída",-I341,I341))</f>
        <v/>
      </c>
      <c r="L341" t="str">
        <f>IF(E341="","",IFERROR(VLOOKUP(E341,Listas!$A$2:$C$1048576,3,FALSE),""))</f>
        <v/>
      </c>
    </row>
    <row r="342" spans="10:12" x14ac:dyDescent="0.25">
      <c r="J342" t="str">
        <f>IF(H342="","",IFERROR(VLOOKUP(H342,Listas!$J$2:$K$1048576,2,FALSE),""))</f>
        <v/>
      </c>
      <c r="K342" s="5" t="str">
        <f>IF(OR(I342="",G342=""),"",IF(G342="Saída",-I342,I342))</f>
        <v/>
      </c>
      <c r="L342" t="str">
        <f>IF(E342="","",IFERROR(VLOOKUP(E342,Listas!$A$2:$C$1048576,3,FALSE),""))</f>
        <v/>
      </c>
    </row>
    <row r="343" spans="10:12" x14ac:dyDescent="0.25">
      <c r="J343" t="str">
        <f>IF(H343="","",IFERROR(VLOOKUP(H343,Listas!$J$2:$K$1048576,2,FALSE),""))</f>
        <v/>
      </c>
      <c r="K343" s="5" t="str">
        <f>IF(OR(I343="",G343=""),"",IF(G343="Saída",-I343,I343))</f>
        <v/>
      </c>
      <c r="L343" t="str">
        <f>IF(E343="","",IFERROR(VLOOKUP(E343,Listas!$A$2:$C$1048576,3,FALSE),""))</f>
        <v/>
      </c>
    </row>
    <row r="344" spans="10:12" x14ac:dyDescent="0.25">
      <c r="J344" t="str">
        <f>IF(H344="","",IFERROR(VLOOKUP(H344,Listas!$J$2:$K$1048576,2,FALSE),""))</f>
        <v/>
      </c>
      <c r="K344" s="5" t="str">
        <f>IF(OR(I344="",G344=""),"",IF(G344="Saída",-I344,I344))</f>
        <v/>
      </c>
      <c r="L344" t="str">
        <f>IF(E344="","",IFERROR(VLOOKUP(E344,Listas!$A$2:$C$1048576,3,FALSE),""))</f>
        <v/>
      </c>
    </row>
    <row r="345" spans="10:12" x14ac:dyDescent="0.25">
      <c r="J345" t="str">
        <f>IF(H345="","",IFERROR(VLOOKUP(H345,Listas!$J$2:$K$1048576,2,FALSE),""))</f>
        <v/>
      </c>
      <c r="K345" s="5" t="str">
        <f>IF(OR(I345="",G345=""),"",IF(G345="Saída",-I345,I345))</f>
        <v/>
      </c>
      <c r="L345" t="str">
        <f>IF(E345="","",IFERROR(VLOOKUP(E345,Listas!$A$2:$C$1048576,3,FALSE),""))</f>
        <v/>
      </c>
    </row>
    <row r="346" spans="10:12" x14ac:dyDescent="0.25">
      <c r="J346" t="str">
        <f>IF(H346="","",IFERROR(VLOOKUP(H346,Listas!$J$2:$K$1048576,2,FALSE),""))</f>
        <v/>
      </c>
      <c r="K346" s="5" t="str">
        <f>IF(OR(I346="",G346=""),"",IF(G346="Saída",-I346,I346))</f>
        <v/>
      </c>
      <c r="L346" t="str">
        <f>IF(E346="","",IFERROR(VLOOKUP(E346,Listas!$A$2:$C$1048576,3,FALSE),""))</f>
        <v/>
      </c>
    </row>
    <row r="347" spans="10:12" x14ac:dyDescent="0.25">
      <c r="J347" t="str">
        <f>IF(H347="","",IFERROR(VLOOKUP(H347,Listas!$J$2:$K$1048576,2,FALSE),""))</f>
        <v/>
      </c>
      <c r="K347" s="5" t="str">
        <f>IF(OR(I347="",G347=""),"",IF(G347="Saída",-I347,I347))</f>
        <v/>
      </c>
      <c r="L347" t="str">
        <f>IF(E347="","",IFERROR(VLOOKUP(E347,Listas!$A$2:$C$1048576,3,FALSE),""))</f>
        <v/>
      </c>
    </row>
    <row r="348" spans="10:12" x14ac:dyDescent="0.25">
      <c r="J348" t="str">
        <f>IF(H348="","",IFERROR(VLOOKUP(H348,Listas!$J$2:$K$1048576,2,FALSE),""))</f>
        <v/>
      </c>
      <c r="K348" s="5" t="str">
        <f>IF(OR(I348="",G348=""),"",IF(G348="Saída",-I348,I348))</f>
        <v/>
      </c>
      <c r="L348" t="str">
        <f>IF(E348="","",IFERROR(VLOOKUP(E348,Listas!$A$2:$C$1048576,3,FALSE),""))</f>
        <v/>
      </c>
    </row>
    <row r="349" spans="10:12" x14ac:dyDescent="0.25">
      <c r="J349" t="str">
        <f>IF(H349="","",IFERROR(VLOOKUP(H349,Listas!$J$2:$K$1048576,2,FALSE),""))</f>
        <v/>
      </c>
      <c r="K349" s="5" t="str">
        <f>IF(OR(I349="",G349=""),"",IF(G349="Saída",-I349,I349))</f>
        <v/>
      </c>
      <c r="L349" t="str">
        <f>IF(E349="","",IFERROR(VLOOKUP(E349,Listas!$A$2:$C$1048576,3,FALSE),""))</f>
        <v/>
      </c>
    </row>
    <row r="350" spans="10:12" x14ac:dyDescent="0.25">
      <c r="J350" t="str">
        <f>IF(H350="","",IFERROR(VLOOKUP(H350,Listas!$J$2:$K$1048576,2,FALSE),""))</f>
        <v/>
      </c>
      <c r="K350" s="5" t="str">
        <f>IF(OR(I350="",G350=""),"",IF(G350="Saída",-I350,I350))</f>
        <v/>
      </c>
      <c r="L350" t="str">
        <f>IF(E350="","",IFERROR(VLOOKUP(E350,Listas!$A$2:$C$1048576,3,FALSE),""))</f>
        <v/>
      </c>
    </row>
    <row r="351" spans="10:12" x14ac:dyDescent="0.25">
      <c r="J351" t="str">
        <f>IF(H351="","",IFERROR(VLOOKUP(H351,Listas!$J$2:$K$1048576,2,FALSE),""))</f>
        <v/>
      </c>
      <c r="K351" s="5" t="str">
        <f>IF(OR(I351="",G351=""),"",IF(G351="Saída",-I351,I351))</f>
        <v/>
      </c>
      <c r="L351" t="str">
        <f>IF(E351="","",IFERROR(VLOOKUP(E351,Listas!$A$2:$C$1048576,3,FALSE),""))</f>
        <v/>
      </c>
    </row>
    <row r="352" spans="10:12" x14ac:dyDescent="0.25">
      <c r="J352" t="str">
        <f>IF(H352="","",IFERROR(VLOOKUP(H352,Listas!$J$2:$K$1048576,2,FALSE),""))</f>
        <v/>
      </c>
      <c r="K352" s="5" t="str">
        <f>IF(OR(I352="",G352=""),"",IF(G352="Saída",-I352,I352))</f>
        <v/>
      </c>
      <c r="L352" t="str">
        <f>IF(E352="","",IFERROR(VLOOKUP(E352,Listas!$A$2:$C$1048576,3,FALSE),""))</f>
        <v/>
      </c>
    </row>
    <row r="353" spans="10:12" x14ac:dyDescent="0.25">
      <c r="J353" t="str">
        <f>IF(H353="","",IFERROR(VLOOKUP(H353,Listas!$J$2:$K$1048576,2,FALSE),""))</f>
        <v/>
      </c>
      <c r="K353" s="5" t="str">
        <f>IF(OR(I353="",G353=""),"",IF(G353="Saída",-I353,I353))</f>
        <v/>
      </c>
      <c r="L353" t="str">
        <f>IF(E353="","",IFERROR(VLOOKUP(E353,Listas!$A$2:$C$1048576,3,FALSE),""))</f>
        <v/>
      </c>
    </row>
    <row r="354" spans="10:12" x14ac:dyDescent="0.25">
      <c r="J354" t="str">
        <f>IF(H354="","",IFERROR(VLOOKUP(H354,Listas!$J$2:$K$1048576,2,FALSE),""))</f>
        <v/>
      </c>
      <c r="K354" s="5" t="str">
        <f>IF(OR(I354="",G354=""),"",IF(G354="Saída",-I354,I354))</f>
        <v/>
      </c>
      <c r="L354" t="str">
        <f>IF(E354="","",IFERROR(VLOOKUP(E354,Listas!$A$2:$C$1048576,3,FALSE),""))</f>
        <v/>
      </c>
    </row>
    <row r="355" spans="10:12" x14ac:dyDescent="0.25">
      <c r="J355" t="str">
        <f>IF(H355="","",IFERROR(VLOOKUP(H355,Listas!$J$2:$K$1048576,2,FALSE),""))</f>
        <v/>
      </c>
      <c r="K355" s="5" t="str">
        <f>IF(OR(I355="",G355=""),"",IF(G355="Saída",-I355,I355))</f>
        <v/>
      </c>
      <c r="L355" t="str">
        <f>IF(E355="","",IFERROR(VLOOKUP(E355,Listas!$A$2:$C$1048576,3,FALSE),""))</f>
        <v/>
      </c>
    </row>
    <row r="356" spans="10:12" x14ac:dyDescent="0.25">
      <c r="J356" t="str">
        <f>IF(H356="","",IFERROR(VLOOKUP(H356,Listas!$J$2:$K$1048576,2,FALSE),""))</f>
        <v/>
      </c>
      <c r="K356" s="5" t="str">
        <f>IF(OR(I356="",G356=""),"",IF(G356="Saída",-I356,I356))</f>
        <v/>
      </c>
      <c r="L356" t="str">
        <f>IF(E356="","",IFERROR(VLOOKUP(E356,Listas!$A$2:$C$1048576,3,FALSE),""))</f>
        <v/>
      </c>
    </row>
    <row r="357" spans="10:12" x14ac:dyDescent="0.25">
      <c r="J357" t="str">
        <f>IF(H357="","",IFERROR(VLOOKUP(H357,Listas!$J$2:$K$1048576,2,FALSE),""))</f>
        <v/>
      </c>
      <c r="K357" s="5" t="str">
        <f>IF(OR(I357="",G357=""),"",IF(G357="Saída",-I357,I357))</f>
        <v/>
      </c>
      <c r="L357" t="str">
        <f>IF(E357="","",IFERROR(VLOOKUP(E357,Listas!$A$2:$C$1048576,3,FALSE),""))</f>
        <v/>
      </c>
    </row>
    <row r="358" spans="10:12" x14ac:dyDescent="0.25">
      <c r="J358" t="str">
        <f>IF(H358="","",IFERROR(VLOOKUP(H358,Listas!$J$2:$K$1048576,2,FALSE),""))</f>
        <v/>
      </c>
      <c r="K358" s="5" t="str">
        <f>IF(OR(I358="",G358=""),"",IF(G358="Saída",-I358,I358))</f>
        <v/>
      </c>
      <c r="L358" t="str">
        <f>IF(E358="","",IFERROR(VLOOKUP(E358,Listas!$A$2:$C$1048576,3,FALSE),""))</f>
        <v/>
      </c>
    </row>
    <row r="359" spans="10:12" x14ac:dyDescent="0.25">
      <c r="J359" t="str">
        <f>IF(H359="","",IFERROR(VLOOKUP(H359,Listas!$J$2:$K$1048576,2,FALSE),""))</f>
        <v/>
      </c>
      <c r="K359" s="5" t="str">
        <f>IF(OR(I359="",G359=""),"",IF(G359="Saída",-I359,I359))</f>
        <v/>
      </c>
      <c r="L359" t="str">
        <f>IF(E359="","",IFERROR(VLOOKUP(E359,Listas!$A$2:$C$1048576,3,FALSE),""))</f>
        <v/>
      </c>
    </row>
    <row r="360" spans="10:12" x14ac:dyDescent="0.25">
      <c r="J360" t="str">
        <f>IF(H360="","",IFERROR(VLOOKUP(H360,Listas!$J$2:$K$1048576,2,FALSE),""))</f>
        <v/>
      </c>
      <c r="K360" s="5" t="str">
        <f>IF(OR(I360="",G360=""),"",IF(G360="Saída",-I360,I360))</f>
        <v/>
      </c>
      <c r="L360" t="str">
        <f>IF(E360="","",IFERROR(VLOOKUP(E360,Listas!$A$2:$C$1048576,3,FALSE),""))</f>
        <v/>
      </c>
    </row>
    <row r="361" spans="10:12" x14ac:dyDescent="0.25">
      <c r="J361" t="str">
        <f>IF(H361="","",IFERROR(VLOOKUP(H361,Listas!$J$2:$K$1048576,2,FALSE),""))</f>
        <v/>
      </c>
      <c r="K361" s="5" t="str">
        <f>IF(OR(I361="",G361=""),"",IF(G361="Saída",-I361,I361))</f>
        <v/>
      </c>
      <c r="L361" t="str">
        <f>IF(E361="","",IFERROR(VLOOKUP(E361,Listas!$A$2:$C$1048576,3,FALSE),""))</f>
        <v/>
      </c>
    </row>
    <row r="362" spans="10:12" x14ac:dyDescent="0.25">
      <c r="J362" t="str">
        <f>IF(H362="","",IFERROR(VLOOKUP(H362,Listas!$J$2:$K$1048576,2,FALSE),""))</f>
        <v/>
      </c>
      <c r="K362" s="5" t="str">
        <f>IF(OR(I362="",G362=""),"",IF(G362="Saída",-I362,I362))</f>
        <v/>
      </c>
      <c r="L362" t="str">
        <f>IF(E362="","",IFERROR(VLOOKUP(E362,Listas!$A$2:$C$1048576,3,FALSE),""))</f>
        <v/>
      </c>
    </row>
    <row r="363" spans="10:12" x14ac:dyDescent="0.25">
      <c r="J363" t="str">
        <f>IF(H363="","",IFERROR(VLOOKUP(H363,Listas!$J$2:$K$1048576,2,FALSE),""))</f>
        <v/>
      </c>
      <c r="K363" s="5" t="str">
        <f>IF(OR(I363="",G363=""),"",IF(G363="Saída",-I363,I363))</f>
        <v/>
      </c>
      <c r="L363" t="str">
        <f>IF(E363="","",IFERROR(VLOOKUP(E363,Listas!$A$2:$C$1048576,3,FALSE),""))</f>
        <v/>
      </c>
    </row>
    <row r="364" spans="10:12" x14ac:dyDescent="0.25">
      <c r="J364" t="str">
        <f>IF(H364="","",IFERROR(VLOOKUP(H364,Listas!$J$2:$K$1048576,2,FALSE),""))</f>
        <v/>
      </c>
      <c r="K364" s="5" t="str">
        <f>IF(OR(I364="",G364=""),"",IF(G364="Saída",-I364,I364))</f>
        <v/>
      </c>
      <c r="L364" t="str">
        <f>IF(E364="","",IFERROR(VLOOKUP(E364,Listas!$A$2:$C$1048576,3,FALSE),""))</f>
        <v/>
      </c>
    </row>
    <row r="365" spans="10:12" x14ac:dyDescent="0.25">
      <c r="J365" t="str">
        <f>IF(H365="","",IFERROR(VLOOKUP(H365,Listas!$J$2:$K$1048576,2,FALSE),""))</f>
        <v/>
      </c>
      <c r="K365" s="5" t="str">
        <f>IF(OR(I365="",G365=""),"",IF(G365="Saída",-I365,I365))</f>
        <v/>
      </c>
      <c r="L365" t="str">
        <f>IF(E365="","",IFERROR(VLOOKUP(E365,Listas!$A$2:$C$1048576,3,FALSE),""))</f>
        <v/>
      </c>
    </row>
    <row r="366" spans="10:12" x14ac:dyDescent="0.25">
      <c r="J366" t="str">
        <f>IF(H366="","",IFERROR(VLOOKUP(H366,Listas!$J$2:$K$1048576,2,FALSE),""))</f>
        <v/>
      </c>
      <c r="K366" s="5" t="str">
        <f>IF(OR(I366="",G366=""),"",IF(G366="Saída",-I366,I366))</f>
        <v/>
      </c>
      <c r="L366" t="str">
        <f>IF(E366="","",IFERROR(VLOOKUP(E366,Listas!$A$2:$C$1048576,3,FALSE),""))</f>
        <v/>
      </c>
    </row>
    <row r="367" spans="10:12" x14ac:dyDescent="0.25">
      <c r="J367" t="str">
        <f>IF(H367="","",IFERROR(VLOOKUP(H367,Listas!$J$2:$K$1048576,2,FALSE),""))</f>
        <v/>
      </c>
      <c r="K367" s="5" t="str">
        <f>IF(OR(I367="",G367=""),"",IF(G367="Saída",-I367,I367))</f>
        <v/>
      </c>
      <c r="L367" t="str">
        <f>IF(E367="","",IFERROR(VLOOKUP(E367,Listas!$A$2:$C$1048576,3,FALSE),""))</f>
        <v/>
      </c>
    </row>
    <row r="368" spans="10:12" x14ac:dyDescent="0.25">
      <c r="J368" t="str">
        <f>IF(H368="","",IFERROR(VLOOKUP(H368,Listas!$J$2:$K$1048576,2,FALSE),""))</f>
        <v/>
      </c>
      <c r="K368" s="5" t="str">
        <f>IF(OR(I368="",G368=""),"",IF(G368="Saída",-I368,I368))</f>
        <v/>
      </c>
      <c r="L368" t="str">
        <f>IF(E368="","",IFERROR(VLOOKUP(E368,Listas!$A$2:$C$1048576,3,FALSE),""))</f>
        <v/>
      </c>
    </row>
    <row r="369" spans="10:12" x14ac:dyDescent="0.25">
      <c r="J369" t="str">
        <f>IF(H369="","",IFERROR(VLOOKUP(H369,Listas!$J$2:$K$1048576,2,FALSE),""))</f>
        <v/>
      </c>
      <c r="K369" s="5" t="str">
        <f>IF(OR(I369="",G369=""),"",IF(G369="Saída",-I369,I369))</f>
        <v/>
      </c>
      <c r="L369" t="str">
        <f>IF(E369="","",IFERROR(VLOOKUP(E369,Listas!$A$2:$C$1048576,3,FALSE),""))</f>
        <v/>
      </c>
    </row>
    <row r="370" spans="10:12" x14ac:dyDescent="0.25">
      <c r="J370" t="str">
        <f>IF(H370="","",IFERROR(VLOOKUP(H370,Listas!$J$2:$K$1048576,2,FALSE),""))</f>
        <v/>
      </c>
      <c r="K370" s="5" t="str">
        <f>IF(OR(I370="",G370=""),"",IF(G370="Saída",-I370,I370))</f>
        <v/>
      </c>
      <c r="L370" t="str">
        <f>IF(E370="","",IFERROR(VLOOKUP(E370,Listas!$A$2:$C$1048576,3,FALSE),""))</f>
        <v/>
      </c>
    </row>
    <row r="371" spans="10:12" x14ac:dyDescent="0.25">
      <c r="J371" t="str">
        <f>IF(H371="","",IFERROR(VLOOKUP(H371,Listas!$J$2:$K$1048576,2,FALSE),""))</f>
        <v/>
      </c>
      <c r="K371" s="5" t="str">
        <f>IF(OR(I371="",G371=""),"",IF(G371="Saída",-I371,I371))</f>
        <v/>
      </c>
      <c r="L371" t="str">
        <f>IF(E371="","",IFERROR(VLOOKUP(E371,Listas!$A$2:$C$1048576,3,FALSE),""))</f>
        <v/>
      </c>
    </row>
    <row r="372" spans="10:12" x14ac:dyDescent="0.25">
      <c r="J372" t="str">
        <f>IF(H372="","",IFERROR(VLOOKUP(H372,Listas!$J$2:$K$1048576,2,FALSE),""))</f>
        <v/>
      </c>
      <c r="K372" s="5" t="str">
        <f>IF(OR(I372="",G372=""),"",IF(G372="Saída",-I372,I372))</f>
        <v/>
      </c>
      <c r="L372" t="str">
        <f>IF(E372="","",IFERROR(VLOOKUP(E372,Listas!$A$2:$C$1048576,3,FALSE),""))</f>
        <v/>
      </c>
    </row>
    <row r="373" spans="10:12" x14ac:dyDescent="0.25">
      <c r="J373" t="str">
        <f>IF(H373="","",IFERROR(VLOOKUP(H373,Listas!$J$2:$K$1048576,2,FALSE),""))</f>
        <v/>
      </c>
      <c r="K373" s="5" t="str">
        <f>IF(OR(I373="",G373=""),"",IF(G373="Saída",-I373,I373))</f>
        <v/>
      </c>
      <c r="L373" t="str">
        <f>IF(E373="","",IFERROR(VLOOKUP(E373,Listas!$A$2:$C$1048576,3,FALSE),""))</f>
        <v/>
      </c>
    </row>
    <row r="374" spans="10:12" x14ac:dyDescent="0.25">
      <c r="J374" t="str">
        <f>IF(H374="","",IFERROR(VLOOKUP(H374,Listas!$J$2:$K$1048576,2,FALSE),""))</f>
        <v/>
      </c>
      <c r="K374" s="5" t="str">
        <f>IF(OR(I374="",G374=""),"",IF(G374="Saída",-I374,I374))</f>
        <v/>
      </c>
      <c r="L374" t="str">
        <f>IF(E374="","",IFERROR(VLOOKUP(E374,Listas!$A$2:$C$1048576,3,FALSE),""))</f>
        <v/>
      </c>
    </row>
    <row r="375" spans="10:12" x14ac:dyDescent="0.25">
      <c r="J375" t="str">
        <f>IF(H375="","",IFERROR(VLOOKUP(H375,Listas!$J$2:$K$1048576,2,FALSE),""))</f>
        <v/>
      </c>
      <c r="K375" s="5" t="str">
        <f>IF(OR(I375="",G375=""),"",IF(G375="Saída",-I375,I375))</f>
        <v/>
      </c>
      <c r="L375" t="str">
        <f>IF(E375="","",IFERROR(VLOOKUP(E375,Listas!$A$2:$C$1048576,3,FALSE),""))</f>
        <v/>
      </c>
    </row>
    <row r="376" spans="10:12" x14ac:dyDescent="0.25">
      <c r="J376" t="str">
        <f>IF(H376="","",IFERROR(VLOOKUP(H376,Listas!$J$2:$K$1048576,2,FALSE),""))</f>
        <v/>
      </c>
      <c r="K376" s="5" t="str">
        <f>IF(OR(I376="",G376=""),"",IF(G376="Saída",-I376,I376))</f>
        <v/>
      </c>
      <c r="L376" t="str">
        <f>IF(E376="","",IFERROR(VLOOKUP(E376,Listas!$A$2:$C$1048576,3,FALSE),""))</f>
        <v/>
      </c>
    </row>
    <row r="377" spans="10:12" x14ac:dyDescent="0.25">
      <c r="J377" t="str">
        <f>IF(H377="","",IFERROR(VLOOKUP(H377,Listas!$J$2:$K$1048576,2,FALSE),""))</f>
        <v/>
      </c>
      <c r="K377" s="5" t="str">
        <f>IF(OR(I377="",G377=""),"",IF(G377="Saída",-I377,I377))</f>
        <v/>
      </c>
      <c r="L377" t="str">
        <f>IF(E377="","",IFERROR(VLOOKUP(E377,Listas!$A$2:$C$1048576,3,FALSE),""))</f>
        <v/>
      </c>
    </row>
    <row r="378" spans="10:12" x14ac:dyDescent="0.25">
      <c r="J378" t="str">
        <f>IF(H378="","",IFERROR(VLOOKUP(H378,Listas!$J$2:$K$1048576,2,FALSE),""))</f>
        <v/>
      </c>
      <c r="K378" s="5" t="str">
        <f>IF(OR(I378="",G378=""),"",IF(G378="Saída",-I378,I378))</f>
        <v/>
      </c>
      <c r="L378" t="str">
        <f>IF(E378="","",IFERROR(VLOOKUP(E378,Listas!$A$2:$C$1048576,3,FALSE),""))</f>
        <v/>
      </c>
    </row>
    <row r="379" spans="10:12" x14ac:dyDescent="0.25">
      <c r="J379" t="str">
        <f>IF(H379="","",IFERROR(VLOOKUP(H379,Listas!$J$2:$K$1048576,2,FALSE),""))</f>
        <v/>
      </c>
      <c r="K379" s="5" t="str">
        <f>IF(OR(I379="",G379=""),"",IF(G379="Saída",-I379,I379))</f>
        <v/>
      </c>
      <c r="L379" t="str">
        <f>IF(E379="","",IFERROR(VLOOKUP(E379,Listas!$A$2:$C$1048576,3,FALSE),""))</f>
        <v/>
      </c>
    </row>
    <row r="380" spans="10:12" x14ac:dyDescent="0.25">
      <c r="J380" t="str">
        <f>IF(H380="","",IFERROR(VLOOKUP(H380,Listas!$J$2:$K$1048576,2,FALSE),""))</f>
        <v/>
      </c>
      <c r="K380" s="5" t="str">
        <f>IF(OR(I380="",G380=""),"",IF(G380="Saída",-I380,I380))</f>
        <v/>
      </c>
      <c r="L380" t="str">
        <f>IF(E380="","",IFERROR(VLOOKUP(E380,Listas!$A$2:$C$1048576,3,FALSE),""))</f>
        <v/>
      </c>
    </row>
    <row r="381" spans="10:12" x14ac:dyDescent="0.25">
      <c r="J381" t="str">
        <f>IF(H381="","",IFERROR(VLOOKUP(H381,Listas!$J$2:$K$1048576,2,FALSE),""))</f>
        <v/>
      </c>
      <c r="K381" s="5" t="str">
        <f>IF(OR(I381="",G381=""),"",IF(G381="Saída",-I381,I381))</f>
        <v/>
      </c>
      <c r="L381" t="str">
        <f>IF(E381="","",IFERROR(VLOOKUP(E381,Listas!$A$2:$C$1048576,3,FALSE),""))</f>
        <v/>
      </c>
    </row>
    <row r="382" spans="10:12" x14ac:dyDescent="0.25">
      <c r="J382" t="str">
        <f>IF(H382="","",IFERROR(VLOOKUP(H382,Listas!$J$2:$K$1048576,2,FALSE),""))</f>
        <v/>
      </c>
      <c r="K382" s="5" t="str">
        <f>IF(OR(I382="",G382=""),"",IF(G382="Saída",-I382,I382))</f>
        <v/>
      </c>
      <c r="L382" t="str">
        <f>IF(E382="","",IFERROR(VLOOKUP(E382,Listas!$A$2:$C$1048576,3,FALSE),""))</f>
        <v/>
      </c>
    </row>
    <row r="383" spans="10:12" x14ac:dyDescent="0.25">
      <c r="J383" t="str">
        <f>IF(H383="","",IFERROR(VLOOKUP(H383,Listas!$J$2:$K$1048576,2,FALSE),""))</f>
        <v/>
      </c>
      <c r="K383" s="5" t="str">
        <f>IF(OR(I383="",G383=""),"",IF(G383="Saída",-I383,I383))</f>
        <v/>
      </c>
      <c r="L383" t="str">
        <f>IF(E383="","",IFERROR(VLOOKUP(E383,Listas!$A$2:$C$1048576,3,FALSE),""))</f>
        <v/>
      </c>
    </row>
    <row r="384" spans="10:12" x14ac:dyDescent="0.25">
      <c r="J384" t="str">
        <f>IF(H384="","",IFERROR(VLOOKUP(H384,Listas!$J$2:$K$1048576,2,FALSE),""))</f>
        <v/>
      </c>
      <c r="K384" s="5" t="str">
        <f>IF(OR(I384="",G384=""),"",IF(G384="Saída",-I384,I384))</f>
        <v/>
      </c>
      <c r="L384" t="str">
        <f>IF(E384="","",IFERROR(VLOOKUP(E384,Listas!$A$2:$C$1048576,3,FALSE),""))</f>
        <v/>
      </c>
    </row>
    <row r="385" spans="10:12" x14ac:dyDescent="0.25">
      <c r="J385" t="str">
        <f>IF(H385="","",IFERROR(VLOOKUP(H385,Listas!$J$2:$K$1048576,2,FALSE),""))</f>
        <v/>
      </c>
      <c r="K385" s="5" t="str">
        <f>IF(OR(I385="",G385=""),"",IF(G385="Saída",-I385,I385))</f>
        <v/>
      </c>
      <c r="L385" t="str">
        <f>IF(E385="","",IFERROR(VLOOKUP(E385,Listas!$A$2:$C$1048576,3,FALSE),""))</f>
        <v/>
      </c>
    </row>
    <row r="386" spans="10:12" x14ac:dyDescent="0.25">
      <c r="J386" t="str">
        <f>IF(H386="","",IFERROR(VLOOKUP(H386,Listas!$J$2:$K$1048576,2,FALSE),""))</f>
        <v/>
      </c>
      <c r="K386" s="5" t="str">
        <f>IF(OR(I386="",G386=""),"",IF(G386="Saída",-I386,I386))</f>
        <v/>
      </c>
      <c r="L386" t="str">
        <f>IF(E386="","",IFERROR(VLOOKUP(E386,Listas!$A$2:$C$1048576,3,FALSE),""))</f>
        <v/>
      </c>
    </row>
    <row r="387" spans="10:12" x14ac:dyDescent="0.25">
      <c r="J387" t="str">
        <f>IF(H387="","",IFERROR(VLOOKUP(H387,Listas!$J$2:$K$1048576,2,FALSE),""))</f>
        <v/>
      </c>
      <c r="K387" s="5" t="str">
        <f>IF(OR(I387="",G387=""),"",IF(G387="Saída",-I387,I387))</f>
        <v/>
      </c>
      <c r="L387" t="str">
        <f>IF(E387="","",IFERROR(VLOOKUP(E387,Listas!$A$2:$C$1048576,3,FALSE),""))</f>
        <v/>
      </c>
    </row>
    <row r="388" spans="10:12" x14ac:dyDescent="0.25">
      <c r="J388" t="str">
        <f>IF(H388="","",IFERROR(VLOOKUP(H388,Listas!$J$2:$K$1048576,2,FALSE),""))</f>
        <v/>
      </c>
      <c r="K388" s="5" t="str">
        <f>IF(OR(I388="",G388=""),"",IF(G388="Saída",-I388,I388))</f>
        <v/>
      </c>
      <c r="L388" t="str">
        <f>IF(E388="","",IFERROR(VLOOKUP(E388,Listas!$A$2:$C$1048576,3,FALSE),""))</f>
        <v/>
      </c>
    </row>
    <row r="389" spans="10:12" x14ac:dyDescent="0.25">
      <c r="J389" t="str">
        <f>IF(H389="","",IFERROR(VLOOKUP(H389,Listas!$J$2:$K$1048576,2,FALSE),""))</f>
        <v/>
      </c>
      <c r="K389" s="5" t="str">
        <f>IF(OR(I389="",G389=""),"",IF(G389="Saída",-I389,I389))</f>
        <v/>
      </c>
      <c r="L389" t="str">
        <f>IF(E389="","",IFERROR(VLOOKUP(E389,Listas!$A$2:$C$1048576,3,FALSE),""))</f>
        <v/>
      </c>
    </row>
    <row r="390" spans="10:12" x14ac:dyDescent="0.25">
      <c r="J390" t="str">
        <f>IF(H390="","",IFERROR(VLOOKUP(H390,Listas!$J$2:$K$1048576,2,FALSE),""))</f>
        <v/>
      </c>
      <c r="K390" s="5" t="str">
        <f>IF(OR(I390="",G390=""),"",IF(G390="Saída",-I390,I390))</f>
        <v/>
      </c>
      <c r="L390" t="str">
        <f>IF(E390="","",IFERROR(VLOOKUP(E390,Listas!$A$2:$C$1048576,3,FALSE),""))</f>
        <v/>
      </c>
    </row>
    <row r="391" spans="10:12" x14ac:dyDescent="0.25">
      <c r="J391" t="str">
        <f>IF(H391="","",IFERROR(VLOOKUP(H391,Listas!$J$2:$K$1048576,2,FALSE),""))</f>
        <v/>
      </c>
      <c r="K391" s="5" t="str">
        <f>IF(OR(I391="",G391=""),"",IF(G391="Saída",-I391,I391))</f>
        <v/>
      </c>
      <c r="L391" t="str">
        <f>IF(E391="","",IFERROR(VLOOKUP(E391,Listas!$A$2:$C$1048576,3,FALSE),""))</f>
        <v/>
      </c>
    </row>
    <row r="392" spans="10:12" x14ac:dyDescent="0.25">
      <c r="J392" t="str">
        <f>IF(H392="","",IFERROR(VLOOKUP(H392,Listas!$J$2:$K$1048576,2,FALSE),""))</f>
        <v/>
      </c>
      <c r="K392" s="5" t="str">
        <f>IF(OR(I392="",G392=""),"",IF(G392="Saída",-I392,I392))</f>
        <v/>
      </c>
      <c r="L392" t="str">
        <f>IF(E392="","",IFERROR(VLOOKUP(E392,Listas!$A$2:$C$1048576,3,FALSE),""))</f>
        <v/>
      </c>
    </row>
    <row r="393" spans="10:12" x14ac:dyDescent="0.25">
      <c r="J393" t="str">
        <f>IF(H393="","",IFERROR(VLOOKUP(H393,Listas!$J$2:$K$1048576,2,FALSE),""))</f>
        <v/>
      </c>
      <c r="K393" s="5" t="str">
        <f>IF(OR(I393="",G393=""),"",IF(G393="Saída",-I393,I393))</f>
        <v/>
      </c>
      <c r="L393" t="str">
        <f>IF(E393="","",IFERROR(VLOOKUP(E393,Listas!$A$2:$C$1048576,3,FALSE),""))</f>
        <v/>
      </c>
    </row>
    <row r="394" spans="10:12" x14ac:dyDescent="0.25">
      <c r="J394" t="str">
        <f>IF(H394="","",IFERROR(VLOOKUP(H394,Listas!$J$2:$K$1048576,2,FALSE),""))</f>
        <v/>
      </c>
      <c r="K394" s="5" t="str">
        <f>IF(OR(I394="",G394=""),"",IF(G394="Saída",-I394,I394))</f>
        <v/>
      </c>
      <c r="L394" t="str">
        <f>IF(E394="","",IFERROR(VLOOKUP(E394,Listas!$A$2:$C$1048576,3,FALSE),""))</f>
        <v/>
      </c>
    </row>
    <row r="395" spans="10:12" x14ac:dyDescent="0.25">
      <c r="J395" t="str">
        <f>IF(H395="","",IFERROR(VLOOKUP(H395,Listas!$J$2:$K$1048576,2,FALSE),""))</f>
        <v/>
      </c>
      <c r="K395" s="5" t="str">
        <f>IF(OR(I395="",G395=""),"",IF(G395="Saída",-I395,I395))</f>
        <v/>
      </c>
      <c r="L395" t="str">
        <f>IF(E395="","",IFERROR(VLOOKUP(E395,Listas!$A$2:$C$1048576,3,FALSE),""))</f>
        <v/>
      </c>
    </row>
    <row r="396" spans="10:12" x14ac:dyDescent="0.25">
      <c r="J396" t="str">
        <f>IF(H396="","",IFERROR(VLOOKUP(H396,Listas!$J$2:$K$1048576,2,FALSE),""))</f>
        <v/>
      </c>
      <c r="K396" s="5" t="str">
        <f>IF(OR(I396="",G396=""),"",IF(G396="Saída",-I396,I396))</f>
        <v/>
      </c>
      <c r="L396" t="str">
        <f>IF(E396="","",IFERROR(VLOOKUP(E396,Listas!$A$2:$C$1048576,3,FALSE),""))</f>
        <v/>
      </c>
    </row>
    <row r="397" spans="10:12" x14ac:dyDescent="0.25">
      <c r="J397" t="str">
        <f>IF(H397="","",IFERROR(VLOOKUP(H397,Listas!$J$2:$K$1048576,2,FALSE),""))</f>
        <v/>
      </c>
      <c r="K397" s="5" t="str">
        <f>IF(OR(I397="",G397=""),"",IF(G397="Saída",-I397,I397))</f>
        <v/>
      </c>
      <c r="L397" t="str">
        <f>IF(E397="","",IFERROR(VLOOKUP(E397,Listas!$A$2:$C$1048576,3,FALSE),""))</f>
        <v/>
      </c>
    </row>
    <row r="398" spans="10:12" x14ac:dyDescent="0.25">
      <c r="J398" t="str">
        <f>IF(H398="","",IFERROR(VLOOKUP(H398,Listas!$J$2:$K$1048576,2,FALSE),""))</f>
        <v/>
      </c>
      <c r="K398" s="5" t="str">
        <f>IF(OR(I398="",G398=""),"",IF(G398="Saída",-I398,I398))</f>
        <v/>
      </c>
      <c r="L398" t="str">
        <f>IF(E398="","",IFERROR(VLOOKUP(E398,Listas!$A$2:$C$1048576,3,FALSE),""))</f>
        <v/>
      </c>
    </row>
    <row r="399" spans="10:12" x14ac:dyDescent="0.25">
      <c r="J399" t="str">
        <f>IF(H399="","",IFERROR(VLOOKUP(H399,Listas!$J$2:$K$1048576,2,FALSE),""))</f>
        <v/>
      </c>
      <c r="K399" s="5" t="str">
        <f>IF(OR(I399="",G399=""),"",IF(G399="Saída",-I399,I399))</f>
        <v/>
      </c>
      <c r="L399" t="str">
        <f>IF(E399="","",IFERROR(VLOOKUP(E399,Listas!$A$2:$C$1048576,3,FALSE),""))</f>
        <v/>
      </c>
    </row>
    <row r="400" spans="10:12" x14ac:dyDescent="0.25">
      <c r="J400" t="str">
        <f>IF(H400="","",IFERROR(VLOOKUP(H400,Listas!$J$2:$K$1048576,2,FALSE),""))</f>
        <v/>
      </c>
      <c r="K400" s="5" t="str">
        <f>IF(OR(I400="",G400=""),"",IF(G400="Saída",-I400,I400))</f>
        <v/>
      </c>
      <c r="L400" t="str">
        <f>IF(E400="","",IFERROR(VLOOKUP(E400,Listas!$A$2:$C$1048576,3,FALSE),""))</f>
        <v/>
      </c>
    </row>
    <row r="401" spans="10:12" x14ac:dyDescent="0.25">
      <c r="J401" t="str">
        <f>IF(H401="","",IFERROR(VLOOKUP(H401,Listas!$J$2:$K$1048576,2,FALSE),""))</f>
        <v/>
      </c>
      <c r="K401" s="5" t="str">
        <f>IF(OR(I401="",G401=""),"",IF(G401="Saída",-I401,I401))</f>
        <v/>
      </c>
      <c r="L401" t="str">
        <f>IF(E401="","",IFERROR(VLOOKUP(E401,Listas!$A$2:$C$1048576,3,FALSE),""))</f>
        <v/>
      </c>
    </row>
    <row r="402" spans="10:12" x14ac:dyDescent="0.25">
      <c r="J402" t="str">
        <f>IF(H402="","",IFERROR(VLOOKUP(H402,Listas!$J$2:$K$1048576,2,FALSE),""))</f>
        <v/>
      </c>
      <c r="K402" s="5" t="str">
        <f>IF(OR(I402="",G402=""),"",IF(G402="Saída",-I402,I402))</f>
        <v/>
      </c>
      <c r="L402" t="str">
        <f>IF(E402="","",IFERROR(VLOOKUP(E402,Listas!$A$2:$C$1048576,3,FALSE),""))</f>
        <v/>
      </c>
    </row>
    <row r="403" spans="10:12" x14ac:dyDescent="0.25">
      <c r="J403" t="str">
        <f>IF(H403="","",IFERROR(VLOOKUP(H403,Listas!$J$2:$K$1048576,2,FALSE),""))</f>
        <v/>
      </c>
      <c r="K403" s="5" t="str">
        <f>IF(OR(I403="",G403=""),"",IF(G403="Saída",-I403,I403))</f>
        <v/>
      </c>
      <c r="L403" t="str">
        <f>IF(E403="","",IFERROR(VLOOKUP(E403,Listas!$A$2:$C$1048576,3,FALSE),""))</f>
        <v/>
      </c>
    </row>
    <row r="404" spans="10:12" x14ac:dyDescent="0.25">
      <c r="J404" t="str">
        <f>IF(H404="","",IFERROR(VLOOKUP(H404,Listas!$J$2:$K$1048576,2,FALSE),""))</f>
        <v/>
      </c>
      <c r="K404" s="5" t="str">
        <f>IF(OR(I404="",G404=""),"",IF(G404="Saída",-I404,I404))</f>
        <v/>
      </c>
      <c r="L404" t="str">
        <f>IF(E404="","",IFERROR(VLOOKUP(E404,Listas!$A$2:$C$1048576,3,FALSE),""))</f>
        <v/>
      </c>
    </row>
    <row r="405" spans="10:12" x14ac:dyDescent="0.25">
      <c r="J405" t="str">
        <f>IF(H405="","",IFERROR(VLOOKUP(H405,Listas!$J$2:$K$1048576,2,FALSE),""))</f>
        <v/>
      </c>
      <c r="K405" s="5" t="str">
        <f>IF(OR(I405="",G405=""),"",IF(G405="Saída",-I405,I405))</f>
        <v/>
      </c>
      <c r="L405" t="str">
        <f>IF(E405="","",IFERROR(VLOOKUP(E405,Listas!$A$2:$C$1048576,3,FALSE),""))</f>
        <v/>
      </c>
    </row>
    <row r="406" spans="10:12" x14ac:dyDescent="0.25">
      <c r="J406" t="str">
        <f>IF(H406="","",IFERROR(VLOOKUP(H406,Listas!$J$2:$K$1048576,2,FALSE),""))</f>
        <v/>
      </c>
      <c r="K406" s="5" t="str">
        <f>IF(OR(I406="",G406=""),"",IF(G406="Saída",-I406,I406))</f>
        <v/>
      </c>
      <c r="L406" t="str">
        <f>IF(E406="","",IFERROR(VLOOKUP(E406,Listas!$A$2:$C$1048576,3,FALSE),""))</f>
        <v/>
      </c>
    </row>
    <row r="407" spans="10:12" x14ac:dyDescent="0.25">
      <c r="J407" t="str">
        <f>IF(H407="","",IFERROR(VLOOKUP(H407,Listas!$J$2:$K$1048576,2,FALSE),""))</f>
        <v/>
      </c>
      <c r="K407" s="5" t="str">
        <f>IF(OR(I407="",G407=""),"",IF(G407="Saída",-I407,I407))</f>
        <v/>
      </c>
      <c r="L407" t="str">
        <f>IF(E407="","",IFERROR(VLOOKUP(E407,Listas!$A$2:$C$1048576,3,FALSE),""))</f>
        <v/>
      </c>
    </row>
    <row r="408" spans="10:12" x14ac:dyDescent="0.25">
      <c r="J408" t="str">
        <f>IF(H408="","",IFERROR(VLOOKUP(H408,Listas!$J$2:$K$1048576,2,FALSE),""))</f>
        <v/>
      </c>
      <c r="K408" s="5" t="str">
        <f>IF(OR(I408="",G408=""),"",IF(G408="Saída",-I408,I408))</f>
        <v/>
      </c>
      <c r="L408" t="str">
        <f>IF(E408="","",IFERROR(VLOOKUP(E408,Listas!$A$2:$C$1048576,3,FALSE),""))</f>
        <v/>
      </c>
    </row>
    <row r="409" spans="10:12" x14ac:dyDescent="0.25">
      <c r="J409" t="str">
        <f>IF(H409="","",IFERROR(VLOOKUP(H409,Listas!$J$2:$K$1048576,2,FALSE),""))</f>
        <v/>
      </c>
      <c r="K409" s="5" t="str">
        <f>IF(OR(I409="",G409=""),"",IF(G409="Saída",-I409,I409))</f>
        <v/>
      </c>
      <c r="L409" t="str">
        <f>IF(E409="","",IFERROR(VLOOKUP(E409,Listas!$A$2:$C$1048576,3,FALSE),""))</f>
        <v/>
      </c>
    </row>
    <row r="410" spans="10:12" x14ac:dyDescent="0.25">
      <c r="J410" t="str">
        <f>IF(H410="","",IFERROR(VLOOKUP(H410,Listas!$J$2:$K$1048576,2,FALSE),""))</f>
        <v/>
      </c>
      <c r="K410" s="5" t="str">
        <f>IF(OR(I410="",G410=""),"",IF(G410="Saída",-I410,I410))</f>
        <v/>
      </c>
      <c r="L410" t="str">
        <f>IF(E410="","",IFERROR(VLOOKUP(E410,Listas!$A$2:$C$1048576,3,FALSE),""))</f>
        <v/>
      </c>
    </row>
    <row r="411" spans="10:12" x14ac:dyDescent="0.25">
      <c r="J411" t="str">
        <f>IF(H411="","",IFERROR(VLOOKUP(H411,Listas!$J$2:$K$1048576,2,FALSE),""))</f>
        <v/>
      </c>
      <c r="K411" s="5" t="str">
        <f>IF(OR(I411="",G411=""),"",IF(G411="Saída",-I411,I411))</f>
        <v/>
      </c>
      <c r="L411" t="str">
        <f>IF(E411="","",IFERROR(VLOOKUP(E411,Listas!$A$2:$C$1048576,3,FALSE),""))</f>
        <v/>
      </c>
    </row>
    <row r="412" spans="10:12" x14ac:dyDescent="0.25">
      <c r="J412" t="str">
        <f>IF(H412="","",IFERROR(VLOOKUP(H412,Listas!$J$2:$K$1048576,2,FALSE),""))</f>
        <v/>
      </c>
      <c r="K412" s="5" t="str">
        <f>IF(OR(I412="",G412=""),"",IF(G412="Saída",-I412,I412))</f>
        <v/>
      </c>
      <c r="L412" t="str">
        <f>IF(E412="","",IFERROR(VLOOKUP(E412,Listas!$A$2:$C$1048576,3,FALSE),""))</f>
        <v/>
      </c>
    </row>
    <row r="413" spans="10:12" x14ac:dyDescent="0.25">
      <c r="J413" t="str">
        <f>IF(H413="","",IFERROR(VLOOKUP(H413,Listas!$J$2:$K$1048576,2,FALSE),""))</f>
        <v/>
      </c>
      <c r="K413" s="5" t="str">
        <f>IF(OR(I413="",G413=""),"",IF(G413="Saída",-I413,I413))</f>
        <v/>
      </c>
      <c r="L413" t="str">
        <f>IF(E413="","",IFERROR(VLOOKUP(E413,Listas!$A$2:$C$1048576,3,FALSE),""))</f>
        <v/>
      </c>
    </row>
    <row r="414" spans="10:12" x14ac:dyDescent="0.25">
      <c r="J414" t="str">
        <f>IF(H414="","",IFERROR(VLOOKUP(H414,Listas!$J$2:$K$1048576,2,FALSE),""))</f>
        <v/>
      </c>
      <c r="K414" s="5" t="str">
        <f>IF(OR(I414="",G414=""),"",IF(G414="Saída",-I414,I414))</f>
        <v/>
      </c>
      <c r="L414" t="str">
        <f>IF(E414="","",IFERROR(VLOOKUP(E414,Listas!$A$2:$C$1048576,3,FALSE),""))</f>
        <v/>
      </c>
    </row>
    <row r="415" spans="10:12" x14ac:dyDescent="0.25">
      <c r="J415" t="str">
        <f>IF(H415="","",IFERROR(VLOOKUP(H415,Listas!$J$2:$K$1048576,2,FALSE),""))</f>
        <v/>
      </c>
      <c r="K415" s="5" t="str">
        <f>IF(OR(I415="",G415=""),"",IF(G415="Saída",-I415,I415))</f>
        <v/>
      </c>
      <c r="L415" t="str">
        <f>IF(E415="","",IFERROR(VLOOKUP(E415,Listas!$A$2:$C$1048576,3,FALSE),""))</f>
        <v/>
      </c>
    </row>
    <row r="416" spans="10:12" x14ac:dyDescent="0.25">
      <c r="J416" t="str">
        <f>IF(H416="","",IFERROR(VLOOKUP(H416,Listas!$J$2:$K$1048576,2,FALSE),""))</f>
        <v/>
      </c>
      <c r="K416" s="5" t="str">
        <f>IF(OR(I416="",G416=""),"",IF(G416="Saída",-I416,I416))</f>
        <v/>
      </c>
      <c r="L416" t="str">
        <f>IF(E416="","",IFERROR(VLOOKUP(E416,Listas!$A$2:$C$1048576,3,FALSE),""))</f>
        <v/>
      </c>
    </row>
    <row r="417" spans="10:12" x14ac:dyDescent="0.25">
      <c r="J417" t="str">
        <f>IF(H417="","",IFERROR(VLOOKUP(H417,Listas!$J$2:$K$1048576,2,FALSE),""))</f>
        <v/>
      </c>
      <c r="K417" s="5" t="str">
        <f>IF(OR(I417="",G417=""),"",IF(G417="Saída",-I417,I417))</f>
        <v/>
      </c>
      <c r="L417" t="str">
        <f>IF(E417="","",IFERROR(VLOOKUP(E417,Listas!$A$2:$C$1048576,3,FALSE),""))</f>
        <v/>
      </c>
    </row>
    <row r="418" spans="10:12" x14ac:dyDescent="0.25">
      <c r="J418" t="str">
        <f>IF(H418="","",IFERROR(VLOOKUP(H418,Listas!$J$2:$K$1048576,2,FALSE),""))</f>
        <v/>
      </c>
      <c r="K418" s="5" t="str">
        <f>IF(OR(I418="",G418=""),"",IF(G418="Saída",-I418,I418))</f>
        <v/>
      </c>
      <c r="L418" t="str">
        <f>IF(E418="","",IFERROR(VLOOKUP(E418,Listas!$A$2:$C$1048576,3,FALSE),""))</f>
        <v/>
      </c>
    </row>
    <row r="419" spans="10:12" x14ac:dyDescent="0.25">
      <c r="J419" t="str">
        <f>IF(H419="","",IFERROR(VLOOKUP(H419,Listas!$J$2:$K$1048576,2,FALSE),""))</f>
        <v/>
      </c>
      <c r="K419" s="5" t="str">
        <f>IF(OR(I419="",G419=""),"",IF(G419="Saída",-I419,I419))</f>
        <v/>
      </c>
      <c r="L419" t="str">
        <f>IF(E419="","",IFERROR(VLOOKUP(E419,Listas!$A$2:$C$1048576,3,FALSE),""))</f>
        <v/>
      </c>
    </row>
    <row r="420" spans="10:12" x14ac:dyDescent="0.25">
      <c r="J420" t="str">
        <f>IF(H420="","",IFERROR(VLOOKUP(H420,Listas!$J$2:$K$1048576,2,FALSE),""))</f>
        <v/>
      </c>
      <c r="K420" s="5" t="str">
        <f>IF(OR(I420="",G420=""),"",IF(G420="Saída",-I420,I420))</f>
        <v/>
      </c>
      <c r="L420" t="str">
        <f>IF(E420="","",IFERROR(VLOOKUP(E420,Listas!$A$2:$C$1048576,3,FALSE),""))</f>
        <v/>
      </c>
    </row>
    <row r="421" spans="10:12" x14ac:dyDescent="0.25">
      <c r="J421" t="str">
        <f>IF(H421="","",IFERROR(VLOOKUP(H421,Listas!$J$2:$K$1048576,2,FALSE),""))</f>
        <v/>
      </c>
      <c r="K421" s="5" t="str">
        <f>IF(OR(I421="",G421=""),"",IF(G421="Saída",-I421,I421))</f>
        <v/>
      </c>
      <c r="L421" t="str">
        <f>IF(E421="","",IFERROR(VLOOKUP(E421,Listas!$A$2:$C$1048576,3,FALSE),""))</f>
        <v/>
      </c>
    </row>
    <row r="422" spans="10:12" x14ac:dyDescent="0.25">
      <c r="J422" t="str">
        <f>IF(H422="","",IFERROR(VLOOKUP(H422,Listas!$J$2:$K$1048576,2,FALSE),""))</f>
        <v/>
      </c>
      <c r="K422" s="5" t="str">
        <f>IF(OR(I422="",G422=""),"",IF(G422="Saída",-I422,I422))</f>
        <v/>
      </c>
      <c r="L422" t="str">
        <f>IF(E422="","",IFERROR(VLOOKUP(E422,Listas!$A$2:$C$1048576,3,FALSE),""))</f>
        <v/>
      </c>
    </row>
    <row r="423" spans="10:12" x14ac:dyDescent="0.25">
      <c r="J423" t="str">
        <f>IF(H423="","",IFERROR(VLOOKUP(H423,Listas!$J$2:$K$1048576,2,FALSE),""))</f>
        <v/>
      </c>
      <c r="K423" s="5" t="str">
        <f>IF(OR(I423="",G423=""),"",IF(G423="Saída",-I423,I423))</f>
        <v/>
      </c>
      <c r="L423" t="str">
        <f>IF(E423="","",IFERROR(VLOOKUP(E423,Listas!$A$2:$C$1048576,3,FALSE),""))</f>
        <v/>
      </c>
    </row>
    <row r="424" spans="10:12" x14ac:dyDescent="0.25">
      <c r="J424" t="str">
        <f>IF(H424="","",IFERROR(VLOOKUP(H424,Listas!$J$2:$K$1048576,2,FALSE),""))</f>
        <v/>
      </c>
      <c r="K424" s="5" t="str">
        <f>IF(OR(I424="",G424=""),"",IF(G424="Saída",-I424,I424))</f>
        <v/>
      </c>
      <c r="L424" t="str">
        <f>IF(E424="","",IFERROR(VLOOKUP(E424,Listas!$A$2:$C$1048576,3,FALSE),""))</f>
        <v/>
      </c>
    </row>
    <row r="425" spans="10:12" x14ac:dyDescent="0.25">
      <c r="J425" t="str">
        <f>IF(H425="","",IFERROR(VLOOKUP(H425,Listas!$J$2:$K$1048576,2,FALSE),""))</f>
        <v/>
      </c>
      <c r="K425" s="5" t="str">
        <f>IF(OR(I425="",G425=""),"",IF(G425="Saída",-I425,I425))</f>
        <v/>
      </c>
      <c r="L425" t="str">
        <f>IF(E425="","",IFERROR(VLOOKUP(E425,Listas!$A$2:$C$1048576,3,FALSE),""))</f>
        <v/>
      </c>
    </row>
    <row r="426" spans="10:12" x14ac:dyDescent="0.25">
      <c r="J426" t="str">
        <f>IF(H426="","",IFERROR(VLOOKUP(H426,Listas!$J$2:$K$1048576,2,FALSE),""))</f>
        <v/>
      </c>
      <c r="K426" s="5" t="str">
        <f>IF(OR(I426="",G426=""),"",IF(G426="Saída",-I426,I426))</f>
        <v/>
      </c>
      <c r="L426" t="str">
        <f>IF(E426="","",IFERROR(VLOOKUP(E426,Listas!$A$2:$C$1048576,3,FALSE),""))</f>
        <v/>
      </c>
    </row>
    <row r="427" spans="10:12" x14ac:dyDescent="0.25">
      <c r="J427" t="str">
        <f>IF(H427="","",IFERROR(VLOOKUP(H427,Listas!$J$2:$K$1048576,2,FALSE),""))</f>
        <v/>
      </c>
      <c r="K427" s="5" t="str">
        <f>IF(OR(I427="",G427=""),"",IF(G427="Saída",-I427,I427))</f>
        <v/>
      </c>
      <c r="L427" t="str">
        <f>IF(E427="","",IFERROR(VLOOKUP(E427,Listas!$A$2:$C$1048576,3,FALSE),""))</f>
        <v/>
      </c>
    </row>
    <row r="428" spans="10:12" x14ac:dyDescent="0.25">
      <c r="J428" t="str">
        <f>IF(H428="","",IFERROR(VLOOKUP(H428,Listas!$J$2:$K$1048576,2,FALSE),""))</f>
        <v/>
      </c>
      <c r="K428" s="5" t="str">
        <f>IF(OR(I428="",G428=""),"",IF(G428="Saída",-I428,I428))</f>
        <v/>
      </c>
      <c r="L428" t="str">
        <f>IF(E428="","",IFERROR(VLOOKUP(E428,Listas!$A$2:$C$1048576,3,FALSE),""))</f>
        <v/>
      </c>
    </row>
    <row r="429" spans="10:12" x14ac:dyDescent="0.25">
      <c r="J429" t="str">
        <f>IF(H429="","",IFERROR(VLOOKUP(H429,Listas!$J$2:$K$1048576,2,FALSE),""))</f>
        <v/>
      </c>
      <c r="K429" s="5" t="str">
        <f>IF(OR(I429="",G429=""),"",IF(G429="Saída",-I429,I429))</f>
        <v/>
      </c>
      <c r="L429" t="str">
        <f>IF(E429="","",IFERROR(VLOOKUP(E429,Listas!$A$2:$C$1048576,3,FALSE),""))</f>
        <v/>
      </c>
    </row>
    <row r="430" spans="10:12" x14ac:dyDescent="0.25">
      <c r="J430" t="str">
        <f>IF(H430="","",IFERROR(VLOOKUP(H430,Listas!$J$2:$K$1048576,2,FALSE),""))</f>
        <v/>
      </c>
      <c r="K430" s="5" t="str">
        <f>IF(OR(I430="",G430=""),"",IF(G430="Saída",-I430,I430))</f>
        <v/>
      </c>
      <c r="L430" t="str">
        <f>IF(E430="","",IFERROR(VLOOKUP(E430,Listas!$A$2:$C$1048576,3,FALSE),""))</f>
        <v/>
      </c>
    </row>
    <row r="431" spans="10:12" x14ac:dyDescent="0.25">
      <c r="J431" t="str">
        <f>IF(H431="","",IFERROR(VLOOKUP(H431,Listas!$J$2:$K$1048576,2,FALSE),""))</f>
        <v/>
      </c>
      <c r="K431" s="5" t="str">
        <f>IF(OR(I431="",G431=""),"",IF(G431="Saída",-I431,I431))</f>
        <v/>
      </c>
      <c r="L431" t="str">
        <f>IF(E431="","",IFERROR(VLOOKUP(E431,Listas!$A$2:$C$1048576,3,FALSE),""))</f>
        <v/>
      </c>
    </row>
    <row r="432" spans="10:12" x14ac:dyDescent="0.25">
      <c r="J432" t="str">
        <f>IF(H432="","",IFERROR(VLOOKUP(H432,Listas!$J$2:$K$1048576,2,FALSE),""))</f>
        <v/>
      </c>
      <c r="K432" s="5" t="str">
        <f>IF(OR(I432="",G432=""),"",IF(G432="Saída",-I432,I432))</f>
        <v/>
      </c>
      <c r="L432" t="str">
        <f>IF(E432="","",IFERROR(VLOOKUP(E432,Listas!$A$2:$C$1048576,3,FALSE),""))</f>
        <v/>
      </c>
    </row>
    <row r="433" spans="10:12" x14ac:dyDescent="0.25">
      <c r="J433" t="str">
        <f>IF(H433="","",IFERROR(VLOOKUP(H433,Listas!$J$2:$K$1048576,2,FALSE),""))</f>
        <v/>
      </c>
      <c r="K433" s="5" t="str">
        <f>IF(OR(I433="",G433=""),"",IF(G433="Saída",-I433,I433))</f>
        <v/>
      </c>
      <c r="L433" t="str">
        <f>IF(E433="","",IFERROR(VLOOKUP(E433,Listas!$A$2:$C$1048576,3,FALSE),""))</f>
        <v/>
      </c>
    </row>
    <row r="434" spans="10:12" x14ac:dyDescent="0.25">
      <c r="J434" t="str">
        <f>IF(H434="","",IFERROR(VLOOKUP(H434,Listas!$J$2:$K$1048576,2,FALSE),""))</f>
        <v/>
      </c>
      <c r="K434" s="5" t="str">
        <f>IF(OR(I434="",G434=""),"",IF(G434="Saída",-I434,I434))</f>
        <v/>
      </c>
      <c r="L434" t="str">
        <f>IF(E434="","",IFERROR(VLOOKUP(E434,Listas!$A$2:$C$1048576,3,FALSE),""))</f>
        <v/>
      </c>
    </row>
    <row r="435" spans="10:12" x14ac:dyDescent="0.25">
      <c r="J435" t="str">
        <f>IF(H435="","",IFERROR(VLOOKUP(H435,Listas!$J$2:$K$1048576,2,FALSE),""))</f>
        <v/>
      </c>
      <c r="K435" s="5" t="str">
        <f>IF(OR(I435="",G435=""),"",IF(G435="Saída",-I435,I435))</f>
        <v/>
      </c>
      <c r="L435" t="str">
        <f>IF(E435="","",IFERROR(VLOOKUP(E435,Listas!$A$2:$C$1048576,3,FALSE),""))</f>
        <v/>
      </c>
    </row>
    <row r="436" spans="10:12" x14ac:dyDescent="0.25">
      <c r="J436" t="str">
        <f>IF(H436="","",IFERROR(VLOOKUP(H436,Listas!$J$2:$K$1048576,2,FALSE),""))</f>
        <v/>
      </c>
      <c r="K436" s="5" t="str">
        <f>IF(OR(I436="",G436=""),"",IF(G436="Saída",-I436,I436))</f>
        <v/>
      </c>
      <c r="L436" t="str">
        <f>IF(E436="","",IFERROR(VLOOKUP(E436,Listas!$A$2:$C$1048576,3,FALSE),""))</f>
        <v/>
      </c>
    </row>
    <row r="437" spans="10:12" x14ac:dyDescent="0.25">
      <c r="J437" t="str">
        <f>IF(H437="","",IFERROR(VLOOKUP(H437,Listas!$J$2:$K$1048576,2,FALSE),""))</f>
        <v/>
      </c>
      <c r="K437" s="5" t="str">
        <f>IF(OR(I437="",G437=""),"",IF(G437="Saída",-I437,I437))</f>
        <v/>
      </c>
      <c r="L437" t="str">
        <f>IF(E437="","",IFERROR(VLOOKUP(E437,Listas!$A$2:$C$1048576,3,FALSE),""))</f>
        <v/>
      </c>
    </row>
    <row r="438" spans="10:12" x14ac:dyDescent="0.25">
      <c r="J438" t="str">
        <f>IF(H438="","",IFERROR(VLOOKUP(H438,Listas!$J$2:$K$1048576,2,FALSE),""))</f>
        <v/>
      </c>
      <c r="K438" s="5" t="str">
        <f>IF(OR(I438="",G438=""),"",IF(G438="Saída",-I438,I438))</f>
        <v/>
      </c>
      <c r="L438" t="str">
        <f>IF(E438="","",IFERROR(VLOOKUP(E438,Listas!$A$2:$C$1048576,3,FALSE),""))</f>
        <v/>
      </c>
    </row>
    <row r="439" spans="10:12" x14ac:dyDescent="0.25">
      <c r="J439" t="str">
        <f>IF(H439="","",IFERROR(VLOOKUP(H439,Listas!$J$2:$K$1048576,2,FALSE),""))</f>
        <v/>
      </c>
      <c r="K439" s="5" t="str">
        <f>IF(OR(I439="",G439=""),"",IF(G439="Saída",-I439,I439))</f>
        <v/>
      </c>
      <c r="L439" t="str">
        <f>IF(E439="","",IFERROR(VLOOKUP(E439,Listas!$A$2:$C$1048576,3,FALSE),""))</f>
        <v/>
      </c>
    </row>
    <row r="440" spans="10:12" x14ac:dyDescent="0.25">
      <c r="J440" t="str">
        <f>IF(H440="","",IFERROR(VLOOKUP(H440,Listas!$J$2:$K$1048576,2,FALSE),""))</f>
        <v/>
      </c>
      <c r="K440" s="5" t="str">
        <f>IF(OR(I440="",G440=""),"",IF(G440="Saída",-I440,I440))</f>
        <v/>
      </c>
      <c r="L440" t="str">
        <f>IF(E440="","",IFERROR(VLOOKUP(E440,Listas!$A$2:$C$1048576,3,FALSE),""))</f>
        <v/>
      </c>
    </row>
    <row r="441" spans="10:12" x14ac:dyDescent="0.25">
      <c r="J441" t="str">
        <f>IF(H441="","",IFERROR(VLOOKUP(H441,Listas!$J$2:$K$1048576,2,FALSE),""))</f>
        <v/>
      </c>
      <c r="K441" s="5" t="str">
        <f>IF(OR(I441="",G441=""),"",IF(G441="Saída",-I441,I441))</f>
        <v/>
      </c>
      <c r="L441" t="str">
        <f>IF(E441="","",IFERROR(VLOOKUP(E441,Listas!$A$2:$C$1048576,3,FALSE),""))</f>
        <v/>
      </c>
    </row>
    <row r="442" spans="10:12" x14ac:dyDescent="0.25">
      <c r="J442" t="str">
        <f>IF(H442="","",IFERROR(VLOOKUP(H442,Listas!$J$2:$K$1048576,2,FALSE),""))</f>
        <v/>
      </c>
      <c r="K442" s="5" t="str">
        <f>IF(OR(I442="",G442=""),"",IF(G442="Saída",-I442,I442))</f>
        <v/>
      </c>
      <c r="L442" t="str">
        <f>IF(E442="","",IFERROR(VLOOKUP(E442,Listas!$A$2:$C$1048576,3,FALSE),""))</f>
        <v/>
      </c>
    </row>
    <row r="443" spans="10:12" x14ac:dyDescent="0.25">
      <c r="J443" t="str">
        <f>IF(H443="","",IFERROR(VLOOKUP(H443,Listas!$J$2:$K$1048576,2,FALSE),""))</f>
        <v/>
      </c>
      <c r="K443" s="5" t="str">
        <f>IF(OR(I443="",G443=""),"",IF(G443="Saída",-I443,I443))</f>
        <v/>
      </c>
      <c r="L443" t="str">
        <f>IF(E443="","",IFERROR(VLOOKUP(E443,Listas!$A$2:$C$1048576,3,FALSE),""))</f>
        <v/>
      </c>
    </row>
    <row r="444" spans="10:12" x14ac:dyDescent="0.25">
      <c r="J444" t="str">
        <f>IF(H444="","",IFERROR(VLOOKUP(H444,Listas!$J$2:$K$1048576,2,FALSE),""))</f>
        <v/>
      </c>
      <c r="K444" s="5" t="str">
        <f>IF(OR(I444="",G444=""),"",IF(G444="Saída",-I444,I444))</f>
        <v/>
      </c>
      <c r="L444" t="str">
        <f>IF(E444="","",IFERROR(VLOOKUP(E444,Listas!$A$2:$C$1048576,3,FALSE),""))</f>
        <v/>
      </c>
    </row>
    <row r="445" spans="10:12" x14ac:dyDescent="0.25">
      <c r="J445" t="str">
        <f>IF(H445="","",IFERROR(VLOOKUP(H445,Listas!$J$2:$K$1048576,2,FALSE),""))</f>
        <v/>
      </c>
      <c r="K445" s="5" t="str">
        <f>IF(OR(I445="",G445=""),"",IF(G445="Saída",-I445,I445))</f>
        <v/>
      </c>
      <c r="L445" t="str">
        <f>IF(E445="","",IFERROR(VLOOKUP(E445,Listas!$A$2:$C$1048576,3,FALSE),""))</f>
        <v/>
      </c>
    </row>
    <row r="446" spans="10:12" x14ac:dyDescent="0.25">
      <c r="J446" t="str">
        <f>IF(H446="","",IFERROR(VLOOKUP(H446,Listas!$J$2:$K$1048576,2,FALSE),""))</f>
        <v/>
      </c>
      <c r="K446" s="5" t="str">
        <f>IF(OR(I446="",G446=""),"",IF(G446="Saída",-I446,I446))</f>
        <v/>
      </c>
      <c r="L446" t="str">
        <f>IF(E446="","",IFERROR(VLOOKUP(E446,Listas!$A$2:$C$1048576,3,FALSE),""))</f>
        <v/>
      </c>
    </row>
    <row r="447" spans="10:12" x14ac:dyDescent="0.25">
      <c r="J447" t="str">
        <f>IF(H447="","",IFERROR(VLOOKUP(H447,Listas!$J$2:$K$1048576,2,FALSE),""))</f>
        <v/>
      </c>
      <c r="K447" s="5" t="str">
        <f>IF(OR(I447="",G447=""),"",IF(G447="Saída",-I447,I447))</f>
        <v/>
      </c>
      <c r="L447" t="str">
        <f>IF(E447="","",IFERROR(VLOOKUP(E447,Listas!$A$2:$C$1048576,3,FALSE),""))</f>
        <v/>
      </c>
    </row>
    <row r="448" spans="10:12" x14ac:dyDescent="0.25">
      <c r="J448" t="str">
        <f>IF(H448="","",IFERROR(VLOOKUP(H448,Listas!$J$2:$K$1048576,2,FALSE),""))</f>
        <v/>
      </c>
      <c r="K448" s="5" t="str">
        <f>IF(OR(I448="",G448=""),"",IF(G448="Saída",-I448,I448))</f>
        <v/>
      </c>
      <c r="L448" t="str">
        <f>IF(E448="","",IFERROR(VLOOKUP(E448,Listas!$A$2:$C$1048576,3,FALSE),""))</f>
        <v/>
      </c>
    </row>
    <row r="449" spans="10:12" x14ac:dyDescent="0.25">
      <c r="J449" t="str">
        <f>IF(H449="","",IFERROR(VLOOKUP(H449,Listas!$J$2:$K$1048576,2,FALSE),""))</f>
        <v/>
      </c>
      <c r="K449" s="5" t="str">
        <f>IF(OR(I449="",G449=""),"",IF(G449="Saída",-I449,I449))</f>
        <v/>
      </c>
      <c r="L449" t="str">
        <f>IF(E449="","",IFERROR(VLOOKUP(E449,Listas!$A$2:$C$1048576,3,FALSE),""))</f>
        <v/>
      </c>
    </row>
    <row r="450" spans="10:12" x14ac:dyDescent="0.25">
      <c r="J450" t="str">
        <f>IF(H450="","",IFERROR(VLOOKUP(H450,Listas!$J$2:$K$1048576,2,FALSE),""))</f>
        <v/>
      </c>
      <c r="K450" s="5" t="str">
        <f>IF(OR(I450="",G450=""),"",IF(G450="Saída",-I450,I450))</f>
        <v/>
      </c>
      <c r="L450" t="str">
        <f>IF(E450="","",IFERROR(VLOOKUP(E450,Listas!$A$2:$C$1048576,3,FALSE),""))</f>
        <v/>
      </c>
    </row>
    <row r="451" spans="10:12" x14ac:dyDescent="0.25">
      <c r="J451" t="str">
        <f>IF(H451="","",IFERROR(VLOOKUP(H451,Listas!$J$2:$K$1048576,2,FALSE),""))</f>
        <v/>
      </c>
      <c r="K451" s="5" t="str">
        <f>IF(OR(I451="",G451=""),"",IF(G451="Saída",-I451,I451))</f>
        <v/>
      </c>
      <c r="L451" t="str">
        <f>IF(E451="","",IFERROR(VLOOKUP(E451,Listas!$A$2:$C$1048576,3,FALSE),""))</f>
        <v/>
      </c>
    </row>
    <row r="452" spans="10:12" x14ac:dyDescent="0.25">
      <c r="J452" t="str">
        <f>IF(H452="","",IFERROR(VLOOKUP(H452,Listas!$J$2:$K$1048576,2,FALSE),""))</f>
        <v/>
      </c>
      <c r="K452" s="5" t="str">
        <f>IF(OR(I452="",G452=""),"",IF(G452="Saída",-I452,I452))</f>
        <v/>
      </c>
      <c r="L452" t="str">
        <f>IF(E452="","",IFERROR(VLOOKUP(E452,Listas!$A$2:$C$1048576,3,FALSE),""))</f>
        <v/>
      </c>
    </row>
    <row r="453" spans="10:12" x14ac:dyDescent="0.25">
      <c r="J453" t="str">
        <f>IF(H453="","",IFERROR(VLOOKUP(H453,Listas!$J$2:$K$1048576,2,FALSE),""))</f>
        <v/>
      </c>
      <c r="K453" s="5" t="str">
        <f>IF(OR(I453="",G453=""),"",IF(G453="Saída",-I453,I453))</f>
        <v/>
      </c>
      <c r="L453" t="str">
        <f>IF(E453="","",IFERROR(VLOOKUP(E453,Listas!$A$2:$C$1048576,3,FALSE),""))</f>
        <v/>
      </c>
    </row>
    <row r="454" spans="10:12" x14ac:dyDescent="0.25">
      <c r="J454" t="str">
        <f>IF(H454="","",IFERROR(VLOOKUP(H454,Listas!$J$2:$K$1048576,2,FALSE),""))</f>
        <v/>
      </c>
      <c r="K454" s="5" t="str">
        <f>IF(OR(I454="",G454=""),"",IF(G454="Saída",-I454,I454))</f>
        <v/>
      </c>
      <c r="L454" t="str">
        <f>IF(E454="","",IFERROR(VLOOKUP(E454,Listas!$A$2:$C$1048576,3,FALSE),""))</f>
        <v/>
      </c>
    </row>
    <row r="455" spans="10:12" x14ac:dyDescent="0.25">
      <c r="J455" t="str">
        <f>IF(H455="","",IFERROR(VLOOKUP(H455,Listas!$J$2:$K$1048576,2,FALSE),""))</f>
        <v/>
      </c>
      <c r="K455" s="5" t="str">
        <f>IF(OR(I455="",G455=""),"",IF(G455="Saída",-I455,I455))</f>
        <v/>
      </c>
      <c r="L455" t="str">
        <f>IF(E455="","",IFERROR(VLOOKUP(E455,Listas!$A$2:$C$1048576,3,FALSE),""))</f>
        <v/>
      </c>
    </row>
    <row r="456" spans="10:12" x14ac:dyDescent="0.25">
      <c r="J456" t="str">
        <f>IF(H456="","",IFERROR(VLOOKUP(H456,Listas!$J$2:$K$1048576,2,FALSE),""))</f>
        <v/>
      </c>
      <c r="K456" s="5" t="str">
        <f>IF(OR(I456="",G456=""),"",IF(G456="Saída",-I456,I456))</f>
        <v/>
      </c>
      <c r="L456" t="str">
        <f>IF(E456="","",IFERROR(VLOOKUP(E456,Listas!$A$2:$C$1048576,3,FALSE),""))</f>
        <v/>
      </c>
    </row>
    <row r="457" spans="10:12" x14ac:dyDescent="0.25">
      <c r="J457" t="str">
        <f>IF(H457="","",IFERROR(VLOOKUP(H457,Listas!$J$2:$K$1048576,2,FALSE),""))</f>
        <v/>
      </c>
      <c r="K457" s="5" t="str">
        <f>IF(OR(I457="",G457=""),"",IF(G457="Saída",-I457,I457))</f>
        <v/>
      </c>
      <c r="L457" t="str">
        <f>IF(E457="","",IFERROR(VLOOKUP(E457,Listas!$A$2:$C$1048576,3,FALSE),""))</f>
        <v/>
      </c>
    </row>
    <row r="458" spans="10:12" x14ac:dyDescent="0.25">
      <c r="J458" t="str">
        <f>IF(H458="","",IFERROR(VLOOKUP(H458,Listas!$J$2:$K$1048576,2,FALSE),""))</f>
        <v/>
      </c>
      <c r="K458" s="5" t="str">
        <f>IF(OR(I458="",G458=""),"",IF(G458="Saída",-I458,I458))</f>
        <v/>
      </c>
      <c r="L458" t="str">
        <f>IF(E458="","",IFERROR(VLOOKUP(E458,Listas!$A$2:$C$1048576,3,FALSE),""))</f>
        <v/>
      </c>
    </row>
    <row r="459" spans="10:12" x14ac:dyDescent="0.25">
      <c r="J459" t="str">
        <f>IF(H459="","",IFERROR(VLOOKUP(H459,Listas!$J$2:$K$1048576,2,FALSE),""))</f>
        <v/>
      </c>
      <c r="K459" s="5" t="str">
        <f>IF(OR(I459="",G459=""),"",IF(G459="Saída",-I459,I459))</f>
        <v/>
      </c>
      <c r="L459" t="str">
        <f>IF(E459="","",IFERROR(VLOOKUP(E459,Listas!$A$2:$C$1048576,3,FALSE),""))</f>
        <v/>
      </c>
    </row>
    <row r="460" spans="10:12" x14ac:dyDescent="0.25">
      <c r="J460" t="str">
        <f>IF(H460="","",IFERROR(VLOOKUP(H460,Listas!$J$2:$K$1048576,2,FALSE),""))</f>
        <v/>
      </c>
      <c r="K460" s="5" t="str">
        <f>IF(OR(I460="",G460=""),"",IF(G460="Saída",-I460,I460))</f>
        <v/>
      </c>
      <c r="L460" t="str">
        <f>IF(E460="","",IFERROR(VLOOKUP(E460,Listas!$A$2:$C$1048576,3,FALSE),""))</f>
        <v/>
      </c>
    </row>
    <row r="461" spans="10:12" x14ac:dyDescent="0.25">
      <c r="J461" t="str">
        <f>IF(H461="","",IFERROR(VLOOKUP(H461,Listas!$J$2:$K$1048576,2,FALSE),""))</f>
        <v/>
      </c>
      <c r="K461" s="5" t="str">
        <f>IF(OR(I461="",G461=""),"",IF(G461="Saída",-I461,I461))</f>
        <v/>
      </c>
      <c r="L461" t="str">
        <f>IF(E461="","",IFERROR(VLOOKUP(E461,Listas!$A$2:$C$1048576,3,FALSE),""))</f>
        <v/>
      </c>
    </row>
    <row r="462" spans="10:12" x14ac:dyDescent="0.25">
      <c r="J462" t="str">
        <f>IF(H462="","",IFERROR(VLOOKUP(H462,Listas!$J$2:$K$1048576,2,FALSE),""))</f>
        <v/>
      </c>
      <c r="K462" s="5" t="str">
        <f>IF(OR(I462="",G462=""),"",IF(G462="Saída",-I462,I462))</f>
        <v/>
      </c>
      <c r="L462" t="str">
        <f>IF(E462="","",IFERROR(VLOOKUP(E462,Listas!$A$2:$C$1048576,3,FALSE),""))</f>
        <v/>
      </c>
    </row>
    <row r="463" spans="10:12" x14ac:dyDescent="0.25">
      <c r="J463" t="str">
        <f>IF(H463="","",IFERROR(VLOOKUP(H463,Listas!$J$2:$K$1048576,2,FALSE),""))</f>
        <v/>
      </c>
      <c r="K463" s="5" t="str">
        <f>IF(OR(I463="",G463=""),"",IF(G463="Saída",-I463,I463))</f>
        <v/>
      </c>
      <c r="L463" t="str">
        <f>IF(E463="","",IFERROR(VLOOKUP(E463,Listas!$A$2:$C$1048576,3,FALSE),""))</f>
        <v/>
      </c>
    </row>
    <row r="464" spans="10:12" x14ac:dyDescent="0.25">
      <c r="J464" t="str">
        <f>IF(H464="","",IFERROR(VLOOKUP(H464,Listas!$J$2:$K$1048576,2,FALSE),""))</f>
        <v/>
      </c>
      <c r="K464" s="5" t="str">
        <f>IF(OR(I464="",G464=""),"",IF(G464="Saída",-I464,I464))</f>
        <v/>
      </c>
      <c r="L464" t="str">
        <f>IF(E464="","",IFERROR(VLOOKUP(E464,Listas!$A$2:$C$1048576,3,FALSE),""))</f>
        <v/>
      </c>
    </row>
    <row r="465" spans="10:12" x14ac:dyDescent="0.25">
      <c r="J465" t="str">
        <f>IF(H465="","",IFERROR(VLOOKUP(H465,Listas!$J$2:$K$1048576,2,FALSE),""))</f>
        <v/>
      </c>
      <c r="K465" s="5" t="str">
        <f>IF(OR(I465="",G465=""),"",IF(G465="Saída",-I465,I465))</f>
        <v/>
      </c>
      <c r="L465" t="str">
        <f>IF(E465="","",IFERROR(VLOOKUP(E465,Listas!$A$2:$C$1048576,3,FALSE),""))</f>
        <v/>
      </c>
    </row>
    <row r="466" spans="10:12" x14ac:dyDescent="0.25">
      <c r="J466" t="str">
        <f>IF(H466="","",IFERROR(VLOOKUP(H466,Listas!$J$2:$K$1048576,2,FALSE),""))</f>
        <v/>
      </c>
      <c r="K466" s="5" t="str">
        <f>IF(OR(I466="",G466=""),"",IF(G466="Saída",-I466,I466))</f>
        <v/>
      </c>
      <c r="L466" t="str">
        <f>IF(E466="","",IFERROR(VLOOKUP(E466,Listas!$A$2:$C$1048576,3,FALSE),""))</f>
        <v/>
      </c>
    </row>
    <row r="467" spans="10:12" x14ac:dyDescent="0.25">
      <c r="J467" t="str">
        <f>IF(H467="","",IFERROR(VLOOKUP(H467,Listas!$J$2:$K$1048576,2,FALSE),""))</f>
        <v/>
      </c>
      <c r="K467" s="5" t="str">
        <f>IF(OR(I467="",G467=""),"",IF(G467="Saída",-I467,I467))</f>
        <v/>
      </c>
      <c r="L467" t="str">
        <f>IF(E467="","",IFERROR(VLOOKUP(E467,Listas!$A$2:$C$1048576,3,FALSE),""))</f>
        <v/>
      </c>
    </row>
    <row r="468" spans="10:12" x14ac:dyDescent="0.25">
      <c r="J468" t="str">
        <f>IF(H468="","",IFERROR(VLOOKUP(H468,Listas!$J$2:$K$1048576,2,FALSE),""))</f>
        <v/>
      </c>
      <c r="K468" s="5" t="str">
        <f>IF(OR(I468="",G468=""),"",IF(G468="Saída",-I468,I468))</f>
        <v/>
      </c>
      <c r="L468" t="str">
        <f>IF(E468="","",IFERROR(VLOOKUP(E468,Listas!$A$2:$C$1048576,3,FALSE),""))</f>
        <v/>
      </c>
    </row>
    <row r="469" spans="10:12" x14ac:dyDescent="0.25">
      <c r="J469" t="str">
        <f>IF(H469="","",IFERROR(VLOOKUP(H469,Listas!$J$2:$K$1048576,2,FALSE),""))</f>
        <v/>
      </c>
      <c r="K469" s="5" t="str">
        <f>IF(OR(I469="",G469=""),"",IF(G469="Saída",-I469,I469))</f>
        <v/>
      </c>
      <c r="L469" t="str">
        <f>IF(E469="","",IFERROR(VLOOKUP(E469,Listas!$A$2:$C$1048576,3,FALSE),""))</f>
        <v/>
      </c>
    </row>
    <row r="470" spans="10:12" x14ac:dyDescent="0.25">
      <c r="J470" t="str">
        <f>IF(H470="","",IFERROR(VLOOKUP(H470,Listas!$J$2:$K$1048576,2,FALSE),""))</f>
        <v/>
      </c>
      <c r="K470" s="5" t="str">
        <f>IF(OR(I470="",G470=""),"",IF(G470="Saída",-I470,I470))</f>
        <v/>
      </c>
      <c r="L470" t="str">
        <f>IF(E470="","",IFERROR(VLOOKUP(E470,Listas!$A$2:$C$1048576,3,FALSE),""))</f>
        <v/>
      </c>
    </row>
    <row r="471" spans="10:12" x14ac:dyDescent="0.25">
      <c r="J471" t="str">
        <f>IF(H471="","",IFERROR(VLOOKUP(H471,Listas!$J$2:$K$1048576,2,FALSE),""))</f>
        <v/>
      </c>
      <c r="K471" s="5" t="str">
        <f>IF(OR(I471="",G471=""),"",IF(G471="Saída",-I471,I471))</f>
        <v/>
      </c>
      <c r="L471" t="str">
        <f>IF(E471="","",IFERROR(VLOOKUP(E471,Listas!$A$2:$C$1048576,3,FALSE),""))</f>
        <v/>
      </c>
    </row>
    <row r="472" spans="10:12" x14ac:dyDescent="0.25">
      <c r="J472" t="str">
        <f>IF(H472="","",IFERROR(VLOOKUP(H472,Listas!$J$2:$K$1048576,2,FALSE),""))</f>
        <v/>
      </c>
      <c r="K472" s="5" t="str">
        <f>IF(OR(I472="",G472=""),"",IF(G472="Saída",-I472,I472))</f>
        <v/>
      </c>
      <c r="L472" t="str">
        <f>IF(E472="","",IFERROR(VLOOKUP(E472,Listas!$A$2:$C$1048576,3,FALSE),""))</f>
        <v/>
      </c>
    </row>
    <row r="473" spans="10:12" x14ac:dyDescent="0.25">
      <c r="J473" t="str">
        <f>IF(H473="","",IFERROR(VLOOKUP(H473,Listas!$J$2:$K$1048576,2,FALSE),""))</f>
        <v/>
      </c>
      <c r="K473" s="5" t="str">
        <f>IF(OR(I473="",G473=""),"",IF(G473="Saída",-I473,I473))</f>
        <v/>
      </c>
      <c r="L473" t="str">
        <f>IF(E473="","",IFERROR(VLOOKUP(E473,Listas!$A$2:$C$1048576,3,FALSE),""))</f>
        <v/>
      </c>
    </row>
    <row r="474" spans="10:12" x14ac:dyDescent="0.25">
      <c r="J474" t="str">
        <f>IF(H474="","",IFERROR(VLOOKUP(H474,Listas!$J$2:$K$1048576,2,FALSE),""))</f>
        <v/>
      </c>
      <c r="K474" s="5" t="str">
        <f>IF(OR(I474="",G474=""),"",IF(G474="Saída",-I474,I474))</f>
        <v/>
      </c>
      <c r="L474" t="str">
        <f>IF(E474="","",IFERROR(VLOOKUP(E474,Listas!$A$2:$C$1048576,3,FALSE),""))</f>
        <v/>
      </c>
    </row>
    <row r="475" spans="10:12" x14ac:dyDescent="0.25">
      <c r="J475" t="str">
        <f>IF(H475="","",IFERROR(VLOOKUP(H475,Listas!$J$2:$K$1048576,2,FALSE),""))</f>
        <v/>
      </c>
      <c r="K475" s="5" t="str">
        <f>IF(OR(I475="",G475=""),"",IF(G475="Saída",-I475,I475))</f>
        <v/>
      </c>
      <c r="L475" t="str">
        <f>IF(E475="","",IFERROR(VLOOKUP(E475,Listas!$A$2:$C$1048576,3,FALSE),""))</f>
        <v/>
      </c>
    </row>
    <row r="476" spans="10:12" x14ac:dyDescent="0.25">
      <c r="J476" t="str">
        <f>IF(H476="","",IFERROR(VLOOKUP(H476,Listas!$J$2:$K$1048576,2,FALSE),""))</f>
        <v/>
      </c>
      <c r="K476" s="5" t="str">
        <f>IF(OR(I476="",G476=""),"",IF(G476="Saída",-I476,I476))</f>
        <v/>
      </c>
      <c r="L476" t="str">
        <f>IF(E476="","",IFERROR(VLOOKUP(E476,Listas!$A$2:$C$1048576,3,FALSE),""))</f>
        <v/>
      </c>
    </row>
    <row r="477" spans="10:12" x14ac:dyDescent="0.25">
      <c r="J477" t="str">
        <f>IF(H477="","",IFERROR(VLOOKUP(H477,Listas!$J$2:$K$1048576,2,FALSE),""))</f>
        <v/>
      </c>
      <c r="K477" s="5" t="str">
        <f>IF(OR(I477="",G477=""),"",IF(G477="Saída",-I477,I477))</f>
        <v/>
      </c>
      <c r="L477" t="str">
        <f>IF(E477="","",IFERROR(VLOOKUP(E477,Listas!$A$2:$C$1048576,3,FALSE),""))</f>
        <v/>
      </c>
    </row>
    <row r="478" spans="10:12" x14ac:dyDescent="0.25">
      <c r="J478" t="str">
        <f>IF(H478="","",IFERROR(VLOOKUP(H478,Listas!$J$2:$K$1048576,2,FALSE),""))</f>
        <v/>
      </c>
      <c r="K478" s="5" t="str">
        <f>IF(OR(I478="",G478=""),"",IF(G478="Saída",-I478,I478))</f>
        <v/>
      </c>
      <c r="L478" t="str">
        <f>IF(E478="","",IFERROR(VLOOKUP(E478,Listas!$A$2:$C$1048576,3,FALSE),""))</f>
        <v/>
      </c>
    </row>
    <row r="479" spans="10:12" x14ac:dyDescent="0.25">
      <c r="J479" t="str">
        <f>IF(H479="","",IFERROR(VLOOKUP(H479,Listas!$J$2:$K$1048576,2,FALSE),""))</f>
        <v/>
      </c>
      <c r="K479" s="5" t="str">
        <f>IF(OR(I479="",G479=""),"",IF(G479="Saída",-I479,I479))</f>
        <v/>
      </c>
      <c r="L479" t="str">
        <f>IF(E479="","",IFERROR(VLOOKUP(E479,Listas!$A$2:$C$1048576,3,FALSE),""))</f>
        <v/>
      </c>
    </row>
    <row r="480" spans="10:12" x14ac:dyDescent="0.25">
      <c r="J480" t="str">
        <f>IF(H480="","",IFERROR(VLOOKUP(H480,Listas!$J$2:$K$1048576,2,FALSE),""))</f>
        <v/>
      </c>
      <c r="K480" s="5" t="str">
        <f>IF(OR(I480="",G480=""),"",IF(G480="Saída",-I480,I480))</f>
        <v/>
      </c>
      <c r="L480" t="str">
        <f>IF(E480="","",IFERROR(VLOOKUP(E480,Listas!$A$2:$C$1048576,3,FALSE),""))</f>
        <v/>
      </c>
    </row>
    <row r="481" spans="10:12" x14ac:dyDescent="0.25">
      <c r="J481" t="str">
        <f>IF(H481="","",IFERROR(VLOOKUP(H481,Listas!$J$2:$K$1048576,2,FALSE),""))</f>
        <v/>
      </c>
      <c r="K481" s="5" t="str">
        <f>IF(OR(I481="",G481=""),"",IF(G481="Saída",-I481,I481))</f>
        <v/>
      </c>
      <c r="L481" t="str">
        <f>IF(E481="","",IFERROR(VLOOKUP(E481,Listas!$A$2:$C$1048576,3,FALSE),""))</f>
        <v/>
      </c>
    </row>
    <row r="482" spans="10:12" x14ac:dyDescent="0.25">
      <c r="J482" t="str">
        <f>IF(H482="","",IFERROR(VLOOKUP(H482,Listas!$J$2:$K$1048576,2,FALSE),""))</f>
        <v/>
      </c>
      <c r="K482" s="5" t="str">
        <f>IF(OR(I482="",G482=""),"",IF(G482="Saída",-I482,I482))</f>
        <v/>
      </c>
      <c r="L482" t="str">
        <f>IF(E482="","",IFERROR(VLOOKUP(E482,Listas!$A$2:$C$1048576,3,FALSE),""))</f>
        <v/>
      </c>
    </row>
    <row r="483" spans="10:12" x14ac:dyDescent="0.25">
      <c r="J483" t="str">
        <f>IF(H483="","",IFERROR(VLOOKUP(H483,Listas!$J$2:$K$1048576,2,FALSE),""))</f>
        <v/>
      </c>
      <c r="K483" s="5" t="str">
        <f>IF(OR(I483="",G483=""),"",IF(G483="Saída",-I483,I483))</f>
        <v/>
      </c>
      <c r="L483" t="str">
        <f>IF(E483="","",IFERROR(VLOOKUP(E483,Listas!$A$2:$C$1048576,3,FALSE),""))</f>
        <v/>
      </c>
    </row>
    <row r="484" spans="10:12" x14ac:dyDescent="0.25">
      <c r="J484" t="str">
        <f>IF(H484="","",IFERROR(VLOOKUP(H484,Listas!$J$2:$K$1048576,2,FALSE),""))</f>
        <v/>
      </c>
      <c r="K484" s="5" t="str">
        <f>IF(OR(I484="",G484=""),"",IF(G484="Saída",-I484,I484))</f>
        <v/>
      </c>
      <c r="L484" t="str">
        <f>IF(E484="","",IFERROR(VLOOKUP(E484,Listas!$A$2:$C$1048576,3,FALSE),""))</f>
        <v/>
      </c>
    </row>
    <row r="485" spans="10:12" x14ac:dyDescent="0.25">
      <c r="J485" t="str">
        <f>IF(H485="","",IFERROR(VLOOKUP(H485,Listas!$J$2:$K$1048576,2,FALSE),""))</f>
        <v/>
      </c>
      <c r="K485" s="5" t="str">
        <f>IF(OR(I485="",G485=""),"",IF(G485="Saída",-I485,I485))</f>
        <v/>
      </c>
      <c r="L485" t="str">
        <f>IF(E485="","",IFERROR(VLOOKUP(E485,Listas!$A$2:$C$1048576,3,FALSE),""))</f>
        <v/>
      </c>
    </row>
    <row r="486" spans="10:12" x14ac:dyDescent="0.25">
      <c r="J486" t="str">
        <f>IF(H486="","",IFERROR(VLOOKUP(H486,Listas!$J$2:$K$1048576,2,FALSE),""))</f>
        <v/>
      </c>
      <c r="K486" s="5" t="str">
        <f>IF(OR(I486="",G486=""),"",IF(G486="Saída",-I486,I486))</f>
        <v/>
      </c>
      <c r="L486" t="str">
        <f>IF(E486="","",IFERROR(VLOOKUP(E486,Listas!$A$2:$C$1048576,3,FALSE),""))</f>
        <v/>
      </c>
    </row>
    <row r="487" spans="10:12" x14ac:dyDescent="0.25">
      <c r="J487" t="str">
        <f>IF(H487="","",IFERROR(VLOOKUP(H487,Listas!$J$2:$K$1048576,2,FALSE),""))</f>
        <v/>
      </c>
      <c r="K487" s="5" t="str">
        <f>IF(OR(I487="",G487=""),"",IF(G487="Saída",-I487,I487))</f>
        <v/>
      </c>
      <c r="L487" t="str">
        <f>IF(E487="","",IFERROR(VLOOKUP(E487,Listas!$A$2:$C$1048576,3,FALSE),""))</f>
        <v/>
      </c>
    </row>
    <row r="488" spans="10:12" x14ac:dyDescent="0.25">
      <c r="J488" t="str">
        <f>IF(H488="","",IFERROR(VLOOKUP(H488,Listas!$J$2:$K$1048576,2,FALSE),""))</f>
        <v/>
      </c>
      <c r="K488" s="5" t="str">
        <f>IF(OR(I488="",G488=""),"",IF(G488="Saída",-I488,I488))</f>
        <v/>
      </c>
      <c r="L488" t="str">
        <f>IF(E488="","",IFERROR(VLOOKUP(E488,Listas!$A$2:$C$1048576,3,FALSE),""))</f>
        <v/>
      </c>
    </row>
    <row r="489" spans="10:12" x14ac:dyDescent="0.25">
      <c r="J489" t="str">
        <f>IF(H489="","",IFERROR(VLOOKUP(H489,Listas!$J$2:$K$1048576,2,FALSE),""))</f>
        <v/>
      </c>
      <c r="K489" s="5" t="str">
        <f>IF(OR(I489="",G489=""),"",IF(G489="Saída",-I489,I489))</f>
        <v/>
      </c>
      <c r="L489" t="str">
        <f>IF(E489="","",IFERROR(VLOOKUP(E489,Listas!$A$2:$C$1048576,3,FALSE),""))</f>
        <v/>
      </c>
    </row>
    <row r="490" spans="10:12" x14ac:dyDescent="0.25">
      <c r="J490" t="str">
        <f>IF(H490="","",IFERROR(VLOOKUP(H490,Listas!$J$2:$K$1048576,2,FALSE),""))</f>
        <v/>
      </c>
      <c r="K490" s="5" t="str">
        <f>IF(OR(I490="",G490=""),"",IF(G490="Saída",-I490,I490))</f>
        <v/>
      </c>
      <c r="L490" t="str">
        <f>IF(E490="","",IFERROR(VLOOKUP(E490,Listas!$A$2:$C$1048576,3,FALSE),""))</f>
        <v/>
      </c>
    </row>
    <row r="491" spans="10:12" x14ac:dyDescent="0.25">
      <c r="J491" t="str">
        <f>IF(H491="","",IFERROR(VLOOKUP(H491,Listas!$J$2:$K$1048576,2,FALSE),""))</f>
        <v/>
      </c>
      <c r="K491" s="5" t="str">
        <f>IF(OR(I491="",G491=""),"",IF(G491="Saída",-I491,I491))</f>
        <v/>
      </c>
      <c r="L491" t="str">
        <f>IF(E491="","",IFERROR(VLOOKUP(E491,Listas!$A$2:$C$1048576,3,FALSE),""))</f>
        <v/>
      </c>
    </row>
    <row r="492" spans="10:12" x14ac:dyDescent="0.25">
      <c r="J492" t="str">
        <f>IF(H492="","",IFERROR(VLOOKUP(H492,Listas!$J$2:$K$1048576,2,FALSE),""))</f>
        <v/>
      </c>
      <c r="K492" s="5" t="str">
        <f>IF(OR(I492="",G492=""),"",IF(G492="Saída",-I492,I492))</f>
        <v/>
      </c>
      <c r="L492" t="str">
        <f>IF(E492="","",IFERROR(VLOOKUP(E492,Listas!$A$2:$C$1048576,3,FALSE),""))</f>
        <v/>
      </c>
    </row>
    <row r="493" spans="10:12" x14ac:dyDescent="0.25">
      <c r="J493" t="str">
        <f>IF(H493="","",IFERROR(VLOOKUP(H493,Listas!$J$2:$K$1048576,2,FALSE),""))</f>
        <v/>
      </c>
      <c r="K493" s="5" t="str">
        <f>IF(OR(I493="",G493=""),"",IF(G493="Saída",-I493,I493))</f>
        <v/>
      </c>
      <c r="L493" t="str">
        <f>IF(E493="","",IFERROR(VLOOKUP(E493,Listas!$A$2:$C$1048576,3,FALSE),""))</f>
        <v/>
      </c>
    </row>
    <row r="494" spans="10:12" x14ac:dyDescent="0.25">
      <c r="J494" t="str">
        <f>IF(H494="","",IFERROR(VLOOKUP(H494,Listas!$J$2:$K$1048576,2,FALSE),""))</f>
        <v/>
      </c>
      <c r="K494" s="5" t="str">
        <f>IF(OR(I494="",G494=""),"",IF(G494="Saída",-I494,I494))</f>
        <v/>
      </c>
      <c r="L494" t="str">
        <f>IF(E494="","",IFERROR(VLOOKUP(E494,Listas!$A$2:$C$1048576,3,FALSE),""))</f>
        <v/>
      </c>
    </row>
    <row r="495" spans="10:12" x14ac:dyDescent="0.25">
      <c r="J495" t="str">
        <f>IF(H495="","",IFERROR(VLOOKUP(H495,Listas!$J$2:$K$1048576,2,FALSE),""))</f>
        <v/>
      </c>
      <c r="K495" s="5" t="str">
        <f>IF(OR(I495="",G495=""),"",IF(G495="Saída",-I495,I495))</f>
        <v/>
      </c>
      <c r="L495" t="str">
        <f>IF(E495="","",IFERROR(VLOOKUP(E495,Listas!$A$2:$C$1048576,3,FALSE),""))</f>
        <v/>
      </c>
    </row>
    <row r="496" spans="10:12" x14ac:dyDescent="0.25">
      <c r="J496" t="str">
        <f>IF(H496="","",IFERROR(VLOOKUP(H496,Listas!$J$2:$K$1048576,2,FALSE),""))</f>
        <v/>
      </c>
      <c r="K496" s="5" t="str">
        <f>IF(OR(I496="",G496=""),"",IF(G496="Saída",-I496,I496))</f>
        <v/>
      </c>
      <c r="L496" t="str">
        <f>IF(E496="","",IFERROR(VLOOKUP(E496,Listas!$A$2:$C$1048576,3,FALSE),""))</f>
        <v/>
      </c>
    </row>
    <row r="497" spans="10:12" x14ac:dyDescent="0.25">
      <c r="J497" t="str">
        <f>IF(H497="","",IFERROR(VLOOKUP(H497,Listas!$J$2:$K$1048576,2,FALSE),""))</f>
        <v/>
      </c>
      <c r="K497" s="5" t="str">
        <f>IF(OR(I497="",G497=""),"",IF(G497="Saída",-I497,I497))</f>
        <v/>
      </c>
      <c r="L497" t="str">
        <f>IF(E497="","",IFERROR(VLOOKUP(E497,Listas!$A$2:$C$1048576,3,FALSE),""))</f>
        <v/>
      </c>
    </row>
    <row r="498" spans="10:12" x14ac:dyDescent="0.25">
      <c r="J498" t="str">
        <f>IF(H498="","",IFERROR(VLOOKUP(H498,Listas!$J$2:$K$1048576,2,FALSE),""))</f>
        <v/>
      </c>
      <c r="K498" s="5" t="str">
        <f>IF(OR(I498="",G498=""),"",IF(G498="Saída",-I498,I498))</f>
        <v/>
      </c>
      <c r="L498" t="str">
        <f>IF(E498="","",IFERROR(VLOOKUP(E498,Listas!$A$2:$C$1048576,3,FALSE),""))</f>
        <v/>
      </c>
    </row>
    <row r="499" spans="10:12" x14ac:dyDescent="0.25">
      <c r="J499" t="str">
        <f>IF(H499="","",IFERROR(VLOOKUP(H499,Listas!$J$2:$K$1048576,2,FALSE),""))</f>
        <v/>
      </c>
      <c r="K499" s="5" t="str">
        <f>IF(OR(I499="",G499=""),"",IF(G499="Saída",-I499,I499))</f>
        <v/>
      </c>
      <c r="L499" t="str">
        <f>IF(E499="","",IFERROR(VLOOKUP(E499,Listas!$A$2:$C$1048576,3,FALSE),""))</f>
        <v/>
      </c>
    </row>
    <row r="500" spans="10:12" x14ac:dyDescent="0.25">
      <c r="J500" t="str">
        <f>IF(H500="","",IFERROR(VLOOKUP(H500,Listas!$J$2:$K$1048576,2,FALSE),""))</f>
        <v/>
      </c>
      <c r="K500" s="5" t="str">
        <f>IF(OR(I500="",G500=""),"",IF(G500="Saída",-I500,I500))</f>
        <v/>
      </c>
      <c r="L500" t="str">
        <f>IF(E500="","",IFERROR(VLOOKUP(E500,Listas!$A$2:$C$1048576,3,FALSE),""))</f>
        <v/>
      </c>
    </row>
    <row r="501" spans="10:12" x14ac:dyDescent="0.25">
      <c r="J501" t="str">
        <f>IF(H501="","",IFERROR(VLOOKUP(H501,Listas!$J$2:$K$1048576,2,FALSE),""))</f>
        <v/>
      </c>
      <c r="K501" s="5" t="str">
        <f>IF(OR(I501="",G501=""),"",IF(G501="Saída",-I501,I501))</f>
        <v/>
      </c>
      <c r="L501" t="str">
        <f>IF(E501="","",IFERROR(VLOOKUP(E501,Listas!$A$2:$C$1048576,3,FALSE),""))</f>
        <v/>
      </c>
    </row>
    <row r="502" spans="10:12" x14ac:dyDescent="0.25">
      <c r="J502" t="str">
        <f>IF(H502="","",IFERROR(VLOOKUP(H502,Listas!$J$2:$K$1048576,2,FALSE),""))</f>
        <v/>
      </c>
      <c r="K502" s="5" t="str">
        <f>IF(OR(I502="",G502=""),"",IF(G502="Saída",-I502,I502))</f>
        <v/>
      </c>
      <c r="L502" t="str">
        <f>IF(E502="","",IFERROR(VLOOKUP(E502,Listas!$A$2:$C$1048576,3,FALSE),""))</f>
        <v/>
      </c>
    </row>
    <row r="503" spans="10:12" x14ac:dyDescent="0.25">
      <c r="J503" t="str">
        <f>IF(H503="","",IFERROR(VLOOKUP(H503,Listas!$J$2:$K$1048576,2,FALSE),""))</f>
        <v/>
      </c>
      <c r="K503" s="5" t="str">
        <f>IF(OR(I503="",G503=""),"",IF(G503="Saída",-I503,I503))</f>
        <v/>
      </c>
      <c r="L503" t="str">
        <f>IF(E503="","",IFERROR(VLOOKUP(E503,Listas!$A$2:$C$1048576,3,FALSE),""))</f>
        <v/>
      </c>
    </row>
    <row r="504" spans="10:12" x14ac:dyDescent="0.25">
      <c r="J504" t="str">
        <f>IF(H504="","",IFERROR(VLOOKUP(H504,Listas!$J$2:$K$1048576,2,FALSE),""))</f>
        <v/>
      </c>
      <c r="K504" s="5" t="str">
        <f>IF(OR(I504="",G504=""),"",IF(G504="Saída",-I504,I504))</f>
        <v/>
      </c>
      <c r="L504" t="str">
        <f>IF(E504="","",IFERROR(VLOOKUP(E504,Listas!$A$2:$C$1048576,3,FALSE),""))</f>
        <v/>
      </c>
    </row>
    <row r="505" spans="10:12" x14ac:dyDescent="0.25">
      <c r="J505" t="str">
        <f>IF(H505="","",IFERROR(VLOOKUP(H505,Listas!$J$2:$K$1048576,2,FALSE),""))</f>
        <v/>
      </c>
      <c r="K505" s="5" t="str">
        <f>IF(OR(I505="",G505=""),"",IF(G505="Saída",-I505,I505))</f>
        <v/>
      </c>
      <c r="L505" t="str">
        <f>IF(E505="","",IFERROR(VLOOKUP(E505,Listas!$A$2:$C$1048576,3,FALSE),""))</f>
        <v/>
      </c>
    </row>
    <row r="506" spans="10:12" x14ac:dyDescent="0.25">
      <c r="J506" t="str">
        <f>IF(H506="","",IFERROR(VLOOKUP(H506,Listas!$J$2:$K$1048576,2,FALSE),""))</f>
        <v/>
      </c>
      <c r="K506" s="5" t="str">
        <f>IF(OR(I506="",G506=""),"",IF(G506="Saída",-I506,I506))</f>
        <v/>
      </c>
      <c r="L506" t="str">
        <f>IF(E506="","",IFERROR(VLOOKUP(E506,Listas!$A$2:$C$1048576,3,FALSE),""))</f>
        <v/>
      </c>
    </row>
    <row r="507" spans="10:12" x14ac:dyDescent="0.25">
      <c r="J507" t="str">
        <f>IF(H507="","",IFERROR(VLOOKUP(H507,Listas!$J$2:$K$1048576,2,FALSE),""))</f>
        <v/>
      </c>
      <c r="K507" s="5" t="str">
        <f>IF(OR(I507="",G507=""),"",IF(G507="Saída",-I507,I507))</f>
        <v/>
      </c>
      <c r="L507" t="str">
        <f>IF(E507="","",IFERROR(VLOOKUP(E507,Listas!$A$2:$C$1048576,3,FALSE),""))</f>
        <v/>
      </c>
    </row>
    <row r="508" spans="10:12" x14ac:dyDescent="0.25">
      <c r="J508" t="str">
        <f>IF(H508="","",IFERROR(VLOOKUP(H508,Listas!$J$2:$K$1048576,2,FALSE),""))</f>
        <v/>
      </c>
      <c r="K508" s="5" t="str">
        <f>IF(OR(I508="",G508=""),"",IF(G508="Saída",-I508,I508))</f>
        <v/>
      </c>
      <c r="L508" t="str">
        <f>IF(E508="","",IFERROR(VLOOKUP(E508,Listas!$A$2:$C$1048576,3,FALSE),""))</f>
        <v/>
      </c>
    </row>
    <row r="509" spans="10:12" x14ac:dyDescent="0.25">
      <c r="J509" t="str">
        <f>IF(H509="","",IFERROR(VLOOKUP(H509,Listas!$J$2:$K$1048576,2,FALSE),""))</f>
        <v/>
      </c>
      <c r="K509" s="5" t="str">
        <f>IF(OR(I509="",G509=""),"",IF(G509="Saída",-I509,I509))</f>
        <v/>
      </c>
      <c r="L509" t="str">
        <f>IF(E509="","",IFERROR(VLOOKUP(E509,Listas!$A$2:$C$1048576,3,FALSE),""))</f>
        <v/>
      </c>
    </row>
    <row r="510" spans="10:12" x14ac:dyDescent="0.25">
      <c r="J510" t="str">
        <f>IF(H510="","",IFERROR(VLOOKUP(H510,Listas!$J$2:$K$1048576,2,FALSE),""))</f>
        <v/>
      </c>
      <c r="K510" s="5" t="str">
        <f>IF(OR(I510="",G510=""),"",IF(G510="Saída",-I510,I510))</f>
        <v/>
      </c>
      <c r="L510" t="str">
        <f>IF(E510="","",IFERROR(VLOOKUP(E510,Listas!$A$2:$C$1048576,3,FALSE),""))</f>
        <v/>
      </c>
    </row>
    <row r="511" spans="10:12" x14ac:dyDescent="0.25">
      <c r="J511" t="str">
        <f>IF(H511="","",IFERROR(VLOOKUP(H511,Listas!$J$2:$K$1048576,2,FALSE),""))</f>
        <v/>
      </c>
      <c r="K511" s="5" t="str">
        <f>IF(OR(I511="",G511=""),"",IF(G511="Saída",-I511,I511))</f>
        <v/>
      </c>
      <c r="L511" t="str">
        <f>IF(E511="","",IFERROR(VLOOKUP(E511,Listas!$A$2:$C$1048576,3,FALSE),""))</f>
        <v/>
      </c>
    </row>
    <row r="512" spans="10:12" x14ac:dyDescent="0.25">
      <c r="J512" t="str">
        <f>IF(H512="","",IFERROR(VLOOKUP(H512,Listas!$J$2:$K$1048576,2,FALSE),""))</f>
        <v/>
      </c>
      <c r="K512" s="5" t="str">
        <f>IF(OR(I512="",G512=""),"",IF(G512="Saída",-I512,I512))</f>
        <v/>
      </c>
      <c r="L512" t="str">
        <f>IF(E512="","",IFERROR(VLOOKUP(E512,Listas!$A$2:$C$1048576,3,FALSE),""))</f>
        <v/>
      </c>
    </row>
    <row r="513" spans="10:12" x14ac:dyDescent="0.25">
      <c r="J513" t="str">
        <f>IF(H513="","",IFERROR(VLOOKUP(H513,Listas!$J$2:$K$1048576,2,FALSE),""))</f>
        <v/>
      </c>
      <c r="K513" s="5" t="str">
        <f>IF(OR(I513="",G513=""),"",IF(G513="Saída",-I513,I513))</f>
        <v/>
      </c>
      <c r="L513" t="str">
        <f>IF(E513="","",IFERROR(VLOOKUP(E513,Listas!$A$2:$C$1048576,3,FALSE),""))</f>
        <v/>
      </c>
    </row>
    <row r="514" spans="10:12" x14ac:dyDescent="0.25">
      <c r="J514" t="str">
        <f>IF(H514="","",IFERROR(VLOOKUP(H514,Listas!$J$2:$K$1048576,2,FALSE),""))</f>
        <v/>
      </c>
      <c r="K514" s="5" t="str">
        <f>IF(OR(I514="",G514=""),"",IF(G514="Saída",-I514,I514))</f>
        <v/>
      </c>
      <c r="L514" t="str">
        <f>IF(E514="","",IFERROR(VLOOKUP(E514,Listas!$A$2:$C$1048576,3,FALSE),""))</f>
        <v/>
      </c>
    </row>
    <row r="515" spans="10:12" x14ac:dyDescent="0.25">
      <c r="J515" t="str">
        <f>IF(H515="","",IFERROR(VLOOKUP(H515,Listas!$J$2:$K$1048576,2,FALSE),""))</f>
        <v/>
      </c>
      <c r="K515" s="5" t="str">
        <f>IF(OR(I515="",G515=""),"",IF(G515="Saída",-I515,I515))</f>
        <v/>
      </c>
      <c r="L515" t="str">
        <f>IF(E515="","",IFERROR(VLOOKUP(E515,Listas!$A$2:$C$1048576,3,FALSE),""))</f>
        <v/>
      </c>
    </row>
    <row r="516" spans="10:12" x14ac:dyDescent="0.25">
      <c r="J516" t="str">
        <f>IF(H516="","",IFERROR(VLOOKUP(H516,Listas!$J$2:$K$1048576,2,FALSE),""))</f>
        <v/>
      </c>
      <c r="K516" s="5" t="str">
        <f>IF(OR(I516="",G516=""),"",IF(G516="Saída",-I516,I516))</f>
        <v/>
      </c>
      <c r="L516" t="str">
        <f>IF(E516="","",IFERROR(VLOOKUP(E516,Listas!$A$2:$C$1048576,3,FALSE),""))</f>
        <v/>
      </c>
    </row>
    <row r="517" spans="10:12" x14ac:dyDescent="0.25">
      <c r="J517" t="str">
        <f>IF(H517="","",IFERROR(VLOOKUP(H517,Listas!$J$2:$K$1048576,2,FALSE),""))</f>
        <v/>
      </c>
      <c r="K517" s="5" t="str">
        <f>IF(OR(I517="",G517=""),"",IF(G517="Saída",-I517,I517))</f>
        <v/>
      </c>
      <c r="L517" t="str">
        <f>IF(E517="","",IFERROR(VLOOKUP(E517,Listas!$A$2:$C$1048576,3,FALSE),""))</f>
        <v/>
      </c>
    </row>
    <row r="518" spans="10:12" x14ac:dyDescent="0.25">
      <c r="J518" t="str">
        <f>IF(H518="","",IFERROR(VLOOKUP(H518,Listas!$J$2:$K$1048576,2,FALSE),""))</f>
        <v/>
      </c>
      <c r="K518" s="5" t="str">
        <f>IF(OR(I518="",G518=""),"",IF(G518="Saída",-I518,I518))</f>
        <v/>
      </c>
      <c r="L518" t="str">
        <f>IF(E518="","",IFERROR(VLOOKUP(E518,Listas!$A$2:$C$1048576,3,FALSE),""))</f>
        <v/>
      </c>
    </row>
    <row r="519" spans="10:12" x14ac:dyDescent="0.25">
      <c r="J519" t="str">
        <f>IF(H519="","",IFERROR(VLOOKUP(H519,Listas!$J$2:$K$1048576,2,FALSE),""))</f>
        <v/>
      </c>
      <c r="K519" s="5" t="str">
        <f>IF(OR(I519="",G519=""),"",IF(G519="Saída",-I519,I519))</f>
        <v/>
      </c>
      <c r="L519" t="str">
        <f>IF(E519="","",IFERROR(VLOOKUP(E519,Listas!$A$2:$C$1048576,3,FALSE),""))</f>
        <v/>
      </c>
    </row>
    <row r="520" spans="10:12" x14ac:dyDescent="0.25">
      <c r="J520" t="str">
        <f>IF(H520="","",IFERROR(VLOOKUP(H520,Listas!$J$2:$K$1048576,2,FALSE),""))</f>
        <v/>
      </c>
      <c r="K520" s="5" t="str">
        <f>IF(OR(I520="",G520=""),"",IF(G520="Saída",-I520,I520))</f>
        <v/>
      </c>
      <c r="L520" t="str">
        <f>IF(E520="","",IFERROR(VLOOKUP(E520,Listas!$A$2:$C$1048576,3,FALSE),""))</f>
        <v/>
      </c>
    </row>
    <row r="521" spans="10:12" x14ac:dyDescent="0.25">
      <c r="J521" t="str">
        <f>IF(H521="","",IFERROR(VLOOKUP(H521,Listas!$J$2:$K$1048576,2,FALSE),""))</f>
        <v/>
      </c>
      <c r="K521" s="5" t="str">
        <f>IF(OR(I521="",G521=""),"",IF(G521="Saída",-I521,I521))</f>
        <v/>
      </c>
      <c r="L521" t="str">
        <f>IF(E521="","",IFERROR(VLOOKUP(E521,Listas!$A$2:$C$1048576,3,FALSE),""))</f>
        <v/>
      </c>
    </row>
    <row r="522" spans="10:12" x14ac:dyDescent="0.25">
      <c r="J522" t="str">
        <f>IF(H522="","",IFERROR(VLOOKUP(H522,Listas!$J$2:$K$1048576,2,FALSE),""))</f>
        <v/>
      </c>
      <c r="K522" s="5" t="str">
        <f>IF(OR(I522="",G522=""),"",IF(G522="Saída",-I522,I522))</f>
        <v/>
      </c>
      <c r="L522" t="str">
        <f>IF(E522="","",IFERROR(VLOOKUP(E522,Listas!$A$2:$C$1048576,3,FALSE),""))</f>
        <v/>
      </c>
    </row>
    <row r="523" spans="10:12" x14ac:dyDescent="0.25">
      <c r="J523" t="str">
        <f>IF(H523="","",IFERROR(VLOOKUP(H523,Listas!$J$2:$K$1048576,2,FALSE),""))</f>
        <v/>
      </c>
      <c r="K523" s="5" t="str">
        <f>IF(OR(I523="",G523=""),"",IF(G523="Saída",-I523,I523))</f>
        <v/>
      </c>
      <c r="L523" t="str">
        <f>IF(E523="","",IFERROR(VLOOKUP(E523,Listas!$A$2:$C$1048576,3,FALSE),""))</f>
        <v/>
      </c>
    </row>
    <row r="524" spans="10:12" x14ac:dyDescent="0.25">
      <c r="J524" t="str">
        <f>IF(H524="","",IFERROR(VLOOKUP(H524,Listas!$J$2:$K$1048576,2,FALSE),""))</f>
        <v/>
      </c>
      <c r="K524" s="5" t="str">
        <f>IF(OR(I524="",G524=""),"",IF(G524="Saída",-I524,I524))</f>
        <v/>
      </c>
      <c r="L524" t="str">
        <f>IF(E524="","",IFERROR(VLOOKUP(E524,Listas!$A$2:$C$1048576,3,FALSE),""))</f>
        <v/>
      </c>
    </row>
    <row r="525" spans="10:12" x14ac:dyDescent="0.25">
      <c r="J525" t="str">
        <f>IF(H525="","",IFERROR(VLOOKUP(H525,Listas!$J$2:$K$1048576,2,FALSE),""))</f>
        <v/>
      </c>
      <c r="K525" s="5" t="str">
        <f>IF(OR(I525="",G525=""),"",IF(G525="Saída",-I525,I525))</f>
        <v/>
      </c>
      <c r="L525" t="str">
        <f>IF(E525="","",IFERROR(VLOOKUP(E525,Listas!$A$2:$C$1048576,3,FALSE),""))</f>
        <v/>
      </c>
    </row>
    <row r="526" spans="10:12" x14ac:dyDescent="0.25">
      <c r="J526" t="str">
        <f>IF(H526="","",IFERROR(VLOOKUP(H526,Listas!$J$2:$K$1048576,2,FALSE),""))</f>
        <v/>
      </c>
      <c r="K526" s="5" t="str">
        <f>IF(OR(I526="",G526=""),"",IF(G526="Saída",-I526,I526))</f>
        <v/>
      </c>
      <c r="L526" t="str">
        <f>IF(E526="","",IFERROR(VLOOKUP(E526,Listas!$A$2:$C$1048576,3,FALSE),""))</f>
        <v/>
      </c>
    </row>
    <row r="527" spans="10:12" x14ac:dyDescent="0.25">
      <c r="J527" t="str">
        <f>IF(H527="","",IFERROR(VLOOKUP(H527,Listas!$J$2:$K$1048576,2,FALSE),""))</f>
        <v/>
      </c>
      <c r="K527" s="5" t="str">
        <f>IF(OR(I527="",G527=""),"",IF(G527="Saída",-I527,I527))</f>
        <v/>
      </c>
      <c r="L527" t="str">
        <f>IF(E527="","",IFERROR(VLOOKUP(E527,Listas!$A$2:$C$1048576,3,FALSE),""))</f>
        <v/>
      </c>
    </row>
    <row r="528" spans="10:12" x14ac:dyDescent="0.25">
      <c r="J528" t="str">
        <f>IF(H528="","",IFERROR(VLOOKUP(H528,Listas!$J$2:$K$1048576,2,FALSE),""))</f>
        <v/>
      </c>
      <c r="K528" s="5" t="str">
        <f>IF(OR(I528="",G528=""),"",IF(G528="Saída",-I528,I528))</f>
        <v/>
      </c>
      <c r="L528" t="str">
        <f>IF(E528="","",IFERROR(VLOOKUP(E528,Listas!$A$2:$C$1048576,3,FALSE),""))</f>
        <v/>
      </c>
    </row>
    <row r="529" spans="10:12" x14ac:dyDescent="0.25">
      <c r="J529" t="str">
        <f>IF(H529="","",IFERROR(VLOOKUP(H529,Listas!$J$2:$K$1048576,2,FALSE),""))</f>
        <v/>
      </c>
      <c r="K529" s="5" t="str">
        <f>IF(OR(I529="",G529=""),"",IF(G529="Saída",-I529,I529))</f>
        <v/>
      </c>
      <c r="L529" t="str">
        <f>IF(E529="","",IFERROR(VLOOKUP(E529,Listas!$A$2:$C$1048576,3,FALSE),""))</f>
        <v/>
      </c>
    </row>
    <row r="530" spans="10:12" x14ac:dyDescent="0.25">
      <c r="J530" t="str">
        <f>IF(H530="","",IFERROR(VLOOKUP(H530,Listas!$J$2:$K$1048576,2,FALSE),""))</f>
        <v/>
      </c>
      <c r="K530" s="5" t="str">
        <f>IF(OR(I530="",G530=""),"",IF(G530="Saída",-I530,I530))</f>
        <v/>
      </c>
      <c r="L530" t="str">
        <f>IF(E530="","",IFERROR(VLOOKUP(E530,Listas!$A$2:$C$1048576,3,FALSE),""))</f>
        <v/>
      </c>
    </row>
    <row r="531" spans="10:12" x14ac:dyDescent="0.25">
      <c r="J531" t="str">
        <f>IF(H531="","",IFERROR(VLOOKUP(H531,Listas!$J$2:$K$1048576,2,FALSE),""))</f>
        <v/>
      </c>
      <c r="K531" s="5" t="str">
        <f>IF(OR(I531="",G531=""),"",IF(G531="Saída",-I531,I531))</f>
        <v/>
      </c>
      <c r="L531" t="str">
        <f>IF(E531="","",IFERROR(VLOOKUP(E531,Listas!$A$2:$C$1048576,3,FALSE),""))</f>
        <v/>
      </c>
    </row>
    <row r="532" spans="10:12" x14ac:dyDescent="0.25">
      <c r="J532" t="str">
        <f>IF(H532="","",IFERROR(VLOOKUP(H532,Listas!$J$2:$K$1048576,2,FALSE),""))</f>
        <v/>
      </c>
      <c r="K532" s="5" t="str">
        <f>IF(OR(I532="",G532=""),"",IF(G532="Saída",-I532,I532))</f>
        <v/>
      </c>
      <c r="L532" t="str">
        <f>IF(E532="","",IFERROR(VLOOKUP(E532,Listas!$A$2:$C$1048576,3,FALSE),""))</f>
        <v/>
      </c>
    </row>
    <row r="533" spans="10:12" x14ac:dyDescent="0.25">
      <c r="J533" t="str">
        <f>IF(H533="","",IFERROR(VLOOKUP(H533,Listas!$J$2:$K$1048576,2,FALSE),""))</f>
        <v/>
      </c>
      <c r="K533" s="5" t="str">
        <f>IF(OR(I533="",G533=""),"",IF(G533="Saída",-I533,I533))</f>
        <v/>
      </c>
      <c r="L533" t="str">
        <f>IF(E533="","",IFERROR(VLOOKUP(E533,Listas!$A$2:$C$1048576,3,FALSE),""))</f>
        <v/>
      </c>
    </row>
    <row r="534" spans="10:12" x14ac:dyDescent="0.25">
      <c r="J534" t="str">
        <f>IF(H534="","",IFERROR(VLOOKUP(H534,Listas!$J$2:$K$1048576,2,FALSE),""))</f>
        <v/>
      </c>
      <c r="K534" s="5" t="str">
        <f>IF(OR(I534="",G534=""),"",IF(G534="Saída",-I534,I534))</f>
        <v/>
      </c>
      <c r="L534" t="str">
        <f>IF(E534="","",IFERROR(VLOOKUP(E534,Listas!$A$2:$C$1048576,3,FALSE),""))</f>
        <v/>
      </c>
    </row>
    <row r="535" spans="10:12" x14ac:dyDescent="0.25">
      <c r="J535" t="str">
        <f>IF(H535="","",IFERROR(VLOOKUP(H535,Listas!$J$2:$K$1048576,2,FALSE),""))</f>
        <v/>
      </c>
      <c r="K535" s="5" t="str">
        <f>IF(OR(I535="",G535=""),"",IF(G535="Saída",-I535,I535))</f>
        <v/>
      </c>
      <c r="L535" t="str">
        <f>IF(E535="","",IFERROR(VLOOKUP(E535,Listas!$A$2:$C$1048576,3,FALSE),""))</f>
        <v/>
      </c>
    </row>
    <row r="536" spans="10:12" x14ac:dyDescent="0.25">
      <c r="J536" t="str">
        <f>IF(H536="","",IFERROR(VLOOKUP(H536,Listas!$J$2:$K$1048576,2,FALSE),""))</f>
        <v/>
      </c>
      <c r="K536" s="5" t="str">
        <f>IF(OR(I536="",G536=""),"",IF(G536="Saída",-I536,I536))</f>
        <v/>
      </c>
      <c r="L536" t="str">
        <f>IF(E536="","",IFERROR(VLOOKUP(E536,Listas!$A$2:$C$1048576,3,FALSE),""))</f>
        <v/>
      </c>
    </row>
    <row r="537" spans="10:12" x14ac:dyDescent="0.25">
      <c r="J537" t="str">
        <f>IF(H537="","",IFERROR(VLOOKUP(H537,Listas!$J$2:$K$1048576,2,FALSE),""))</f>
        <v/>
      </c>
      <c r="K537" s="5" t="str">
        <f>IF(OR(I537="",G537=""),"",IF(G537="Saída",-I537,I537))</f>
        <v/>
      </c>
      <c r="L537" t="str">
        <f>IF(E537="","",IFERROR(VLOOKUP(E537,Listas!$A$2:$C$1048576,3,FALSE),""))</f>
        <v/>
      </c>
    </row>
    <row r="538" spans="10:12" x14ac:dyDescent="0.25">
      <c r="J538" t="str">
        <f>IF(H538="","",IFERROR(VLOOKUP(H538,Listas!$J$2:$K$1048576,2,FALSE),""))</f>
        <v/>
      </c>
      <c r="K538" s="5" t="str">
        <f>IF(OR(I538="",G538=""),"",IF(G538="Saída",-I538,I538))</f>
        <v/>
      </c>
      <c r="L538" t="str">
        <f>IF(E538="","",IFERROR(VLOOKUP(E538,Listas!$A$2:$C$1048576,3,FALSE),""))</f>
        <v/>
      </c>
    </row>
    <row r="539" spans="10:12" x14ac:dyDescent="0.25">
      <c r="J539" t="str">
        <f>IF(H539="","",IFERROR(VLOOKUP(H539,Listas!$J$2:$K$1048576,2,FALSE),""))</f>
        <v/>
      </c>
      <c r="K539" s="5" t="str">
        <f>IF(OR(I539="",G539=""),"",IF(G539="Saída",-I539,I539))</f>
        <v/>
      </c>
      <c r="L539" t="str">
        <f>IF(E539="","",IFERROR(VLOOKUP(E539,Listas!$A$2:$C$1048576,3,FALSE),""))</f>
        <v/>
      </c>
    </row>
    <row r="540" spans="10:12" x14ac:dyDescent="0.25">
      <c r="J540" t="str">
        <f>IF(H540="","",IFERROR(VLOOKUP(H540,Listas!$J$2:$K$1048576,2,FALSE),""))</f>
        <v/>
      </c>
      <c r="K540" s="5" t="str">
        <f>IF(OR(I540="",G540=""),"",IF(G540="Saída",-I540,I540))</f>
        <v/>
      </c>
      <c r="L540" t="str">
        <f>IF(E540="","",IFERROR(VLOOKUP(E540,Listas!$A$2:$C$1048576,3,FALSE),""))</f>
        <v/>
      </c>
    </row>
    <row r="541" spans="10:12" x14ac:dyDescent="0.25">
      <c r="J541" t="str">
        <f>IF(H541="","",IFERROR(VLOOKUP(H541,Listas!$J$2:$K$1048576,2,FALSE),""))</f>
        <v/>
      </c>
      <c r="K541" s="5" t="str">
        <f>IF(OR(I541="",G541=""),"",IF(G541="Saída",-I541,I541))</f>
        <v/>
      </c>
      <c r="L541" t="str">
        <f>IF(E541="","",IFERROR(VLOOKUP(E541,Listas!$A$2:$C$1048576,3,FALSE),""))</f>
        <v/>
      </c>
    </row>
    <row r="542" spans="10:12" x14ac:dyDescent="0.25">
      <c r="J542" t="str">
        <f>IF(H542="","",IFERROR(VLOOKUP(H542,Listas!$J$2:$K$1048576,2,FALSE),""))</f>
        <v/>
      </c>
      <c r="K542" s="5" t="str">
        <f>IF(OR(I542="",G542=""),"",IF(G542="Saída",-I542,I542))</f>
        <v/>
      </c>
      <c r="L542" t="str">
        <f>IF(E542="","",IFERROR(VLOOKUP(E542,Listas!$A$2:$C$1048576,3,FALSE),""))</f>
        <v/>
      </c>
    </row>
    <row r="543" spans="10:12" x14ac:dyDescent="0.25">
      <c r="J543" t="str">
        <f>IF(H543="","",IFERROR(VLOOKUP(H543,Listas!$J$2:$K$1048576,2,FALSE),""))</f>
        <v/>
      </c>
      <c r="K543" s="5" t="str">
        <f>IF(OR(I543="",G543=""),"",IF(G543="Saída",-I543,I543))</f>
        <v/>
      </c>
      <c r="L543" t="str">
        <f>IF(E543="","",IFERROR(VLOOKUP(E543,Listas!$A$2:$C$1048576,3,FALSE),""))</f>
        <v/>
      </c>
    </row>
    <row r="544" spans="10:12" x14ac:dyDescent="0.25">
      <c r="J544" t="str">
        <f>IF(H544="","",IFERROR(VLOOKUP(H544,Listas!$J$2:$K$1048576,2,FALSE),""))</f>
        <v/>
      </c>
      <c r="K544" s="5" t="str">
        <f>IF(OR(I544="",G544=""),"",IF(G544="Saída",-I544,I544))</f>
        <v/>
      </c>
      <c r="L544" t="str">
        <f>IF(E544="","",IFERROR(VLOOKUP(E544,Listas!$A$2:$C$1048576,3,FALSE),""))</f>
        <v/>
      </c>
    </row>
    <row r="545" spans="10:12" x14ac:dyDescent="0.25">
      <c r="J545" t="str">
        <f>IF(H545="","",IFERROR(VLOOKUP(H545,Listas!$J$2:$K$1048576,2,FALSE),""))</f>
        <v/>
      </c>
      <c r="K545" s="5" t="str">
        <f>IF(OR(I545="",G545=""),"",IF(G545="Saída",-I545,I545))</f>
        <v/>
      </c>
      <c r="L545" t="str">
        <f>IF(E545="","",IFERROR(VLOOKUP(E545,Listas!$A$2:$C$1048576,3,FALSE),""))</f>
        <v/>
      </c>
    </row>
    <row r="546" spans="10:12" x14ac:dyDescent="0.25">
      <c r="J546" t="str">
        <f>IF(H546="","",IFERROR(VLOOKUP(H546,Listas!$J$2:$K$1048576,2,FALSE),""))</f>
        <v/>
      </c>
      <c r="K546" s="5" t="str">
        <f>IF(OR(I546="",G546=""),"",IF(G546="Saída",-I546,I546))</f>
        <v/>
      </c>
      <c r="L546" t="str">
        <f>IF(E546="","",IFERROR(VLOOKUP(E546,Listas!$A$2:$C$1048576,3,FALSE),""))</f>
        <v/>
      </c>
    </row>
    <row r="547" spans="10:12" x14ac:dyDescent="0.25">
      <c r="J547" t="str">
        <f>IF(H547="","",IFERROR(VLOOKUP(H547,Listas!$J$2:$K$1048576,2,FALSE),""))</f>
        <v/>
      </c>
      <c r="K547" s="5" t="str">
        <f>IF(OR(I547="",G547=""),"",IF(G547="Saída",-I547,I547))</f>
        <v/>
      </c>
      <c r="L547" t="str">
        <f>IF(E547="","",IFERROR(VLOOKUP(E547,Listas!$A$2:$C$1048576,3,FALSE),""))</f>
        <v/>
      </c>
    </row>
    <row r="548" spans="10:12" x14ac:dyDescent="0.25">
      <c r="J548" t="str">
        <f>IF(H548="","",IFERROR(VLOOKUP(H548,Listas!$J$2:$K$1048576,2,FALSE),""))</f>
        <v/>
      </c>
      <c r="K548" s="5" t="str">
        <f>IF(OR(I548="",G548=""),"",IF(G548="Saída",-I548,I548))</f>
        <v/>
      </c>
      <c r="L548" t="str">
        <f>IF(E548="","",IFERROR(VLOOKUP(E548,Listas!$A$2:$C$1048576,3,FALSE),""))</f>
        <v/>
      </c>
    </row>
    <row r="549" spans="10:12" x14ac:dyDescent="0.25">
      <c r="J549" t="str">
        <f>IF(H549="","",IFERROR(VLOOKUP(H549,Listas!$J$2:$K$1048576,2,FALSE),""))</f>
        <v/>
      </c>
      <c r="K549" s="5" t="str">
        <f>IF(OR(I549="",G549=""),"",IF(G549="Saída",-I549,I549))</f>
        <v/>
      </c>
      <c r="L549" t="str">
        <f>IF(E549="","",IFERROR(VLOOKUP(E549,Listas!$A$2:$C$1048576,3,FALSE),""))</f>
        <v/>
      </c>
    </row>
    <row r="550" spans="10:12" x14ac:dyDescent="0.25">
      <c r="J550" t="str">
        <f>IF(H550="","",IFERROR(VLOOKUP(H550,Listas!$J$2:$K$1048576,2,FALSE),""))</f>
        <v/>
      </c>
      <c r="K550" s="5" t="str">
        <f>IF(OR(I550="",G550=""),"",IF(G550="Saída",-I550,I550))</f>
        <v/>
      </c>
      <c r="L550" t="str">
        <f>IF(E550="","",IFERROR(VLOOKUP(E550,Listas!$A$2:$C$1048576,3,FALSE),""))</f>
        <v/>
      </c>
    </row>
    <row r="551" spans="10:12" x14ac:dyDescent="0.25">
      <c r="J551" t="str">
        <f>IF(H551="","",IFERROR(VLOOKUP(H551,Listas!$J$2:$K$1048576,2,FALSE),""))</f>
        <v/>
      </c>
      <c r="K551" s="5" t="str">
        <f>IF(OR(I551="",G551=""),"",IF(G551="Saída",-I551,I551))</f>
        <v/>
      </c>
      <c r="L551" t="str">
        <f>IF(E551="","",IFERROR(VLOOKUP(E551,Listas!$A$2:$C$1048576,3,FALSE),""))</f>
        <v/>
      </c>
    </row>
    <row r="552" spans="10:12" x14ac:dyDescent="0.25">
      <c r="J552" t="str">
        <f>IF(H552="","",IFERROR(VLOOKUP(H552,Listas!$J$2:$K$1048576,2,FALSE),""))</f>
        <v/>
      </c>
      <c r="K552" s="5" t="str">
        <f>IF(OR(I552="",G552=""),"",IF(G552="Saída",-I552,I552))</f>
        <v/>
      </c>
      <c r="L552" t="str">
        <f>IF(E552="","",IFERROR(VLOOKUP(E552,Listas!$A$2:$C$1048576,3,FALSE),""))</f>
        <v/>
      </c>
    </row>
    <row r="553" spans="10:12" x14ac:dyDescent="0.25">
      <c r="J553" t="str">
        <f>IF(H553="","",IFERROR(VLOOKUP(H553,Listas!$J$2:$K$1048576,2,FALSE),""))</f>
        <v/>
      </c>
      <c r="K553" s="5" t="str">
        <f>IF(OR(I553="",G553=""),"",IF(G553="Saída",-I553,I553))</f>
        <v/>
      </c>
      <c r="L553" t="str">
        <f>IF(E553="","",IFERROR(VLOOKUP(E553,Listas!$A$2:$C$1048576,3,FALSE),""))</f>
        <v/>
      </c>
    </row>
    <row r="554" spans="10:12" x14ac:dyDescent="0.25">
      <c r="J554" t="str">
        <f>IF(H554="","",IFERROR(VLOOKUP(H554,Listas!$J$2:$K$1048576,2,FALSE),""))</f>
        <v/>
      </c>
      <c r="K554" s="5" t="str">
        <f>IF(OR(I554="",G554=""),"",IF(G554="Saída",-I554,I554))</f>
        <v/>
      </c>
      <c r="L554" t="str">
        <f>IF(E554="","",IFERROR(VLOOKUP(E554,Listas!$A$2:$C$1048576,3,FALSE),""))</f>
        <v/>
      </c>
    </row>
    <row r="555" spans="10:12" x14ac:dyDescent="0.25">
      <c r="J555" t="str">
        <f>IF(H555="","",IFERROR(VLOOKUP(H555,Listas!$J$2:$K$1048576,2,FALSE),""))</f>
        <v/>
      </c>
      <c r="K555" s="5" t="str">
        <f>IF(OR(I555="",G555=""),"",IF(G555="Saída",-I555,I555))</f>
        <v/>
      </c>
      <c r="L555" t="str">
        <f>IF(E555="","",IFERROR(VLOOKUP(E555,Listas!$A$2:$C$1048576,3,FALSE),""))</f>
        <v/>
      </c>
    </row>
    <row r="556" spans="10:12" x14ac:dyDescent="0.25">
      <c r="J556" t="str">
        <f>IF(H556="","",IFERROR(VLOOKUP(H556,Listas!$J$2:$K$1048576,2,FALSE),""))</f>
        <v/>
      </c>
      <c r="K556" s="5" t="str">
        <f>IF(OR(I556="",G556=""),"",IF(G556="Saída",-I556,I556))</f>
        <v/>
      </c>
      <c r="L556" t="str">
        <f>IF(E556="","",IFERROR(VLOOKUP(E556,Listas!$A$2:$C$1048576,3,FALSE),""))</f>
        <v/>
      </c>
    </row>
    <row r="557" spans="10:12" x14ac:dyDescent="0.25">
      <c r="J557" t="str">
        <f>IF(H557="","",IFERROR(VLOOKUP(H557,Listas!$J$2:$K$1048576,2,FALSE),""))</f>
        <v/>
      </c>
      <c r="K557" s="5" t="str">
        <f>IF(OR(I557="",G557=""),"",IF(G557="Saída",-I557,I557))</f>
        <v/>
      </c>
      <c r="L557" t="str">
        <f>IF(E557="","",IFERROR(VLOOKUP(E557,Listas!$A$2:$C$1048576,3,FALSE),""))</f>
        <v/>
      </c>
    </row>
    <row r="558" spans="10:12" x14ac:dyDescent="0.25">
      <c r="J558" t="str">
        <f>IF(H558="","",IFERROR(VLOOKUP(H558,Listas!$J$2:$K$1048576,2,FALSE),""))</f>
        <v/>
      </c>
      <c r="K558" s="5" t="str">
        <f>IF(OR(I558="",G558=""),"",IF(G558="Saída",-I558,I558))</f>
        <v/>
      </c>
      <c r="L558" t="str">
        <f>IF(E558="","",IFERROR(VLOOKUP(E558,Listas!$A$2:$C$1048576,3,FALSE),""))</f>
        <v/>
      </c>
    </row>
    <row r="559" spans="10:12" x14ac:dyDescent="0.25">
      <c r="J559" t="str">
        <f>IF(H559="","",IFERROR(VLOOKUP(H559,Listas!$J$2:$K$1048576,2,FALSE),""))</f>
        <v/>
      </c>
      <c r="K559" s="5" t="str">
        <f>IF(OR(I559="",G559=""),"",IF(G559="Saída",-I559,I559))</f>
        <v/>
      </c>
      <c r="L559" t="str">
        <f>IF(E559="","",IFERROR(VLOOKUP(E559,Listas!$A$2:$C$1048576,3,FALSE),""))</f>
        <v/>
      </c>
    </row>
    <row r="560" spans="10:12" x14ac:dyDescent="0.25">
      <c r="J560" t="str">
        <f>IF(H560="","",IFERROR(VLOOKUP(H560,Listas!$J$2:$K$1048576,2,FALSE),""))</f>
        <v/>
      </c>
      <c r="K560" s="5" t="str">
        <f>IF(OR(I560="",G560=""),"",IF(G560="Saída",-I560,I560))</f>
        <v/>
      </c>
      <c r="L560" t="str">
        <f>IF(E560="","",IFERROR(VLOOKUP(E560,Listas!$A$2:$C$1048576,3,FALSE),""))</f>
        <v/>
      </c>
    </row>
    <row r="561" spans="10:12" x14ac:dyDescent="0.25">
      <c r="J561" t="str">
        <f>IF(H561="","",IFERROR(VLOOKUP(H561,Listas!$J$2:$K$1048576,2,FALSE),""))</f>
        <v/>
      </c>
      <c r="K561" s="5" t="str">
        <f>IF(OR(I561="",G561=""),"",IF(G561="Saída",-I561,I561))</f>
        <v/>
      </c>
      <c r="L561" t="str">
        <f>IF(E561="","",IFERROR(VLOOKUP(E561,Listas!$A$2:$C$1048576,3,FALSE),""))</f>
        <v/>
      </c>
    </row>
    <row r="562" spans="10:12" x14ac:dyDescent="0.25">
      <c r="J562" t="str">
        <f>IF(H562="","",IFERROR(VLOOKUP(H562,Listas!$J$2:$K$1048576,2,FALSE),""))</f>
        <v/>
      </c>
      <c r="K562" s="5" t="str">
        <f>IF(OR(I562="",G562=""),"",IF(G562="Saída",-I562,I562))</f>
        <v/>
      </c>
      <c r="L562" t="str">
        <f>IF(E562="","",IFERROR(VLOOKUP(E562,Listas!$A$2:$C$1048576,3,FALSE),""))</f>
        <v/>
      </c>
    </row>
    <row r="563" spans="10:12" x14ac:dyDescent="0.25">
      <c r="J563" t="str">
        <f>IF(H563="","",IFERROR(VLOOKUP(H563,Listas!$J$2:$K$1048576,2,FALSE),""))</f>
        <v/>
      </c>
      <c r="K563" s="5" t="str">
        <f>IF(OR(I563="",G563=""),"",IF(G563="Saída",-I563,I563))</f>
        <v/>
      </c>
      <c r="L563" t="str">
        <f>IF(E563="","",IFERROR(VLOOKUP(E563,Listas!$A$2:$C$1048576,3,FALSE),""))</f>
        <v/>
      </c>
    </row>
    <row r="564" spans="10:12" x14ac:dyDescent="0.25">
      <c r="J564" t="str">
        <f>IF(H564="","",IFERROR(VLOOKUP(H564,Listas!$J$2:$K$1048576,2,FALSE),""))</f>
        <v/>
      </c>
      <c r="K564" s="5" t="str">
        <f>IF(OR(I564="",G564=""),"",IF(G564="Saída",-I564,I564))</f>
        <v/>
      </c>
      <c r="L564" t="str">
        <f>IF(E564="","",IFERROR(VLOOKUP(E564,Listas!$A$2:$C$1048576,3,FALSE),""))</f>
        <v/>
      </c>
    </row>
    <row r="565" spans="10:12" x14ac:dyDescent="0.25">
      <c r="J565" t="str">
        <f>IF(H565="","",IFERROR(VLOOKUP(H565,Listas!$J$2:$K$1048576,2,FALSE),""))</f>
        <v/>
      </c>
      <c r="K565" s="5" t="str">
        <f>IF(OR(I565="",G565=""),"",IF(G565="Saída",-I565,I565))</f>
        <v/>
      </c>
      <c r="L565" t="str">
        <f>IF(E565="","",IFERROR(VLOOKUP(E565,Listas!$A$2:$C$1048576,3,FALSE),""))</f>
        <v/>
      </c>
    </row>
    <row r="566" spans="10:12" x14ac:dyDescent="0.25">
      <c r="J566" t="str">
        <f>IF(H566="","",IFERROR(VLOOKUP(H566,Listas!$J$2:$K$1048576,2,FALSE),""))</f>
        <v/>
      </c>
      <c r="K566" s="5" t="str">
        <f>IF(OR(I566="",G566=""),"",IF(G566="Saída",-I566,I566))</f>
        <v/>
      </c>
      <c r="L566" t="str">
        <f>IF(E566="","",IFERROR(VLOOKUP(E566,Listas!$A$2:$C$1048576,3,FALSE),""))</f>
        <v/>
      </c>
    </row>
    <row r="567" spans="10:12" x14ac:dyDescent="0.25">
      <c r="J567" t="str">
        <f>IF(H567="","",IFERROR(VLOOKUP(H567,Listas!$J$2:$K$1048576,2,FALSE),""))</f>
        <v/>
      </c>
      <c r="K567" s="5" t="str">
        <f>IF(OR(I567="",G567=""),"",IF(G567="Saída",-I567,I567))</f>
        <v/>
      </c>
      <c r="L567" t="str">
        <f>IF(E567="","",IFERROR(VLOOKUP(E567,Listas!$A$2:$C$1048576,3,FALSE),""))</f>
        <v/>
      </c>
    </row>
    <row r="568" spans="10:12" x14ac:dyDescent="0.25">
      <c r="J568" t="str">
        <f>IF(H568="","",IFERROR(VLOOKUP(H568,Listas!$J$2:$K$1048576,2,FALSE),""))</f>
        <v/>
      </c>
      <c r="K568" s="5" t="str">
        <f>IF(OR(I568="",G568=""),"",IF(G568="Saída",-I568,I568))</f>
        <v/>
      </c>
      <c r="L568" t="str">
        <f>IF(E568="","",IFERROR(VLOOKUP(E568,Listas!$A$2:$C$1048576,3,FALSE),""))</f>
        <v/>
      </c>
    </row>
    <row r="569" spans="10:12" x14ac:dyDescent="0.25">
      <c r="J569" t="str">
        <f>IF(H569="","",IFERROR(VLOOKUP(H569,Listas!$J$2:$K$1048576,2,FALSE),""))</f>
        <v/>
      </c>
      <c r="K569" s="5" t="str">
        <f>IF(OR(I569="",G569=""),"",IF(G569="Saída",-I569,I569))</f>
        <v/>
      </c>
      <c r="L569" t="str">
        <f>IF(E569="","",IFERROR(VLOOKUP(E569,Listas!$A$2:$C$1048576,3,FALSE),""))</f>
        <v/>
      </c>
    </row>
    <row r="570" spans="10:12" x14ac:dyDescent="0.25">
      <c r="J570" t="str">
        <f>IF(H570="","",IFERROR(VLOOKUP(H570,Listas!$J$2:$K$1048576,2,FALSE),""))</f>
        <v/>
      </c>
      <c r="K570" s="5" t="str">
        <f>IF(OR(I570="",G570=""),"",IF(G570="Saída",-I570,I570))</f>
        <v/>
      </c>
      <c r="L570" t="str">
        <f>IF(E570="","",IFERROR(VLOOKUP(E570,Listas!$A$2:$C$1048576,3,FALSE),""))</f>
        <v/>
      </c>
    </row>
    <row r="571" spans="10:12" x14ac:dyDescent="0.25">
      <c r="J571" t="str">
        <f>IF(H571="","",IFERROR(VLOOKUP(H571,Listas!$J$2:$K$1048576,2,FALSE),""))</f>
        <v/>
      </c>
      <c r="K571" s="5" t="str">
        <f>IF(OR(I571="",G571=""),"",IF(G571="Saída",-I571,I571))</f>
        <v/>
      </c>
      <c r="L571" t="str">
        <f>IF(E571="","",IFERROR(VLOOKUP(E571,Listas!$A$2:$C$1048576,3,FALSE),""))</f>
        <v/>
      </c>
    </row>
    <row r="572" spans="10:12" x14ac:dyDescent="0.25">
      <c r="J572" t="str">
        <f>IF(H572="","",IFERROR(VLOOKUP(H572,Listas!$J$2:$K$1048576,2,FALSE),""))</f>
        <v/>
      </c>
      <c r="K572" s="5" t="str">
        <f>IF(OR(I572="",G572=""),"",IF(G572="Saída",-I572,I572))</f>
        <v/>
      </c>
      <c r="L572" t="str">
        <f>IF(E572="","",IFERROR(VLOOKUP(E572,Listas!$A$2:$C$1048576,3,FALSE),""))</f>
        <v/>
      </c>
    </row>
    <row r="573" spans="10:12" x14ac:dyDescent="0.25">
      <c r="J573" t="str">
        <f>IF(H573="","",IFERROR(VLOOKUP(H573,Listas!$J$2:$K$1048576,2,FALSE),""))</f>
        <v/>
      </c>
      <c r="K573" s="5" t="str">
        <f>IF(OR(I573="",G573=""),"",IF(G573="Saída",-I573,I573))</f>
        <v/>
      </c>
      <c r="L573" t="str">
        <f>IF(E573="","",IFERROR(VLOOKUP(E573,Listas!$A$2:$C$1048576,3,FALSE),""))</f>
        <v/>
      </c>
    </row>
    <row r="574" spans="10:12" x14ac:dyDescent="0.25">
      <c r="J574" t="str">
        <f>IF(H574="","",IFERROR(VLOOKUP(H574,Listas!$J$2:$K$1048576,2,FALSE),""))</f>
        <v/>
      </c>
      <c r="K574" s="5" t="str">
        <f>IF(OR(I574="",G574=""),"",IF(G574="Saída",-I574,I574))</f>
        <v/>
      </c>
      <c r="L574" t="str">
        <f>IF(E574="","",IFERROR(VLOOKUP(E574,Listas!$A$2:$C$1048576,3,FALSE),""))</f>
        <v/>
      </c>
    </row>
    <row r="575" spans="10:12" x14ac:dyDescent="0.25">
      <c r="J575" t="str">
        <f>IF(H575="","",IFERROR(VLOOKUP(H575,Listas!$J$2:$K$1048576,2,FALSE),""))</f>
        <v/>
      </c>
      <c r="K575" s="5" t="str">
        <f>IF(OR(I575="",G575=""),"",IF(G575="Saída",-I575,I575))</f>
        <v/>
      </c>
      <c r="L575" t="str">
        <f>IF(E575="","",IFERROR(VLOOKUP(E575,Listas!$A$2:$C$1048576,3,FALSE),""))</f>
        <v/>
      </c>
    </row>
    <row r="576" spans="10:12" x14ac:dyDescent="0.25">
      <c r="J576" t="str">
        <f>IF(H576="","",IFERROR(VLOOKUP(H576,Listas!$J$2:$K$1048576,2,FALSE),""))</f>
        <v/>
      </c>
      <c r="K576" s="5" t="str">
        <f>IF(OR(I576="",G576=""),"",IF(G576="Saída",-I576,I576))</f>
        <v/>
      </c>
      <c r="L576" t="str">
        <f>IF(E576="","",IFERROR(VLOOKUP(E576,Listas!$A$2:$C$1048576,3,FALSE),""))</f>
        <v/>
      </c>
    </row>
    <row r="577" spans="10:12" x14ac:dyDescent="0.25">
      <c r="J577" t="str">
        <f>IF(H577="","",IFERROR(VLOOKUP(H577,Listas!$J$2:$K$1048576,2,FALSE),""))</f>
        <v/>
      </c>
      <c r="K577" s="5" t="str">
        <f>IF(OR(I577="",G577=""),"",IF(G577="Saída",-I577,I577))</f>
        <v/>
      </c>
      <c r="L577" t="str">
        <f>IF(E577="","",IFERROR(VLOOKUP(E577,Listas!$A$2:$C$1048576,3,FALSE),""))</f>
        <v/>
      </c>
    </row>
    <row r="578" spans="10:12" x14ac:dyDescent="0.25">
      <c r="J578" t="str">
        <f>IF(H578="","",IFERROR(VLOOKUP(H578,Listas!$J$2:$K$1048576,2,FALSE),""))</f>
        <v/>
      </c>
      <c r="K578" s="5" t="str">
        <f>IF(OR(I578="",G578=""),"",IF(G578="Saída",-I578,I578))</f>
        <v/>
      </c>
      <c r="L578" t="str">
        <f>IF(E578="","",IFERROR(VLOOKUP(E578,Listas!$A$2:$C$1048576,3,FALSE),""))</f>
        <v/>
      </c>
    </row>
    <row r="579" spans="10:12" x14ac:dyDescent="0.25">
      <c r="J579" t="str">
        <f>IF(H579="","",IFERROR(VLOOKUP(H579,Listas!$J$2:$K$1048576,2,FALSE),""))</f>
        <v/>
      </c>
      <c r="K579" s="5" t="str">
        <f>IF(OR(I579="",G579=""),"",IF(G579="Saída",-I579,I579))</f>
        <v/>
      </c>
      <c r="L579" t="str">
        <f>IF(E579="","",IFERROR(VLOOKUP(E579,Listas!$A$2:$C$1048576,3,FALSE),""))</f>
        <v/>
      </c>
    </row>
    <row r="580" spans="10:12" x14ac:dyDescent="0.25">
      <c r="J580" t="str">
        <f>IF(H580="","",IFERROR(VLOOKUP(H580,Listas!$J$2:$K$1048576,2,FALSE),""))</f>
        <v/>
      </c>
      <c r="K580" s="5" t="str">
        <f>IF(OR(I580="",G580=""),"",IF(G580="Saída",-I580,I580))</f>
        <v/>
      </c>
      <c r="L580" t="str">
        <f>IF(E580="","",IFERROR(VLOOKUP(E580,Listas!$A$2:$C$1048576,3,FALSE),""))</f>
        <v/>
      </c>
    </row>
    <row r="581" spans="10:12" x14ac:dyDescent="0.25">
      <c r="J581" t="str">
        <f>IF(H581="","",IFERROR(VLOOKUP(H581,Listas!$J$2:$K$1048576,2,FALSE),""))</f>
        <v/>
      </c>
      <c r="K581" s="5" t="str">
        <f>IF(OR(I581="",G581=""),"",IF(G581="Saída",-I581,I581))</f>
        <v/>
      </c>
      <c r="L581" t="str">
        <f>IF(E581="","",IFERROR(VLOOKUP(E581,Listas!$A$2:$C$1048576,3,FALSE),""))</f>
        <v/>
      </c>
    </row>
    <row r="582" spans="10:12" x14ac:dyDescent="0.25">
      <c r="J582" t="str">
        <f>IF(H582="","",IFERROR(VLOOKUP(H582,Listas!$J$2:$K$1048576,2,FALSE),""))</f>
        <v/>
      </c>
      <c r="K582" s="5" t="str">
        <f>IF(OR(I582="",G582=""),"",IF(G582="Saída",-I582,I582))</f>
        <v/>
      </c>
      <c r="L582" t="str">
        <f>IF(E582="","",IFERROR(VLOOKUP(E582,Listas!$A$2:$C$1048576,3,FALSE),""))</f>
        <v/>
      </c>
    </row>
    <row r="583" spans="10:12" x14ac:dyDescent="0.25">
      <c r="J583" t="str">
        <f>IF(H583="","",IFERROR(VLOOKUP(H583,Listas!$J$2:$K$1048576,2,FALSE),""))</f>
        <v/>
      </c>
      <c r="K583" s="5" t="str">
        <f>IF(OR(I583="",G583=""),"",IF(G583="Saída",-I583,I583))</f>
        <v/>
      </c>
      <c r="L583" t="str">
        <f>IF(E583="","",IFERROR(VLOOKUP(E583,Listas!$A$2:$C$1048576,3,FALSE),""))</f>
        <v/>
      </c>
    </row>
    <row r="584" spans="10:12" x14ac:dyDescent="0.25">
      <c r="J584" t="str">
        <f>IF(H584="","",IFERROR(VLOOKUP(H584,Listas!$J$2:$K$1048576,2,FALSE),""))</f>
        <v/>
      </c>
      <c r="K584" s="5" t="str">
        <f>IF(OR(I584="",G584=""),"",IF(G584="Saída",-I584,I584))</f>
        <v/>
      </c>
      <c r="L584" t="str">
        <f>IF(E584="","",IFERROR(VLOOKUP(E584,Listas!$A$2:$C$1048576,3,FALSE),""))</f>
        <v/>
      </c>
    </row>
    <row r="585" spans="10:12" x14ac:dyDescent="0.25">
      <c r="J585" t="str">
        <f>IF(H585="","",IFERROR(VLOOKUP(H585,Listas!$J$2:$K$1048576,2,FALSE),""))</f>
        <v/>
      </c>
      <c r="K585" s="5" t="str">
        <f>IF(OR(I585="",G585=""),"",IF(G585="Saída",-I585,I585))</f>
        <v/>
      </c>
      <c r="L585" t="str">
        <f>IF(E585="","",IFERROR(VLOOKUP(E585,Listas!$A$2:$C$1048576,3,FALSE),""))</f>
        <v/>
      </c>
    </row>
    <row r="586" spans="10:12" x14ac:dyDescent="0.25">
      <c r="J586" t="str">
        <f>IF(H586="","",IFERROR(VLOOKUP(H586,Listas!$J$2:$K$1048576,2,FALSE),""))</f>
        <v/>
      </c>
      <c r="K586" s="5" t="str">
        <f>IF(OR(I586="",G586=""),"",IF(G586="Saída",-I586,I586))</f>
        <v/>
      </c>
      <c r="L586" t="str">
        <f>IF(E586="","",IFERROR(VLOOKUP(E586,Listas!$A$2:$C$1048576,3,FALSE),""))</f>
        <v/>
      </c>
    </row>
    <row r="587" spans="10:12" x14ac:dyDescent="0.25">
      <c r="J587" t="str">
        <f>IF(H587="","",IFERROR(VLOOKUP(H587,Listas!$J$2:$K$1048576,2,FALSE),""))</f>
        <v/>
      </c>
      <c r="K587" s="5" t="str">
        <f>IF(OR(I587="",G587=""),"",IF(G587="Saída",-I587,I587))</f>
        <v/>
      </c>
      <c r="L587" t="str">
        <f>IF(E587="","",IFERROR(VLOOKUP(E587,Listas!$A$2:$C$1048576,3,FALSE),""))</f>
        <v/>
      </c>
    </row>
    <row r="588" spans="10:12" x14ac:dyDescent="0.25">
      <c r="J588" t="str">
        <f>IF(H588="","",IFERROR(VLOOKUP(H588,Listas!$J$2:$K$1048576,2,FALSE),""))</f>
        <v/>
      </c>
      <c r="K588" s="5" t="str">
        <f>IF(OR(I588="",G588=""),"",IF(G588="Saída",-I588,I588))</f>
        <v/>
      </c>
      <c r="L588" t="str">
        <f>IF(E588="","",IFERROR(VLOOKUP(E588,Listas!$A$2:$C$1048576,3,FALSE),""))</f>
        <v/>
      </c>
    </row>
    <row r="589" spans="10:12" x14ac:dyDescent="0.25">
      <c r="J589" t="str">
        <f>IF(H589="","",IFERROR(VLOOKUP(H589,Listas!$J$2:$K$1048576,2,FALSE),""))</f>
        <v/>
      </c>
      <c r="K589" s="5" t="str">
        <f>IF(OR(I589="",G589=""),"",IF(G589="Saída",-I589,I589))</f>
        <v/>
      </c>
      <c r="L589" t="str">
        <f>IF(E589="","",IFERROR(VLOOKUP(E589,Listas!$A$2:$C$1048576,3,FALSE),""))</f>
        <v/>
      </c>
    </row>
    <row r="590" spans="10:12" x14ac:dyDescent="0.25">
      <c r="J590" t="str">
        <f>IF(H590="","",IFERROR(VLOOKUP(H590,Listas!$J$2:$K$1048576,2,FALSE),""))</f>
        <v/>
      </c>
      <c r="K590" s="5" t="str">
        <f>IF(OR(I590="",G590=""),"",IF(G590="Saída",-I590,I590))</f>
        <v/>
      </c>
      <c r="L590" t="str">
        <f>IF(E590="","",IFERROR(VLOOKUP(E590,Listas!$A$2:$C$1048576,3,FALSE),""))</f>
        <v/>
      </c>
    </row>
    <row r="591" spans="10:12" x14ac:dyDescent="0.25">
      <c r="J591" t="str">
        <f>IF(H591="","",IFERROR(VLOOKUP(H591,Listas!$J$2:$K$1048576,2,FALSE),""))</f>
        <v/>
      </c>
      <c r="K591" s="5" t="str">
        <f>IF(OR(I591="",G591=""),"",IF(G591="Saída",-I591,I591))</f>
        <v/>
      </c>
      <c r="L591" t="str">
        <f>IF(E591="","",IFERROR(VLOOKUP(E591,Listas!$A$2:$C$1048576,3,FALSE),""))</f>
        <v/>
      </c>
    </row>
    <row r="592" spans="10:12" x14ac:dyDescent="0.25">
      <c r="J592" t="str">
        <f>IF(H592="","",IFERROR(VLOOKUP(H592,Listas!$J$2:$K$1048576,2,FALSE),""))</f>
        <v/>
      </c>
      <c r="K592" s="5" t="str">
        <f>IF(OR(I592="",G592=""),"",IF(G592="Saída",-I592,I592))</f>
        <v/>
      </c>
      <c r="L592" t="str">
        <f>IF(E592="","",IFERROR(VLOOKUP(E592,Listas!$A$2:$C$1048576,3,FALSE),""))</f>
        <v/>
      </c>
    </row>
    <row r="593" spans="10:12" x14ac:dyDescent="0.25">
      <c r="J593" t="str">
        <f>IF(H593="","",IFERROR(VLOOKUP(H593,Listas!$J$2:$K$1048576,2,FALSE),""))</f>
        <v/>
      </c>
      <c r="K593" s="5" t="str">
        <f>IF(OR(I593="",G593=""),"",IF(G593="Saída",-I593,I593))</f>
        <v/>
      </c>
      <c r="L593" t="str">
        <f>IF(E593="","",IFERROR(VLOOKUP(E593,Listas!$A$2:$C$1048576,3,FALSE),""))</f>
        <v/>
      </c>
    </row>
    <row r="594" spans="10:12" x14ac:dyDescent="0.25">
      <c r="J594" t="str">
        <f>IF(H594="","",IFERROR(VLOOKUP(H594,Listas!$J$2:$K$1048576,2,FALSE),""))</f>
        <v/>
      </c>
      <c r="K594" s="5" t="str">
        <f>IF(OR(I594="",G594=""),"",IF(G594="Saída",-I594,I594))</f>
        <v/>
      </c>
      <c r="L594" t="str">
        <f>IF(E594="","",IFERROR(VLOOKUP(E594,Listas!$A$2:$C$1048576,3,FALSE),""))</f>
        <v/>
      </c>
    </row>
    <row r="595" spans="10:12" x14ac:dyDescent="0.25">
      <c r="J595" t="str">
        <f>IF(H595="","",IFERROR(VLOOKUP(H595,Listas!$J$2:$K$1048576,2,FALSE),""))</f>
        <v/>
      </c>
      <c r="K595" s="5" t="str">
        <f>IF(OR(I595="",G595=""),"",IF(G595="Saída",-I595,I595))</f>
        <v/>
      </c>
      <c r="L595" t="str">
        <f>IF(E595="","",IFERROR(VLOOKUP(E595,Listas!$A$2:$C$1048576,3,FALSE),""))</f>
        <v/>
      </c>
    </row>
    <row r="596" spans="10:12" x14ac:dyDescent="0.25">
      <c r="J596" t="str">
        <f>IF(H596="","",IFERROR(VLOOKUP(H596,Listas!$J$2:$K$1048576,2,FALSE),""))</f>
        <v/>
      </c>
      <c r="K596" s="5" t="str">
        <f>IF(OR(I596="",G596=""),"",IF(G596="Saída",-I596,I596))</f>
        <v/>
      </c>
      <c r="L596" t="str">
        <f>IF(E596="","",IFERROR(VLOOKUP(E596,Listas!$A$2:$C$1048576,3,FALSE),""))</f>
        <v/>
      </c>
    </row>
    <row r="597" spans="10:12" x14ac:dyDescent="0.25">
      <c r="J597" t="str">
        <f>IF(H597="","",IFERROR(VLOOKUP(H597,Listas!$J$2:$K$1048576,2,FALSE),""))</f>
        <v/>
      </c>
      <c r="K597" s="5" t="str">
        <f>IF(OR(I597="",G597=""),"",IF(G597="Saída",-I597,I597))</f>
        <v/>
      </c>
      <c r="L597" t="str">
        <f>IF(E597="","",IFERROR(VLOOKUP(E597,Listas!$A$2:$C$1048576,3,FALSE),""))</f>
        <v/>
      </c>
    </row>
    <row r="598" spans="10:12" x14ac:dyDescent="0.25">
      <c r="J598" t="str">
        <f>IF(H598="","",IFERROR(VLOOKUP(H598,Listas!$J$2:$K$1048576,2,FALSE),""))</f>
        <v/>
      </c>
      <c r="K598" s="5" t="str">
        <f>IF(OR(I598="",G598=""),"",IF(G598="Saída",-I598,I598))</f>
        <v/>
      </c>
      <c r="L598" t="str">
        <f>IF(E598="","",IFERROR(VLOOKUP(E598,Listas!$A$2:$C$1048576,3,FALSE),""))</f>
        <v/>
      </c>
    </row>
    <row r="599" spans="10:12" x14ac:dyDescent="0.25">
      <c r="J599" t="str">
        <f>IF(H599="","",IFERROR(VLOOKUP(H599,Listas!$J$2:$K$1048576,2,FALSE),""))</f>
        <v/>
      </c>
      <c r="K599" s="5" t="str">
        <f>IF(OR(I599="",G599=""),"",IF(G599="Saída",-I599,I599))</f>
        <v/>
      </c>
      <c r="L599" t="str">
        <f>IF(E599="","",IFERROR(VLOOKUP(E599,Listas!$A$2:$C$1048576,3,FALSE),""))</f>
        <v/>
      </c>
    </row>
    <row r="600" spans="10:12" x14ac:dyDescent="0.25">
      <c r="J600" t="str">
        <f>IF(H600="","",IFERROR(VLOOKUP(H600,Listas!$J$2:$K$1048576,2,FALSE),""))</f>
        <v/>
      </c>
      <c r="K600" s="5" t="str">
        <f>IF(OR(I600="",G600=""),"",IF(G600="Saída",-I600,I600))</f>
        <v/>
      </c>
      <c r="L600" t="str">
        <f>IF(E600="","",IFERROR(VLOOKUP(E600,Listas!$A$2:$C$1048576,3,FALSE),""))</f>
        <v/>
      </c>
    </row>
    <row r="601" spans="10:12" x14ac:dyDescent="0.25">
      <c r="J601" t="str">
        <f>IF(H601="","",IFERROR(VLOOKUP(H601,Listas!$J$2:$K$1048576,2,FALSE),""))</f>
        <v/>
      </c>
      <c r="K601" s="5" t="str">
        <f>IF(OR(I601="",G601=""),"",IF(G601="Saída",-I601,I601))</f>
        <v/>
      </c>
      <c r="L601" t="str">
        <f>IF(E601="","",IFERROR(VLOOKUP(E601,Listas!$A$2:$C$1048576,3,FALSE),""))</f>
        <v/>
      </c>
    </row>
    <row r="602" spans="10:12" x14ac:dyDescent="0.25">
      <c r="J602" t="str">
        <f>IF(H602="","",IFERROR(VLOOKUP(H602,Listas!$J$2:$K$1048576,2,FALSE),""))</f>
        <v/>
      </c>
      <c r="K602" s="5" t="str">
        <f>IF(OR(I602="",G602=""),"",IF(G602="Saída",-I602,I602))</f>
        <v/>
      </c>
      <c r="L602" t="str">
        <f>IF(E602="","",IFERROR(VLOOKUP(E602,Listas!$A$2:$C$1048576,3,FALSE),""))</f>
        <v/>
      </c>
    </row>
    <row r="603" spans="10:12" x14ac:dyDescent="0.25">
      <c r="J603" t="str">
        <f>IF(H603="","",IFERROR(VLOOKUP(H603,Listas!$J$2:$K$1048576,2,FALSE),""))</f>
        <v/>
      </c>
      <c r="K603" s="5" t="str">
        <f>IF(OR(I603="",G603=""),"",IF(G603="Saída",-I603,I603))</f>
        <v/>
      </c>
      <c r="L603" t="str">
        <f>IF(E603="","",IFERROR(VLOOKUP(E603,Listas!$A$2:$C$1048576,3,FALSE),""))</f>
        <v/>
      </c>
    </row>
    <row r="604" spans="10:12" x14ac:dyDescent="0.25">
      <c r="J604" t="str">
        <f>IF(H604="","",IFERROR(VLOOKUP(H604,Listas!$J$2:$K$1048576,2,FALSE),""))</f>
        <v/>
      </c>
      <c r="K604" s="5" t="str">
        <f>IF(OR(I604="",G604=""),"",IF(G604="Saída",-I604,I604))</f>
        <v/>
      </c>
      <c r="L604" t="str">
        <f>IF(E604="","",IFERROR(VLOOKUP(E604,Listas!$A$2:$C$1048576,3,FALSE),""))</f>
        <v/>
      </c>
    </row>
    <row r="605" spans="10:12" x14ac:dyDescent="0.25">
      <c r="J605" t="str">
        <f>IF(H605="","",IFERROR(VLOOKUP(H605,Listas!$J$2:$K$1048576,2,FALSE),""))</f>
        <v/>
      </c>
      <c r="K605" s="5" t="str">
        <f>IF(OR(I605="",G605=""),"",IF(G605="Saída",-I605,I605))</f>
        <v/>
      </c>
      <c r="L605" t="str">
        <f>IF(E605="","",IFERROR(VLOOKUP(E605,Listas!$A$2:$C$1048576,3,FALSE),""))</f>
        <v/>
      </c>
    </row>
    <row r="606" spans="10:12" x14ac:dyDescent="0.25">
      <c r="J606" t="str">
        <f>IF(H606="","",IFERROR(VLOOKUP(H606,Listas!$J$2:$K$1048576,2,FALSE),""))</f>
        <v/>
      </c>
      <c r="K606" s="5" t="str">
        <f>IF(OR(I606="",G606=""),"",IF(G606="Saída",-I606,I606))</f>
        <v/>
      </c>
      <c r="L606" t="str">
        <f>IF(E606="","",IFERROR(VLOOKUP(E606,Listas!$A$2:$C$1048576,3,FALSE),""))</f>
        <v/>
      </c>
    </row>
    <row r="607" spans="10:12" x14ac:dyDescent="0.25">
      <c r="J607" t="str">
        <f>IF(H607="","",IFERROR(VLOOKUP(H607,Listas!$J$2:$K$1048576,2,FALSE),""))</f>
        <v/>
      </c>
      <c r="K607" s="5" t="str">
        <f>IF(OR(I607="",G607=""),"",IF(G607="Saída",-I607,I607))</f>
        <v/>
      </c>
      <c r="L607" t="str">
        <f>IF(E607="","",IFERROR(VLOOKUP(E607,Listas!$A$2:$C$1048576,3,FALSE),""))</f>
        <v/>
      </c>
    </row>
    <row r="608" spans="10:12" x14ac:dyDescent="0.25">
      <c r="J608" t="str">
        <f>IF(H608="","",IFERROR(VLOOKUP(H608,Listas!$J$2:$K$1048576,2,FALSE),""))</f>
        <v/>
      </c>
      <c r="K608" s="5" t="str">
        <f>IF(OR(I608="",G608=""),"",IF(G608="Saída",-I608,I608))</f>
        <v/>
      </c>
      <c r="L608" t="str">
        <f>IF(E608="","",IFERROR(VLOOKUP(E608,Listas!$A$2:$C$1048576,3,FALSE),""))</f>
        <v/>
      </c>
    </row>
    <row r="609" spans="10:12" x14ac:dyDescent="0.25">
      <c r="J609" t="str">
        <f>IF(H609="","",IFERROR(VLOOKUP(H609,Listas!$J$2:$K$1048576,2,FALSE),""))</f>
        <v/>
      </c>
      <c r="K609" s="5" t="str">
        <f>IF(OR(I609="",G609=""),"",IF(G609="Saída",-I609,I609))</f>
        <v/>
      </c>
      <c r="L609" t="str">
        <f>IF(E609="","",IFERROR(VLOOKUP(E609,Listas!$A$2:$C$1048576,3,FALSE),""))</f>
        <v/>
      </c>
    </row>
    <row r="610" spans="10:12" x14ac:dyDescent="0.25">
      <c r="J610" t="str">
        <f>IF(H610="","",IFERROR(VLOOKUP(H610,Listas!$J$2:$K$1048576,2,FALSE),""))</f>
        <v/>
      </c>
      <c r="K610" s="5" t="str">
        <f>IF(OR(I610="",G610=""),"",IF(G610="Saída",-I610,I610))</f>
        <v/>
      </c>
      <c r="L610" t="str">
        <f>IF(E610="","",IFERROR(VLOOKUP(E610,Listas!$A$2:$C$1048576,3,FALSE),""))</f>
        <v/>
      </c>
    </row>
    <row r="611" spans="10:12" x14ac:dyDescent="0.25">
      <c r="J611" t="str">
        <f>IF(H611="","",IFERROR(VLOOKUP(H611,Listas!$J$2:$K$1048576,2,FALSE),""))</f>
        <v/>
      </c>
      <c r="K611" s="5" t="str">
        <f>IF(OR(I611="",G611=""),"",IF(G611="Saída",-I611,I611))</f>
        <v/>
      </c>
      <c r="L611" t="str">
        <f>IF(E611="","",IFERROR(VLOOKUP(E611,Listas!$A$2:$C$1048576,3,FALSE),""))</f>
        <v/>
      </c>
    </row>
    <row r="612" spans="10:12" x14ac:dyDescent="0.25">
      <c r="J612" t="str">
        <f>IF(H612="","",IFERROR(VLOOKUP(H612,Listas!$J$2:$K$1048576,2,FALSE),""))</f>
        <v/>
      </c>
      <c r="K612" s="5" t="str">
        <f>IF(OR(I612="",G612=""),"",IF(G612="Saída",-I612,I612))</f>
        <v/>
      </c>
      <c r="L612" t="str">
        <f>IF(E612="","",IFERROR(VLOOKUP(E612,Listas!$A$2:$C$1048576,3,FALSE),""))</f>
        <v/>
      </c>
    </row>
    <row r="613" spans="10:12" x14ac:dyDescent="0.25">
      <c r="J613" t="str">
        <f>IF(H613="","",IFERROR(VLOOKUP(H613,Listas!$J$2:$K$1048576,2,FALSE),""))</f>
        <v/>
      </c>
      <c r="K613" s="5" t="str">
        <f>IF(OR(I613="",G613=""),"",IF(G613="Saída",-I613,I613))</f>
        <v/>
      </c>
      <c r="L613" t="str">
        <f>IF(E613="","",IFERROR(VLOOKUP(E613,Listas!$A$2:$C$1048576,3,FALSE),""))</f>
        <v/>
      </c>
    </row>
    <row r="614" spans="10:12" x14ac:dyDescent="0.25">
      <c r="J614" t="str">
        <f>IF(H614="","",IFERROR(VLOOKUP(H614,Listas!$J$2:$K$1048576,2,FALSE),""))</f>
        <v/>
      </c>
      <c r="K614" s="5" t="str">
        <f>IF(OR(I614="",G614=""),"",IF(G614="Saída",-I614,I614))</f>
        <v/>
      </c>
      <c r="L614" t="str">
        <f>IF(E614="","",IFERROR(VLOOKUP(E614,Listas!$A$2:$C$1048576,3,FALSE),""))</f>
        <v/>
      </c>
    </row>
    <row r="615" spans="10:12" x14ac:dyDescent="0.25">
      <c r="J615" t="str">
        <f>IF(H615="","",IFERROR(VLOOKUP(H615,Listas!$J$2:$K$1048576,2,FALSE),""))</f>
        <v/>
      </c>
      <c r="K615" s="5" t="str">
        <f>IF(OR(I615="",G615=""),"",IF(G615="Saída",-I615,I615))</f>
        <v/>
      </c>
      <c r="L615" t="str">
        <f>IF(E615="","",IFERROR(VLOOKUP(E615,Listas!$A$2:$C$1048576,3,FALSE),""))</f>
        <v/>
      </c>
    </row>
    <row r="616" spans="10:12" x14ac:dyDescent="0.25">
      <c r="J616" t="str">
        <f>IF(H616="","",IFERROR(VLOOKUP(H616,Listas!$J$2:$K$1048576,2,FALSE),""))</f>
        <v/>
      </c>
      <c r="K616" s="5" t="str">
        <f>IF(OR(I616="",G616=""),"",IF(G616="Saída",-I616,I616))</f>
        <v/>
      </c>
      <c r="L616" t="str">
        <f>IF(E616="","",IFERROR(VLOOKUP(E616,Listas!$A$2:$C$1048576,3,FALSE),""))</f>
        <v/>
      </c>
    </row>
    <row r="617" spans="10:12" x14ac:dyDescent="0.25">
      <c r="J617" t="str">
        <f>IF(H617="","",IFERROR(VLOOKUP(H617,Listas!$J$2:$K$1048576,2,FALSE),""))</f>
        <v/>
      </c>
      <c r="K617" s="5" t="str">
        <f>IF(OR(I617="",G617=""),"",IF(G617="Saída",-I617,I617))</f>
        <v/>
      </c>
      <c r="L617" t="str">
        <f>IF(E617="","",IFERROR(VLOOKUP(E617,Listas!$A$2:$C$1048576,3,FALSE),""))</f>
        <v/>
      </c>
    </row>
    <row r="618" spans="10:12" x14ac:dyDescent="0.25">
      <c r="J618" t="str">
        <f>IF(H618="","",IFERROR(VLOOKUP(H618,Listas!$J$2:$K$1048576,2,FALSE),""))</f>
        <v/>
      </c>
      <c r="K618" s="5" t="str">
        <f>IF(OR(I618="",G618=""),"",IF(G618="Saída",-I618,I618))</f>
        <v/>
      </c>
      <c r="L618" t="str">
        <f>IF(E618="","",IFERROR(VLOOKUP(E618,Listas!$A$2:$C$1048576,3,FALSE),""))</f>
        <v/>
      </c>
    </row>
    <row r="619" spans="10:12" x14ac:dyDescent="0.25">
      <c r="J619" t="str">
        <f>IF(H619="","",IFERROR(VLOOKUP(H619,Listas!$J$2:$K$1048576,2,FALSE),""))</f>
        <v/>
      </c>
      <c r="K619" s="5" t="str">
        <f>IF(OR(I619="",G619=""),"",IF(G619="Saída",-I619,I619))</f>
        <v/>
      </c>
      <c r="L619" t="str">
        <f>IF(E619="","",IFERROR(VLOOKUP(E619,Listas!$A$2:$C$1048576,3,FALSE),""))</f>
        <v/>
      </c>
    </row>
    <row r="620" spans="10:12" x14ac:dyDescent="0.25">
      <c r="J620" t="str">
        <f>IF(H620="","",IFERROR(VLOOKUP(H620,Listas!$J$2:$K$1048576,2,FALSE),""))</f>
        <v/>
      </c>
      <c r="K620" s="5" t="str">
        <f>IF(OR(I620="",G620=""),"",IF(G620="Saída",-I620,I620))</f>
        <v/>
      </c>
      <c r="L620" t="str">
        <f>IF(E620="","",IFERROR(VLOOKUP(E620,Listas!$A$2:$C$1048576,3,FALSE),""))</f>
        <v/>
      </c>
    </row>
    <row r="621" spans="10:12" x14ac:dyDescent="0.25">
      <c r="J621" t="str">
        <f>IF(H621="","",IFERROR(VLOOKUP(H621,Listas!$J$2:$K$1048576,2,FALSE),""))</f>
        <v/>
      </c>
      <c r="K621" s="5" t="str">
        <f>IF(OR(I621="",G621=""),"",IF(G621="Saída",-I621,I621))</f>
        <v/>
      </c>
      <c r="L621" t="str">
        <f>IF(E621="","",IFERROR(VLOOKUP(E621,Listas!$A$2:$C$1048576,3,FALSE),""))</f>
        <v/>
      </c>
    </row>
    <row r="622" spans="10:12" x14ac:dyDescent="0.25">
      <c r="J622" t="str">
        <f>IF(H622="","",IFERROR(VLOOKUP(H622,Listas!$J$2:$K$1048576,2,FALSE),""))</f>
        <v/>
      </c>
      <c r="K622" s="5" t="str">
        <f>IF(OR(I622="",G622=""),"",IF(G622="Saída",-I622,I622))</f>
        <v/>
      </c>
      <c r="L622" t="str">
        <f>IF(E622="","",IFERROR(VLOOKUP(E622,Listas!$A$2:$C$1048576,3,FALSE),""))</f>
        <v/>
      </c>
    </row>
    <row r="623" spans="10:12" x14ac:dyDescent="0.25">
      <c r="J623" t="str">
        <f>IF(H623="","",IFERROR(VLOOKUP(H623,Listas!$J$2:$K$1048576,2,FALSE),""))</f>
        <v/>
      </c>
      <c r="K623" s="5" t="str">
        <f>IF(OR(I623="",G623=""),"",IF(G623="Saída",-I623,I623))</f>
        <v/>
      </c>
      <c r="L623" t="str">
        <f>IF(E623="","",IFERROR(VLOOKUP(E623,Listas!$A$2:$C$1048576,3,FALSE),""))</f>
        <v/>
      </c>
    </row>
    <row r="624" spans="10:12" x14ac:dyDescent="0.25">
      <c r="J624" t="str">
        <f>IF(H624="","",IFERROR(VLOOKUP(H624,Listas!$J$2:$K$1048576,2,FALSE),""))</f>
        <v/>
      </c>
      <c r="K624" s="5" t="str">
        <f>IF(OR(I624="",G624=""),"",IF(G624="Saída",-I624,I624))</f>
        <v/>
      </c>
      <c r="L624" t="str">
        <f>IF(E624="","",IFERROR(VLOOKUP(E624,Listas!$A$2:$C$1048576,3,FALSE),""))</f>
        <v/>
      </c>
    </row>
    <row r="625" spans="10:12" x14ac:dyDescent="0.25">
      <c r="J625" t="str">
        <f>IF(H625="","",IFERROR(VLOOKUP(H625,Listas!$J$2:$K$1048576,2,FALSE),""))</f>
        <v/>
      </c>
      <c r="K625" s="5" t="str">
        <f>IF(OR(I625="",G625=""),"",IF(G625="Saída",-I625,I625))</f>
        <v/>
      </c>
      <c r="L625" t="str">
        <f>IF(E625="","",IFERROR(VLOOKUP(E625,Listas!$A$2:$C$1048576,3,FALSE),""))</f>
        <v/>
      </c>
    </row>
    <row r="626" spans="10:12" x14ac:dyDescent="0.25">
      <c r="J626" t="str">
        <f>IF(H626="","",IFERROR(VLOOKUP(H626,Listas!$J$2:$K$1048576,2,FALSE),""))</f>
        <v/>
      </c>
      <c r="K626" s="5" t="str">
        <f>IF(OR(I626="",G626=""),"",IF(G626="Saída",-I626,I626))</f>
        <v/>
      </c>
      <c r="L626" t="str">
        <f>IF(E626="","",IFERROR(VLOOKUP(E626,Listas!$A$2:$C$1048576,3,FALSE),""))</f>
        <v/>
      </c>
    </row>
    <row r="627" spans="10:12" x14ac:dyDescent="0.25">
      <c r="J627" t="str">
        <f>IF(H627="","",IFERROR(VLOOKUP(H627,Listas!$J$2:$K$1048576,2,FALSE),""))</f>
        <v/>
      </c>
      <c r="K627" s="5" t="str">
        <f>IF(OR(I627="",G627=""),"",IF(G627="Saída",-I627,I627))</f>
        <v/>
      </c>
      <c r="L627" t="str">
        <f>IF(E627="","",IFERROR(VLOOKUP(E627,Listas!$A$2:$C$1048576,3,FALSE),""))</f>
        <v/>
      </c>
    </row>
    <row r="628" spans="10:12" x14ac:dyDescent="0.25">
      <c r="J628" t="str">
        <f>IF(H628="","",IFERROR(VLOOKUP(H628,Listas!$J$2:$K$1048576,2,FALSE),""))</f>
        <v/>
      </c>
      <c r="K628" s="5" t="str">
        <f>IF(OR(I628="",G628=""),"",IF(G628="Saída",-I628,I628))</f>
        <v/>
      </c>
      <c r="L628" t="str">
        <f>IF(E628="","",IFERROR(VLOOKUP(E628,Listas!$A$2:$C$1048576,3,FALSE),""))</f>
        <v/>
      </c>
    </row>
    <row r="629" spans="10:12" x14ac:dyDescent="0.25">
      <c r="J629" t="str">
        <f>IF(H629="","",IFERROR(VLOOKUP(H629,Listas!$J$2:$K$1048576,2,FALSE),""))</f>
        <v/>
      </c>
      <c r="K629" s="5" t="str">
        <f>IF(OR(I629="",G629=""),"",IF(G629="Saída",-I629,I629))</f>
        <v/>
      </c>
      <c r="L629" t="str">
        <f>IF(E629="","",IFERROR(VLOOKUP(E629,Listas!$A$2:$C$1048576,3,FALSE),""))</f>
        <v/>
      </c>
    </row>
    <row r="630" spans="10:12" x14ac:dyDescent="0.25">
      <c r="J630" t="str">
        <f>IF(H630="","",IFERROR(VLOOKUP(H630,Listas!$J$2:$K$1048576,2,FALSE),""))</f>
        <v/>
      </c>
      <c r="K630" s="5" t="str">
        <f>IF(OR(I630="",G630=""),"",IF(G630="Saída",-I630,I630))</f>
        <v/>
      </c>
      <c r="L630" t="str">
        <f>IF(E630="","",IFERROR(VLOOKUP(E630,Listas!$A$2:$C$1048576,3,FALSE),""))</f>
        <v/>
      </c>
    </row>
    <row r="631" spans="10:12" x14ac:dyDescent="0.25">
      <c r="J631" t="str">
        <f>IF(H631="","",IFERROR(VLOOKUP(H631,Listas!$J$2:$K$1048576,2,FALSE),""))</f>
        <v/>
      </c>
      <c r="K631" s="5" t="str">
        <f>IF(OR(I631="",G631=""),"",IF(G631="Saída",-I631,I631))</f>
        <v/>
      </c>
      <c r="L631" t="str">
        <f>IF(E631="","",IFERROR(VLOOKUP(E631,Listas!$A$2:$C$1048576,3,FALSE),""))</f>
        <v/>
      </c>
    </row>
    <row r="632" spans="10:12" x14ac:dyDescent="0.25">
      <c r="J632" t="str">
        <f>IF(H632="","",IFERROR(VLOOKUP(H632,Listas!$J$2:$K$1048576,2,FALSE),""))</f>
        <v/>
      </c>
      <c r="K632" s="5" t="str">
        <f>IF(OR(I632="",G632=""),"",IF(G632="Saída",-I632,I632))</f>
        <v/>
      </c>
      <c r="L632" t="str">
        <f>IF(E632="","",IFERROR(VLOOKUP(E632,Listas!$A$2:$C$1048576,3,FALSE),""))</f>
        <v/>
      </c>
    </row>
    <row r="633" spans="10:12" x14ac:dyDescent="0.25">
      <c r="J633" t="str">
        <f>IF(H633="","",IFERROR(VLOOKUP(H633,Listas!$J$2:$K$1048576,2,FALSE),""))</f>
        <v/>
      </c>
      <c r="K633" s="5" t="str">
        <f>IF(OR(I633="",G633=""),"",IF(G633="Saída",-I633,I633))</f>
        <v/>
      </c>
      <c r="L633" t="str">
        <f>IF(E633="","",IFERROR(VLOOKUP(E633,Listas!$A$2:$C$1048576,3,FALSE),""))</f>
        <v/>
      </c>
    </row>
    <row r="634" spans="10:12" x14ac:dyDescent="0.25">
      <c r="J634" t="str">
        <f>IF(H634="","",IFERROR(VLOOKUP(H634,Listas!$J$2:$K$1048576,2,FALSE),""))</f>
        <v/>
      </c>
      <c r="K634" s="5" t="str">
        <f>IF(OR(I634="",G634=""),"",IF(G634="Saída",-I634,I634))</f>
        <v/>
      </c>
      <c r="L634" t="str">
        <f>IF(E634="","",IFERROR(VLOOKUP(E634,Listas!$A$2:$C$1048576,3,FALSE),""))</f>
        <v/>
      </c>
    </row>
    <row r="635" spans="10:12" x14ac:dyDescent="0.25">
      <c r="J635" t="str">
        <f>IF(H635="","",IFERROR(VLOOKUP(H635,Listas!$J$2:$K$1048576,2,FALSE),""))</f>
        <v/>
      </c>
      <c r="K635" s="5" t="str">
        <f>IF(OR(I635="",G635=""),"",IF(G635="Saída",-I635,I635))</f>
        <v/>
      </c>
      <c r="L635" t="str">
        <f>IF(E635="","",IFERROR(VLOOKUP(E635,Listas!$A$2:$C$1048576,3,FALSE),""))</f>
        <v/>
      </c>
    </row>
    <row r="636" spans="10:12" x14ac:dyDescent="0.25">
      <c r="J636" t="str">
        <f>IF(H636="","",IFERROR(VLOOKUP(H636,Listas!$J$2:$K$1048576,2,FALSE),""))</f>
        <v/>
      </c>
      <c r="K636" s="5" t="str">
        <f>IF(OR(I636="",G636=""),"",IF(G636="Saída",-I636,I636))</f>
        <v/>
      </c>
      <c r="L636" t="str">
        <f>IF(E636="","",IFERROR(VLOOKUP(E636,Listas!$A$2:$C$1048576,3,FALSE),""))</f>
        <v/>
      </c>
    </row>
    <row r="637" spans="10:12" x14ac:dyDescent="0.25">
      <c r="J637" t="str">
        <f>IF(H637="","",IFERROR(VLOOKUP(H637,Listas!$J$2:$K$1048576,2,FALSE),""))</f>
        <v/>
      </c>
      <c r="K637" s="5" t="str">
        <f>IF(OR(I637="",G637=""),"",IF(G637="Saída",-I637,I637))</f>
        <v/>
      </c>
      <c r="L637" t="str">
        <f>IF(E637="","",IFERROR(VLOOKUP(E637,Listas!$A$2:$C$1048576,3,FALSE),""))</f>
        <v/>
      </c>
    </row>
    <row r="638" spans="10:12" x14ac:dyDescent="0.25">
      <c r="J638" t="str">
        <f>IF(H638="","",IFERROR(VLOOKUP(H638,Listas!$J$2:$K$1048576,2,FALSE),""))</f>
        <v/>
      </c>
      <c r="K638" s="5" t="str">
        <f>IF(OR(I638="",G638=""),"",IF(G638="Saída",-I638,I638))</f>
        <v/>
      </c>
      <c r="L638" t="str">
        <f>IF(E638="","",IFERROR(VLOOKUP(E638,Listas!$A$2:$C$1048576,3,FALSE),""))</f>
        <v/>
      </c>
    </row>
    <row r="639" spans="10:12" x14ac:dyDescent="0.25">
      <c r="J639" t="str">
        <f>IF(H639="","",IFERROR(VLOOKUP(H639,Listas!$J$2:$K$1048576,2,FALSE),""))</f>
        <v/>
      </c>
      <c r="K639" s="5" t="str">
        <f>IF(OR(I639="",G639=""),"",IF(G639="Saída",-I639,I639))</f>
        <v/>
      </c>
      <c r="L639" t="str">
        <f>IF(E639="","",IFERROR(VLOOKUP(E639,Listas!$A$2:$C$1048576,3,FALSE),""))</f>
        <v/>
      </c>
    </row>
    <row r="640" spans="10:12" x14ac:dyDescent="0.25">
      <c r="J640" t="str">
        <f>IF(H640="","",IFERROR(VLOOKUP(H640,Listas!$J$2:$K$1048576,2,FALSE),""))</f>
        <v/>
      </c>
      <c r="K640" s="5" t="str">
        <f>IF(OR(I640="",G640=""),"",IF(G640="Saída",-I640,I640))</f>
        <v/>
      </c>
      <c r="L640" t="str">
        <f>IF(E640="","",IFERROR(VLOOKUP(E640,Listas!$A$2:$C$1048576,3,FALSE),""))</f>
        <v/>
      </c>
    </row>
    <row r="641" spans="10:12" x14ac:dyDescent="0.25">
      <c r="J641" t="str">
        <f>IF(H641="","",IFERROR(VLOOKUP(H641,Listas!$J$2:$K$1048576,2,FALSE),""))</f>
        <v/>
      </c>
      <c r="K641" s="5" t="str">
        <f>IF(OR(I641="",G641=""),"",IF(G641="Saída",-I641,I641))</f>
        <v/>
      </c>
      <c r="L641" t="str">
        <f>IF(E641="","",IFERROR(VLOOKUP(E641,Listas!$A$2:$C$1048576,3,FALSE),""))</f>
        <v/>
      </c>
    </row>
    <row r="642" spans="10:12" x14ac:dyDescent="0.25">
      <c r="J642" t="str">
        <f>IF(H642="","",IFERROR(VLOOKUP(H642,Listas!$J$2:$K$1048576,2,FALSE),""))</f>
        <v/>
      </c>
      <c r="K642" s="5" t="str">
        <f>IF(OR(I642="",G642=""),"",IF(G642="Saída",-I642,I642))</f>
        <v/>
      </c>
      <c r="L642" t="str">
        <f>IF(E642="","",IFERROR(VLOOKUP(E642,Listas!$A$2:$C$1048576,3,FALSE),""))</f>
        <v/>
      </c>
    </row>
    <row r="643" spans="10:12" x14ac:dyDescent="0.25">
      <c r="J643" t="str">
        <f>IF(H643="","",IFERROR(VLOOKUP(H643,Listas!$J$2:$K$1048576,2,FALSE),""))</f>
        <v/>
      </c>
      <c r="K643" s="5" t="str">
        <f>IF(OR(I643="",G643=""),"",IF(G643="Saída",-I643,I643))</f>
        <v/>
      </c>
      <c r="L643" t="str">
        <f>IF(E643="","",IFERROR(VLOOKUP(E643,Listas!$A$2:$C$1048576,3,FALSE),""))</f>
        <v/>
      </c>
    </row>
    <row r="644" spans="10:12" x14ac:dyDescent="0.25">
      <c r="J644" t="str">
        <f>IF(H644="","",IFERROR(VLOOKUP(H644,Listas!$J$2:$K$1048576,2,FALSE),""))</f>
        <v/>
      </c>
      <c r="K644" s="5" t="str">
        <f>IF(OR(I644="",G644=""),"",IF(G644="Saída",-I644,I644))</f>
        <v/>
      </c>
      <c r="L644" t="str">
        <f>IF(E644="","",IFERROR(VLOOKUP(E644,Listas!$A$2:$C$1048576,3,FALSE),""))</f>
        <v/>
      </c>
    </row>
    <row r="645" spans="10:12" x14ac:dyDescent="0.25">
      <c r="J645" t="str">
        <f>IF(H645="","",IFERROR(VLOOKUP(H645,Listas!$J$2:$K$1048576,2,FALSE),""))</f>
        <v/>
      </c>
      <c r="K645" s="5" t="str">
        <f>IF(OR(I645="",G645=""),"",IF(G645="Saída",-I645,I645))</f>
        <v/>
      </c>
      <c r="L645" t="str">
        <f>IF(E645="","",IFERROR(VLOOKUP(E645,Listas!$A$2:$C$1048576,3,FALSE),""))</f>
        <v/>
      </c>
    </row>
    <row r="646" spans="10:12" x14ac:dyDescent="0.25">
      <c r="J646" t="str">
        <f>IF(H646="","",IFERROR(VLOOKUP(H646,Listas!$J$2:$K$1048576,2,FALSE),""))</f>
        <v/>
      </c>
      <c r="K646" s="5" t="str">
        <f>IF(OR(I646="",G646=""),"",IF(G646="Saída",-I646,I646))</f>
        <v/>
      </c>
      <c r="L646" t="str">
        <f>IF(E646="","",IFERROR(VLOOKUP(E646,Listas!$A$2:$C$1048576,3,FALSE),""))</f>
        <v/>
      </c>
    </row>
    <row r="647" spans="10:12" x14ac:dyDescent="0.25">
      <c r="J647" t="str">
        <f>IF(H647="","",IFERROR(VLOOKUP(H647,Listas!$J$2:$K$1048576,2,FALSE),""))</f>
        <v/>
      </c>
      <c r="K647" s="5" t="str">
        <f>IF(OR(I647="",G647=""),"",IF(G647="Saída",-I647,I647))</f>
        <v/>
      </c>
      <c r="L647" t="str">
        <f>IF(E647="","",IFERROR(VLOOKUP(E647,Listas!$A$2:$C$1048576,3,FALSE),""))</f>
        <v/>
      </c>
    </row>
    <row r="648" spans="10:12" x14ac:dyDescent="0.25">
      <c r="J648" t="str">
        <f>IF(H648="","",IFERROR(VLOOKUP(H648,Listas!$J$2:$K$1048576,2,FALSE),""))</f>
        <v/>
      </c>
      <c r="K648" s="5" t="str">
        <f>IF(OR(I648="",G648=""),"",IF(G648="Saída",-I648,I648))</f>
        <v/>
      </c>
      <c r="L648" t="str">
        <f>IF(E648="","",IFERROR(VLOOKUP(E648,Listas!$A$2:$C$1048576,3,FALSE),""))</f>
        <v/>
      </c>
    </row>
    <row r="649" spans="10:12" x14ac:dyDescent="0.25">
      <c r="J649" t="str">
        <f>IF(H649="","",IFERROR(VLOOKUP(H649,Listas!$J$2:$K$1048576,2,FALSE),""))</f>
        <v/>
      </c>
      <c r="K649" s="5" t="str">
        <f>IF(OR(I649="",G649=""),"",IF(G649="Saída",-I649,I649))</f>
        <v/>
      </c>
      <c r="L649" t="str">
        <f>IF(E649="","",IFERROR(VLOOKUP(E649,Listas!$A$2:$C$1048576,3,FALSE),""))</f>
        <v/>
      </c>
    </row>
    <row r="650" spans="10:12" x14ac:dyDescent="0.25">
      <c r="J650" t="str">
        <f>IF(H650="","",IFERROR(VLOOKUP(H650,Listas!$J$2:$K$1048576,2,FALSE),""))</f>
        <v/>
      </c>
      <c r="K650" s="5" t="str">
        <f>IF(OR(I650="",G650=""),"",IF(G650="Saída",-I650,I650))</f>
        <v/>
      </c>
      <c r="L650" t="str">
        <f>IF(E650="","",IFERROR(VLOOKUP(E650,Listas!$A$2:$C$1048576,3,FALSE),""))</f>
        <v/>
      </c>
    </row>
    <row r="651" spans="10:12" x14ac:dyDescent="0.25">
      <c r="J651" t="str">
        <f>IF(H651="","",IFERROR(VLOOKUP(H651,Listas!$J$2:$K$1048576,2,FALSE),""))</f>
        <v/>
      </c>
      <c r="K651" s="5" t="str">
        <f>IF(OR(I651="",G651=""),"",IF(G651="Saída",-I651,I651))</f>
        <v/>
      </c>
      <c r="L651" t="str">
        <f>IF(E651="","",IFERROR(VLOOKUP(E651,Listas!$A$2:$C$1048576,3,FALSE),""))</f>
        <v/>
      </c>
    </row>
    <row r="652" spans="10:12" x14ac:dyDescent="0.25">
      <c r="J652" t="str">
        <f>IF(H652="","",IFERROR(VLOOKUP(H652,Listas!$J$2:$K$1048576,2,FALSE),""))</f>
        <v/>
      </c>
      <c r="K652" s="5" t="str">
        <f>IF(OR(I652="",G652=""),"",IF(G652="Saída",-I652,I652))</f>
        <v/>
      </c>
      <c r="L652" t="str">
        <f>IF(E652="","",IFERROR(VLOOKUP(E652,Listas!$A$2:$C$1048576,3,FALSE),""))</f>
        <v/>
      </c>
    </row>
    <row r="653" spans="10:12" x14ac:dyDescent="0.25">
      <c r="J653" t="str">
        <f>IF(H653="","",IFERROR(VLOOKUP(H653,Listas!$J$2:$K$1048576,2,FALSE),""))</f>
        <v/>
      </c>
      <c r="K653" s="5" t="str">
        <f>IF(OR(I653="",G653=""),"",IF(G653="Saída",-I653,I653))</f>
        <v/>
      </c>
      <c r="L653" t="str">
        <f>IF(E653="","",IFERROR(VLOOKUP(E653,Listas!$A$2:$C$1048576,3,FALSE),""))</f>
        <v/>
      </c>
    </row>
    <row r="654" spans="10:12" x14ac:dyDescent="0.25">
      <c r="J654" t="str">
        <f>IF(H654="","",IFERROR(VLOOKUP(H654,Listas!$J$2:$K$1048576,2,FALSE),""))</f>
        <v/>
      </c>
      <c r="K654" s="5" t="str">
        <f>IF(OR(I654="",G654=""),"",IF(G654="Saída",-I654,I654))</f>
        <v/>
      </c>
      <c r="L654" t="str">
        <f>IF(E654="","",IFERROR(VLOOKUP(E654,Listas!$A$2:$C$1048576,3,FALSE),""))</f>
        <v/>
      </c>
    </row>
    <row r="655" spans="10:12" x14ac:dyDescent="0.25">
      <c r="J655" t="str">
        <f>IF(H655="","",IFERROR(VLOOKUP(H655,Listas!$J$2:$K$1048576,2,FALSE),""))</f>
        <v/>
      </c>
      <c r="K655" s="5" t="str">
        <f>IF(OR(I655="",G655=""),"",IF(G655="Saída",-I655,I655))</f>
        <v/>
      </c>
      <c r="L655" t="str">
        <f>IF(E655="","",IFERROR(VLOOKUP(E655,Listas!$A$2:$C$1048576,3,FALSE),""))</f>
        <v/>
      </c>
    </row>
    <row r="656" spans="10:12" x14ac:dyDescent="0.25">
      <c r="J656" t="str">
        <f>IF(H656="","",IFERROR(VLOOKUP(H656,Listas!$J$2:$K$1048576,2,FALSE),""))</f>
        <v/>
      </c>
      <c r="K656" s="5" t="str">
        <f>IF(OR(I656="",G656=""),"",IF(G656="Saída",-I656,I656))</f>
        <v/>
      </c>
      <c r="L656" t="str">
        <f>IF(E656="","",IFERROR(VLOOKUP(E656,Listas!$A$2:$C$1048576,3,FALSE),""))</f>
        <v/>
      </c>
    </row>
    <row r="657" spans="10:12" x14ac:dyDescent="0.25">
      <c r="J657" t="str">
        <f>IF(H657="","",IFERROR(VLOOKUP(H657,Listas!$J$2:$K$1048576,2,FALSE),""))</f>
        <v/>
      </c>
      <c r="K657" s="5" t="str">
        <f>IF(OR(I657="",G657=""),"",IF(G657="Saída",-I657,I657))</f>
        <v/>
      </c>
      <c r="L657" t="str">
        <f>IF(E657="","",IFERROR(VLOOKUP(E657,Listas!$A$2:$C$1048576,3,FALSE),""))</f>
        <v/>
      </c>
    </row>
    <row r="658" spans="10:12" x14ac:dyDescent="0.25">
      <c r="J658" t="str">
        <f>IF(H658="","",IFERROR(VLOOKUP(H658,Listas!$J$2:$K$1048576,2,FALSE),""))</f>
        <v/>
      </c>
      <c r="K658" s="5" t="str">
        <f>IF(OR(I658="",G658=""),"",IF(G658="Saída",-I658,I658))</f>
        <v/>
      </c>
      <c r="L658" t="str">
        <f>IF(E658="","",IFERROR(VLOOKUP(E658,Listas!$A$2:$C$1048576,3,FALSE),""))</f>
        <v/>
      </c>
    </row>
    <row r="659" spans="10:12" x14ac:dyDescent="0.25">
      <c r="J659" t="str">
        <f>IF(H659="","",IFERROR(VLOOKUP(H659,Listas!$J$2:$K$1048576,2,FALSE),""))</f>
        <v/>
      </c>
      <c r="K659" s="5" t="str">
        <f>IF(OR(I659="",G659=""),"",IF(G659="Saída",-I659,I659))</f>
        <v/>
      </c>
      <c r="L659" t="str">
        <f>IF(E659="","",IFERROR(VLOOKUP(E659,Listas!$A$2:$C$1048576,3,FALSE),""))</f>
        <v/>
      </c>
    </row>
    <row r="660" spans="10:12" x14ac:dyDescent="0.25">
      <c r="J660" t="str">
        <f>IF(H660="","",IFERROR(VLOOKUP(H660,Listas!$J$2:$K$1048576,2,FALSE),""))</f>
        <v/>
      </c>
      <c r="K660" s="5" t="str">
        <f>IF(OR(I660="",G660=""),"",IF(G660="Saída",-I660,I660))</f>
        <v/>
      </c>
      <c r="L660" t="str">
        <f>IF(E660="","",IFERROR(VLOOKUP(E660,Listas!$A$2:$C$1048576,3,FALSE),""))</f>
        <v/>
      </c>
    </row>
    <row r="661" spans="10:12" x14ac:dyDescent="0.25">
      <c r="J661" t="str">
        <f>IF(H661="","",IFERROR(VLOOKUP(H661,Listas!$J$2:$K$1048576,2,FALSE),""))</f>
        <v/>
      </c>
      <c r="K661" s="5" t="str">
        <f>IF(OR(I661="",G661=""),"",IF(G661="Saída",-I661,I661))</f>
        <v/>
      </c>
      <c r="L661" t="str">
        <f>IF(E661="","",IFERROR(VLOOKUP(E661,Listas!$A$2:$C$1048576,3,FALSE),""))</f>
        <v/>
      </c>
    </row>
    <row r="662" spans="10:12" x14ac:dyDescent="0.25">
      <c r="J662" t="str">
        <f>IF(H662="","",IFERROR(VLOOKUP(H662,Listas!$J$2:$K$1048576,2,FALSE),""))</f>
        <v/>
      </c>
      <c r="K662" s="5" t="str">
        <f>IF(OR(I662="",G662=""),"",IF(G662="Saída",-I662,I662))</f>
        <v/>
      </c>
      <c r="L662" t="str">
        <f>IF(E662="","",IFERROR(VLOOKUP(E662,Listas!$A$2:$C$1048576,3,FALSE),""))</f>
        <v/>
      </c>
    </row>
    <row r="663" spans="10:12" x14ac:dyDescent="0.25">
      <c r="J663" t="str">
        <f>IF(H663="","",IFERROR(VLOOKUP(H663,Listas!$J$2:$K$1048576,2,FALSE),""))</f>
        <v/>
      </c>
      <c r="K663" s="5" t="str">
        <f>IF(OR(I663="",G663=""),"",IF(G663="Saída",-I663,I663))</f>
        <v/>
      </c>
      <c r="L663" t="str">
        <f>IF(E663="","",IFERROR(VLOOKUP(E663,Listas!$A$2:$C$1048576,3,FALSE),""))</f>
        <v/>
      </c>
    </row>
    <row r="664" spans="10:12" x14ac:dyDescent="0.25">
      <c r="J664" t="str">
        <f>IF(H664="","",IFERROR(VLOOKUP(H664,Listas!$J$2:$K$1048576,2,FALSE),""))</f>
        <v/>
      </c>
      <c r="K664" s="5" t="str">
        <f>IF(OR(I664="",G664=""),"",IF(G664="Saída",-I664,I664))</f>
        <v/>
      </c>
      <c r="L664" t="str">
        <f>IF(E664="","",IFERROR(VLOOKUP(E664,Listas!$A$2:$C$1048576,3,FALSE),""))</f>
        <v/>
      </c>
    </row>
    <row r="665" spans="10:12" x14ac:dyDescent="0.25">
      <c r="J665" t="str">
        <f>IF(H665="","",IFERROR(VLOOKUP(H665,Listas!$J$2:$K$1048576,2,FALSE),""))</f>
        <v/>
      </c>
      <c r="K665" s="5" t="str">
        <f>IF(OR(I665="",G665=""),"",IF(G665="Saída",-I665,I665))</f>
        <v/>
      </c>
      <c r="L665" t="str">
        <f>IF(E665="","",IFERROR(VLOOKUP(E665,Listas!$A$2:$C$1048576,3,FALSE),""))</f>
        <v/>
      </c>
    </row>
    <row r="666" spans="10:12" x14ac:dyDescent="0.25">
      <c r="J666" t="str">
        <f>IF(H666="","",IFERROR(VLOOKUP(H666,Listas!$J$2:$K$1048576,2,FALSE),""))</f>
        <v/>
      </c>
      <c r="K666" s="5" t="str">
        <f>IF(OR(I666="",G666=""),"",IF(G666="Saída",-I666,I666))</f>
        <v/>
      </c>
      <c r="L666" t="str">
        <f>IF(E666="","",IFERROR(VLOOKUP(E666,Listas!$A$2:$C$1048576,3,FALSE),""))</f>
        <v/>
      </c>
    </row>
    <row r="667" spans="10:12" x14ac:dyDescent="0.25">
      <c r="J667" t="str">
        <f>IF(H667="","",IFERROR(VLOOKUP(H667,Listas!$J$2:$K$1048576,2,FALSE),""))</f>
        <v/>
      </c>
      <c r="K667" s="5" t="str">
        <f>IF(OR(I667="",G667=""),"",IF(G667="Saída",-I667,I667))</f>
        <v/>
      </c>
      <c r="L667" t="str">
        <f>IF(E667="","",IFERROR(VLOOKUP(E667,Listas!$A$2:$C$1048576,3,FALSE),""))</f>
        <v/>
      </c>
    </row>
    <row r="668" spans="10:12" x14ac:dyDescent="0.25">
      <c r="J668" t="str">
        <f>IF(H668="","",IFERROR(VLOOKUP(H668,Listas!$J$2:$K$1048576,2,FALSE),""))</f>
        <v/>
      </c>
      <c r="K668" s="5" t="str">
        <f>IF(OR(I668="",G668=""),"",IF(G668="Saída",-I668,I668))</f>
        <v/>
      </c>
      <c r="L668" t="str">
        <f>IF(E668="","",IFERROR(VLOOKUP(E668,Listas!$A$2:$C$1048576,3,FALSE),""))</f>
        <v/>
      </c>
    </row>
    <row r="669" spans="10:12" x14ac:dyDescent="0.25">
      <c r="J669" t="str">
        <f>IF(H669="","",IFERROR(VLOOKUP(H669,Listas!$J$2:$K$1048576,2,FALSE),""))</f>
        <v/>
      </c>
      <c r="K669" s="5" t="str">
        <f>IF(OR(I669="",G669=""),"",IF(G669="Saída",-I669,I669))</f>
        <v/>
      </c>
      <c r="L669" t="str">
        <f>IF(E669="","",IFERROR(VLOOKUP(E669,Listas!$A$2:$C$1048576,3,FALSE),""))</f>
        <v/>
      </c>
    </row>
    <row r="670" spans="10:12" x14ac:dyDescent="0.25">
      <c r="J670" t="str">
        <f>IF(H670="","",IFERROR(VLOOKUP(H670,Listas!$J$2:$K$1048576,2,FALSE),""))</f>
        <v/>
      </c>
      <c r="K670" s="5" t="str">
        <f>IF(OR(I670="",G670=""),"",IF(G670="Saída",-I670,I670))</f>
        <v/>
      </c>
      <c r="L670" t="str">
        <f>IF(E670="","",IFERROR(VLOOKUP(E670,Listas!$A$2:$C$1048576,3,FALSE),""))</f>
        <v/>
      </c>
    </row>
    <row r="671" spans="10:12" x14ac:dyDescent="0.25">
      <c r="J671" t="str">
        <f>IF(H671="","",IFERROR(VLOOKUP(H671,Listas!$J$2:$K$1048576,2,FALSE),""))</f>
        <v/>
      </c>
      <c r="K671" s="5" t="str">
        <f>IF(OR(I671="",G671=""),"",IF(G671="Saída",-I671,I671))</f>
        <v/>
      </c>
      <c r="L671" t="str">
        <f>IF(E671="","",IFERROR(VLOOKUP(E671,Listas!$A$2:$C$1048576,3,FALSE),""))</f>
        <v/>
      </c>
    </row>
    <row r="672" spans="10:12" x14ac:dyDescent="0.25">
      <c r="J672" t="str">
        <f>IF(H672="","",IFERROR(VLOOKUP(H672,Listas!$J$2:$K$1048576,2,FALSE),""))</f>
        <v/>
      </c>
      <c r="K672" s="5" t="str">
        <f>IF(OR(I672="",G672=""),"",IF(G672="Saída",-I672,I672))</f>
        <v/>
      </c>
      <c r="L672" t="str">
        <f>IF(E672="","",IFERROR(VLOOKUP(E672,Listas!$A$2:$C$1048576,3,FALSE),""))</f>
        <v/>
      </c>
    </row>
    <row r="673" spans="10:12" x14ac:dyDescent="0.25">
      <c r="J673" t="str">
        <f>IF(H673="","",IFERROR(VLOOKUP(H673,Listas!$J$2:$K$1048576,2,FALSE),""))</f>
        <v/>
      </c>
      <c r="K673" s="5" t="str">
        <f>IF(OR(I673="",G673=""),"",IF(G673="Saída",-I673,I673))</f>
        <v/>
      </c>
      <c r="L673" t="str">
        <f>IF(E673="","",IFERROR(VLOOKUP(E673,Listas!$A$2:$C$1048576,3,FALSE),""))</f>
        <v/>
      </c>
    </row>
    <row r="674" spans="10:12" x14ac:dyDescent="0.25">
      <c r="J674" t="str">
        <f>IF(H674="","",IFERROR(VLOOKUP(H674,Listas!$J$2:$K$1048576,2,FALSE),""))</f>
        <v/>
      </c>
      <c r="K674" s="5" t="str">
        <f>IF(OR(I674="",G674=""),"",IF(G674="Saída",-I674,I674))</f>
        <v/>
      </c>
      <c r="L674" t="str">
        <f>IF(E674="","",IFERROR(VLOOKUP(E674,Listas!$A$2:$C$1048576,3,FALSE),""))</f>
        <v/>
      </c>
    </row>
    <row r="675" spans="10:12" x14ac:dyDescent="0.25">
      <c r="J675" t="str">
        <f>IF(H675="","",IFERROR(VLOOKUP(H675,Listas!$J$2:$K$1048576,2,FALSE),""))</f>
        <v/>
      </c>
      <c r="K675" s="5" t="str">
        <f>IF(OR(I675="",G675=""),"",IF(G675="Saída",-I675,I675))</f>
        <v/>
      </c>
      <c r="L675" t="str">
        <f>IF(E675="","",IFERROR(VLOOKUP(E675,Listas!$A$2:$C$1048576,3,FALSE),""))</f>
        <v/>
      </c>
    </row>
    <row r="676" spans="10:12" x14ac:dyDescent="0.25">
      <c r="J676" t="str">
        <f>IF(H676="","",IFERROR(VLOOKUP(H676,Listas!$J$2:$K$1048576,2,FALSE),""))</f>
        <v/>
      </c>
      <c r="K676" s="5" t="str">
        <f>IF(OR(I676="",G676=""),"",IF(G676="Saída",-I676,I676))</f>
        <v/>
      </c>
      <c r="L676" t="str">
        <f>IF(E676="","",IFERROR(VLOOKUP(E676,Listas!$A$2:$C$1048576,3,FALSE),""))</f>
        <v/>
      </c>
    </row>
    <row r="677" spans="10:12" x14ac:dyDescent="0.25">
      <c r="J677" t="str">
        <f>IF(H677="","",IFERROR(VLOOKUP(H677,Listas!$J$2:$K$1048576,2,FALSE),""))</f>
        <v/>
      </c>
      <c r="K677" s="5" t="str">
        <f>IF(OR(I677="",G677=""),"",IF(G677="Saída",-I677,I677))</f>
        <v/>
      </c>
      <c r="L677" t="str">
        <f>IF(E677="","",IFERROR(VLOOKUP(E677,Listas!$A$2:$C$1048576,3,FALSE),""))</f>
        <v/>
      </c>
    </row>
    <row r="678" spans="10:12" x14ac:dyDescent="0.25">
      <c r="J678" t="str">
        <f>IF(H678="","",IFERROR(VLOOKUP(H678,Listas!$J$2:$K$1048576,2,FALSE),""))</f>
        <v/>
      </c>
      <c r="K678" s="5" t="str">
        <f>IF(OR(I678="",G678=""),"",IF(G678="Saída",-I678,I678))</f>
        <v/>
      </c>
      <c r="L678" t="str">
        <f>IF(E678="","",IFERROR(VLOOKUP(E678,Listas!$A$2:$C$1048576,3,FALSE),""))</f>
        <v/>
      </c>
    </row>
    <row r="679" spans="10:12" x14ac:dyDescent="0.25">
      <c r="J679" t="str">
        <f>IF(H679="","",IFERROR(VLOOKUP(H679,Listas!$J$2:$K$1048576,2,FALSE),""))</f>
        <v/>
      </c>
      <c r="K679" s="5" t="str">
        <f>IF(OR(I679="",G679=""),"",IF(G679="Saída",-I679,I679))</f>
        <v/>
      </c>
      <c r="L679" t="str">
        <f>IF(E679="","",IFERROR(VLOOKUP(E679,Listas!$A$2:$C$1048576,3,FALSE),""))</f>
        <v/>
      </c>
    </row>
    <row r="680" spans="10:12" x14ac:dyDescent="0.25">
      <c r="J680" t="str">
        <f>IF(H680="","",IFERROR(VLOOKUP(H680,Listas!$J$2:$K$1048576,2,FALSE),""))</f>
        <v/>
      </c>
      <c r="K680" s="5" t="str">
        <f>IF(OR(I680="",G680=""),"",IF(G680="Saída",-I680,I680))</f>
        <v/>
      </c>
      <c r="L680" t="str">
        <f>IF(E680="","",IFERROR(VLOOKUP(E680,Listas!$A$2:$C$1048576,3,FALSE),""))</f>
        <v/>
      </c>
    </row>
    <row r="681" spans="10:12" x14ac:dyDescent="0.25">
      <c r="J681" t="str">
        <f>IF(H681="","",IFERROR(VLOOKUP(H681,Listas!$J$2:$K$1048576,2,FALSE),""))</f>
        <v/>
      </c>
      <c r="K681" s="5" t="str">
        <f>IF(OR(I681="",G681=""),"",IF(G681="Saída",-I681,I681))</f>
        <v/>
      </c>
      <c r="L681" t="str">
        <f>IF(E681="","",IFERROR(VLOOKUP(E681,Listas!$A$2:$C$1048576,3,FALSE),""))</f>
        <v/>
      </c>
    </row>
    <row r="682" spans="10:12" x14ac:dyDescent="0.25">
      <c r="J682" t="str">
        <f>IF(H682="","",IFERROR(VLOOKUP(H682,Listas!$J$2:$K$1048576,2,FALSE),""))</f>
        <v/>
      </c>
      <c r="K682" s="5" t="str">
        <f>IF(OR(I682="",G682=""),"",IF(G682="Saída",-I682,I682))</f>
        <v/>
      </c>
      <c r="L682" t="str">
        <f>IF(E682="","",IFERROR(VLOOKUP(E682,Listas!$A$2:$C$1048576,3,FALSE),""))</f>
        <v/>
      </c>
    </row>
    <row r="683" spans="10:12" x14ac:dyDescent="0.25">
      <c r="J683" t="str">
        <f>IF(H683="","",IFERROR(VLOOKUP(H683,Listas!$J$2:$K$1048576,2,FALSE),""))</f>
        <v/>
      </c>
      <c r="K683" s="5" t="str">
        <f>IF(OR(I683="",G683=""),"",IF(G683="Saída",-I683,I683))</f>
        <v/>
      </c>
      <c r="L683" t="str">
        <f>IF(E683="","",IFERROR(VLOOKUP(E683,Listas!$A$2:$C$1048576,3,FALSE),""))</f>
        <v/>
      </c>
    </row>
    <row r="684" spans="10:12" x14ac:dyDescent="0.25">
      <c r="J684" t="str">
        <f>IF(H684="","",IFERROR(VLOOKUP(H684,Listas!$J$2:$K$1048576,2,FALSE),""))</f>
        <v/>
      </c>
      <c r="K684" s="5" t="str">
        <f>IF(OR(I684="",G684=""),"",IF(G684="Saída",-I684,I684))</f>
        <v/>
      </c>
      <c r="L684" t="str">
        <f>IF(E684="","",IFERROR(VLOOKUP(E684,Listas!$A$2:$C$1048576,3,FALSE),""))</f>
        <v/>
      </c>
    </row>
    <row r="685" spans="10:12" x14ac:dyDescent="0.25">
      <c r="J685" t="str">
        <f>IF(H685="","",IFERROR(VLOOKUP(H685,Listas!$J$2:$K$1048576,2,FALSE),""))</f>
        <v/>
      </c>
      <c r="K685" s="5" t="str">
        <f>IF(OR(I685="",G685=""),"",IF(G685="Saída",-I685,I685))</f>
        <v/>
      </c>
      <c r="L685" t="str">
        <f>IF(E685="","",IFERROR(VLOOKUP(E685,Listas!$A$2:$C$1048576,3,FALSE),""))</f>
        <v/>
      </c>
    </row>
    <row r="686" spans="10:12" x14ac:dyDescent="0.25">
      <c r="J686" t="str">
        <f>IF(H686="","",IFERROR(VLOOKUP(H686,Listas!$J$2:$K$1048576,2,FALSE),""))</f>
        <v/>
      </c>
      <c r="K686" s="5" t="str">
        <f>IF(OR(I686="",G686=""),"",IF(G686="Saída",-I686,I686))</f>
        <v/>
      </c>
      <c r="L686" t="str">
        <f>IF(E686="","",IFERROR(VLOOKUP(E686,Listas!$A$2:$C$1048576,3,FALSE),""))</f>
        <v/>
      </c>
    </row>
    <row r="687" spans="10:12" x14ac:dyDescent="0.25">
      <c r="J687" t="str">
        <f>IF(H687="","",IFERROR(VLOOKUP(H687,Listas!$J$2:$K$1048576,2,FALSE),""))</f>
        <v/>
      </c>
      <c r="K687" s="5" t="str">
        <f>IF(OR(I687="",G687=""),"",IF(G687="Saída",-I687,I687))</f>
        <v/>
      </c>
      <c r="L687" t="str">
        <f>IF(E687="","",IFERROR(VLOOKUP(E687,Listas!$A$2:$C$1048576,3,FALSE),""))</f>
        <v/>
      </c>
    </row>
    <row r="688" spans="10:12" x14ac:dyDescent="0.25">
      <c r="J688" t="str">
        <f>IF(H688="","",IFERROR(VLOOKUP(H688,Listas!$J$2:$K$1048576,2,FALSE),""))</f>
        <v/>
      </c>
      <c r="K688" s="5" t="str">
        <f>IF(OR(I688="",G688=""),"",IF(G688="Saída",-I688,I688))</f>
        <v/>
      </c>
      <c r="L688" t="str">
        <f>IF(E688="","",IFERROR(VLOOKUP(E688,Listas!$A$2:$C$1048576,3,FALSE),""))</f>
        <v/>
      </c>
    </row>
    <row r="689" spans="10:12" x14ac:dyDescent="0.25">
      <c r="J689" t="str">
        <f>IF(H689="","",IFERROR(VLOOKUP(H689,Listas!$J$2:$K$1048576,2,FALSE),""))</f>
        <v/>
      </c>
      <c r="K689" s="5" t="str">
        <f>IF(OR(I689="",G689=""),"",IF(G689="Saída",-I689,I689))</f>
        <v/>
      </c>
      <c r="L689" t="str">
        <f>IF(E689="","",IFERROR(VLOOKUP(E689,Listas!$A$2:$C$1048576,3,FALSE),""))</f>
        <v/>
      </c>
    </row>
    <row r="690" spans="10:12" x14ac:dyDescent="0.25">
      <c r="J690" t="str">
        <f>IF(H690="","",IFERROR(VLOOKUP(H690,Listas!$J$2:$K$1048576,2,FALSE),""))</f>
        <v/>
      </c>
      <c r="K690" s="5" t="str">
        <f>IF(OR(I690="",G690=""),"",IF(G690="Saída",-I690,I690))</f>
        <v/>
      </c>
      <c r="L690" t="str">
        <f>IF(E690="","",IFERROR(VLOOKUP(E690,Listas!$A$2:$C$1048576,3,FALSE),""))</f>
        <v/>
      </c>
    </row>
    <row r="691" spans="10:12" x14ac:dyDescent="0.25">
      <c r="J691" t="str">
        <f>IF(H691="","",IFERROR(VLOOKUP(H691,Listas!$J$2:$K$1048576,2,FALSE),""))</f>
        <v/>
      </c>
      <c r="K691" s="5" t="str">
        <f>IF(OR(I691="",G691=""),"",IF(G691="Saída",-I691,I691))</f>
        <v/>
      </c>
      <c r="L691" t="str">
        <f>IF(E691="","",IFERROR(VLOOKUP(E691,Listas!$A$2:$C$1048576,3,FALSE),""))</f>
        <v/>
      </c>
    </row>
    <row r="692" spans="10:12" x14ac:dyDescent="0.25">
      <c r="J692" t="str">
        <f>IF(H692="","",IFERROR(VLOOKUP(H692,Listas!$J$2:$K$1048576,2,FALSE),""))</f>
        <v/>
      </c>
      <c r="K692" s="5" t="str">
        <f>IF(OR(I692="",G692=""),"",IF(G692="Saída",-I692,I692))</f>
        <v/>
      </c>
      <c r="L692" t="str">
        <f>IF(E692="","",IFERROR(VLOOKUP(E692,Listas!$A$2:$C$1048576,3,FALSE),""))</f>
        <v/>
      </c>
    </row>
    <row r="693" spans="10:12" x14ac:dyDescent="0.25">
      <c r="J693" t="str">
        <f>IF(H693="","",IFERROR(VLOOKUP(H693,Listas!$J$2:$K$1048576,2,FALSE),""))</f>
        <v/>
      </c>
      <c r="K693" s="5" t="str">
        <f>IF(OR(I693="",G693=""),"",IF(G693="Saída",-I693,I693))</f>
        <v/>
      </c>
      <c r="L693" t="str">
        <f>IF(E693="","",IFERROR(VLOOKUP(E693,Listas!$A$2:$C$1048576,3,FALSE),""))</f>
        <v/>
      </c>
    </row>
    <row r="694" spans="10:12" x14ac:dyDescent="0.25">
      <c r="J694" t="str">
        <f>IF(H694="","",IFERROR(VLOOKUP(H694,Listas!$J$2:$K$1048576,2,FALSE),""))</f>
        <v/>
      </c>
      <c r="K694" s="5" t="str">
        <f>IF(OR(I694="",G694=""),"",IF(G694="Saída",-I694,I694))</f>
        <v/>
      </c>
      <c r="L694" t="str">
        <f>IF(E694="","",IFERROR(VLOOKUP(E694,Listas!$A$2:$C$1048576,3,FALSE),""))</f>
        <v/>
      </c>
    </row>
    <row r="695" spans="10:12" x14ac:dyDescent="0.25">
      <c r="J695" t="str">
        <f>IF(H695="","",IFERROR(VLOOKUP(H695,Listas!$J$2:$K$1048576,2,FALSE),""))</f>
        <v/>
      </c>
      <c r="K695" s="5" t="str">
        <f>IF(OR(I695="",G695=""),"",IF(G695="Saída",-I695,I695))</f>
        <v/>
      </c>
      <c r="L695" t="str">
        <f>IF(E695="","",IFERROR(VLOOKUP(E695,Listas!$A$2:$C$1048576,3,FALSE),""))</f>
        <v/>
      </c>
    </row>
    <row r="696" spans="10:12" x14ac:dyDescent="0.25">
      <c r="J696" t="str">
        <f>IF(H696="","",IFERROR(VLOOKUP(H696,Listas!$J$2:$K$1048576,2,FALSE),""))</f>
        <v/>
      </c>
      <c r="K696" s="5" t="str">
        <f>IF(OR(I696="",G696=""),"",IF(G696="Saída",-I696,I696))</f>
        <v/>
      </c>
      <c r="L696" t="str">
        <f>IF(E696="","",IFERROR(VLOOKUP(E696,Listas!$A$2:$C$1048576,3,FALSE),""))</f>
        <v/>
      </c>
    </row>
    <row r="697" spans="10:12" x14ac:dyDescent="0.25">
      <c r="J697" t="str">
        <f>IF(H697="","",IFERROR(VLOOKUP(H697,Listas!$J$2:$K$1048576,2,FALSE),""))</f>
        <v/>
      </c>
      <c r="K697" s="5" t="str">
        <f>IF(OR(I697="",G697=""),"",IF(G697="Saída",-I697,I697))</f>
        <v/>
      </c>
      <c r="L697" t="str">
        <f>IF(E697="","",IFERROR(VLOOKUP(E697,Listas!$A$2:$C$1048576,3,FALSE),""))</f>
        <v/>
      </c>
    </row>
    <row r="698" spans="10:12" x14ac:dyDescent="0.25">
      <c r="J698" t="str">
        <f>IF(H698="","",IFERROR(VLOOKUP(H698,Listas!$J$2:$K$1048576,2,FALSE),""))</f>
        <v/>
      </c>
      <c r="K698" s="5" t="str">
        <f>IF(OR(I698="",G698=""),"",IF(G698="Saída",-I698,I698))</f>
        <v/>
      </c>
      <c r="L698" t="str">
        <f>IF(E698="","",IFERROR(VLOOKUP(E698,Listas!$A$2:$C$1048576,3,FALSE),""))</f>
        <v/>
      </c>
    </row>
    <row r="699" spans="10:12" x14ac:dyDescent="0.25">
      <c r="J699" t="str">
        <f>IF(H699="","",IFERROR(VLOOKUP(H699,Listas!$J$2:$K$1048576,2,FALSE),""))</f>
        <v/>
      </c>
      <c r="K699" s="5" t="str">
        <f>IF(OR(I699="",G699=""),"",IF(G699="Saída",-I699,I699))</f>
        <v/>
      </c>
      <c r="L699" t="str">
        <f>IF(E699="","",IFERROR(VLOOKUP(E699,Listas!$A$2:$C$1048576,3,FALSE),""))</f>
        <v/>
      </c>
    </row>
    <row r="700" spans="10:12" x14ac:dyDescent="0.25">
      <c r="J700" t="str">
        <f>IF(H700="","",IFERROR(VLOOKUP(H700,Listas!$J$2:$K$1048576,2,FALSE),""))</f>
        <v/>
      </c>
      <c r="K700" s="5" t="str">
        <f>IF(OR(I700="",G700=""),"",IF(G700="Saída",-I700,I700))</f>
        <v/>
      </c>
      <c r="L700" t="str">
        <f>IF(E700="","",IFERROR(VLOOKUP(E700,Listas!$A$2:$C$1048576,3,FALSE),""))</f>
        <v/>
      </c>
    </row>
    <row r="701" spans="10:12" x14ac:dyDescent="0.25">
      <c r="J701" t="str">
        <f>IF(H701="","",IFERROR(VLOOKUP(H701,Listas!$J$2:$K$1048576,2,FALSE),""))</f>
        <v/>
      </c>
      <c r="K701" s="5" t="str">
        <f>IF(OR(I701="",G701=""),"",IF(G701="Saída",-I701,I701))</f>
        <v/>
      </c>
      <c r="L701" t="str">
        <f>IF(E701="","",IFERROR(VLOOKUP(E701,Listas!$A$2:$C$1048576,3,FALSE),""))</f>
        <v/>
      </c>
    </row>
    <row r="702" spans="10:12" x14ac:dyDescent="0.25">
      <c r="J702" t="str">
        <f>IF(H702="","",IFERROR(VLOOKUP(H702,Listas!$J$2:$K$1048576,2,FALSE),""))</f>
        <v/>
      </c>
      <c r="K702" s="5" t="str">
        <f>IF(OR(I702="",G702=""),"",IF(G702="Saída",-I702,I702))</f>
        <v/>
      </c>
      <c r="L702" t="str">
        <f>IF(E702="","",IFERROR(VLOOKUP(E702,Listas!$A$2:$C$1048576,3,FALSE),""))</f>
        <v/>
      </c>
    </row>
    <row r="703" spans="10:12" x14ac:dyDescent="0.25">
      <c r="J703" t="str">
        <f>IF(H703="","",IFERROR(VLOOKUP(H703,Listas!$J$2:$K$1048576,2,FALSE),""))</f>
        <v/>
      </c>
      <c r="K703" s="5" t="str">
        <f>IF(OR(I703="",G703=""),"",IF(G703="Saída",-I703,I703))</f>
        <v/>
      </c>
      <c r="L703" t="str">
        <f>IF(E703="","",IFERROR(VLOOKUP(E703,Listas!$A$2:$C$1048576,3,FALSE),""))</f>
        <v/>
      </c>
    </row>
    <row r="704" spans="10:12" x14ac:dyDescent="0.25">
      <c r="J704" t="str">
        <f>IF(H704="","",IFERROR(VLOOKUP(H704,Listas!$J$2:$K$1048576,2,FALSE),""))</f>
        <v/>
      </c>
      <c r="K704" s="5" t="str">
        <f>IF(OR(I704="",G704=""),"",IF(G704="Saída",-I704,I704))</f>
        <v/>
      </c>
      <c r="L704" t="str">
        <f>IF(E704="","",IFERROR(VLOOKUP(E704,Listas!$A$2:$C$1048576,3,FALSE),""))</f>
        <v/>
      </c>
    </row>
    <row r="705" spans="10:12" x14ac:dyDescent="0.25">
      <c r="J705" t="str">
        <f>IF(H705="","",IFERROR(VLOOKUP(H705,Listas!$J$2:$K$1048576,2,FALSE),""))</f>
        <v/>
      </c>
      <c r="K705" s="5" t="str">
        <f>IF(OR(I705="",G705=""),"",IF(G705="Saída",-I705,I705))</f>
        <v/>
      </c>
      <c r="L705" t="str">
        <f>IF(E705="","",IFERROR(VLOOKUP(E705,Listas!$A$2:$C$1048576,3,FALSE),""))</f>
        <v/>
      </c>
    </row>
    <row r="706" spans="10:12" x14ac:dyDescent="0.25">
      <c r="J706" t="str">
        <f>IF(H706="","",IFERROR(VLOOKUP(H706,Listas!$J$2:$K$1048576,2,FALSE),""))</f>
        <v/>
      </c>
      <c r="K706" s="5" t="str">
        <f>IF(OR(I706="",G706=""),"",IF(G706="Saída",-I706,I706))</f>
        <v/>
      </c>
      <c r="L706" t="str">
        <f>IF(E706="","",IFERROR(VLOOKUP(E706,Listas!$A$2:$C$1048576,3,FALSE),""))</f>
        <v/>
      </c>
    </row>
    <row r="707" spans="10:12" x14ac:dyDescent="0.25">
      <c r="J707" t="str">
        <f>IF(H707="","",IFERROR(VLOOKUP(H707,Listas!$J$2:$K$1048576,2,FALSE),""))</f>
        <v/>
      </c>
      <c r="K707" s="5" t="str">
        <f>IF(OR(I707="",G707=""),"",IF(G707="Saída",-I707,I707))</f>
        <v/>
      </c>
      <c r="L707" t="str">
        <f>IF(E707="","",IFERROR(VLOOKUP(E707,Listas!$A$2:$C$1048576,3,FALSE),""))</f>
        <v/>
      </c>
    </row>
    <row r="708" spans="10:12" x14ac:dyDescent="0.25">
      <c r="J708" t="str">
        <f>IF(H708="","",IFERROR(VLOOKUP(H708,Listas!$J$2:$K$1048576,2,FALSE),""))</f>
        <v/>
      </c>
      <c r="K708" s="5" t="str">
        <f>IF(OR(I708="",G708=""),"",IF(G708="Saída",-I708,I708))</f>
        <v/>
      </c>
      <c r="L708" t="str">
        <f>IF(E708="","",IFERROR(VLOOKUP(E708,Listas!$A$2:$C$1048576,3,FALSE),""))</f>
        <v/>
      </c>
    </row>
    <row r="709" spans="10:12" x14ac:dyDescent="0.25">
      <c r="J709" t="str">
        <f>IF(H709="","",IFERROR(VLOOKUP(H709,Listas!$J$2:$K$1048576,2,FALSE),""))</f>
        <v/>
      </c>
      <c r="K709" s="5" t="str">
        <f>IF(OR(I709="",G709=""),"",IF(G709="Saída",-I709,I709))</f>
        <v/>
      </c>
      <c r="L709" t="str">
        <f>IF(E709="","",IFERROR(VLOOKUP(E709,Listas!$A$2:$C$1048576,3,FALSE),""))</f>
        <v/>
      </c>
    </row>
    <row r="710" spans="10:12" x14ac:dyDescent="0.25">
      <c r="J710" t="str">
        <f>IF(H710="","",IFERROR(VLOOKUP(H710,Listas!$J$2:$K$1048576,2,FALSE),""))</f>
        <v/>
      </c>
      <c r="K710" s="5" t="str">
        <f>IF(OR(I710="",G710=""),"",IF(G710="Saída",-I710,I710))</f>
        <v/>
      </c>
      <c r="L710" t="str">
        <f>IF(E710="","",IFERROR(VLOOKUP(E710,Listas!$A$2:$C$1048576,3,FALSE),""))</f>
        <v/>
      </c>
    </row>
    <row r="711" spans="10:12" x14ac:dyDescent="0.25">
      <c r="J711" t="str">
        <f>IF(H711="","",IFERROR(VLOOKUP(H711,Listas!$J$2:$K$1048576,2,FALSE),""))</f>
        <v/>
      </c>
      <c r="K711" s="5" t="str">
        <f>IF(OR(I711="",G711=""),"",IF(G711="Saída",-I711,I711))</f>
        <v/>
      </c>
      <c r="L711" t="str">
        <f>IF(E711="","",IFERROR(VLOOKUP(E711,Listas!$A$2:$C$1048576,3,FALSE),""))</f>
        <v/>
      </c>
    </row>
    <row r="712" spans="10:12" x14ac:dyDescent="0.25">
      <c r="J712" t="str">
        <f>IF(H712="","",IFERROR(VLOOKUP(H712,Listas!$J$2:$K$1048576,2,FALSE),""))</f>
        <v/>
      </c>
      <c r="K712" s="5" t="str">
        <f>IF(OR(I712="",G712=""),"",IF(G712="Saída",-I712,I712))</f>
        <v/>
      </c>
      <c r="L712" t="str">
        <f>IF(E712="","",IFERROR(VLOOKUP(E712,Listas!$A$2:$C$1048576,3,FALSE),""))</f>
        <v/>
      </c>
    </row>
    <row r="713" spans="10:12" x14ac:dyDescent="0.25">
      <c r="J713" t="str">
        <f>IF(H713="","",IFERROR(VLOOKUP(H713,Listas!$J$2:$K$1048576,2,FALSE),""))</f>
        <v/>
      </c>
      <c r="K713" s="5" t="str">
        <f>IF(OR(I713="",G713=""),"",IF(G713="Saída",-I713,I713))</f>
        <v/>
      </c>
      <c r="L713" t="str">
        <f>IF(E713="","",IFERROR(VLOOKUP(E713,Listas!$A$2:$C$1048576,3,FALSE),""))</f>
        <v/>
      </c>
    </row>
    <row r="714" spans="10:12" x14ac:dyDescent="0.25">
      <c r="J714" t="str">
        <f>IF(H714="","",IFERROR(VLOOKUP(H714,Listas!$J$2:$K$1048576,2,FALSE),""))</f>
        <v/>
      </c>
      <c r="K714" s="5" t="str">
        <f>IF(OR(I714="",G714=""),"",IF(G714="Saída",-I714,I714))</f>
        <v/>
      </c>
      <c r="L714" t="str">
        <f>IF(E714="","",IFERROR(VLOOKUP(E714,Listas!$A$2:$C$1048576,3,FALSE),""))</f>
        <v/>
      </c>
    </row>
    <row r="715" spans="10:12" x14ac:dyDescent="0.25">
      <c r="J715" t="str">
        <f>IF(H715="","",IFERROR(VLOOKUP(H715,Listas!$J$2:$K$1048576,2,FALSE),""))</f>
        <v/>
      </c>
      <c r="K715" s="5" t="str">
        <f>IF(OR(I715="",G715=""),"",IF(G715="Saída",-I715,I715))</f>
        <v/>
      </c>
      <c r="L715" t="str">
        <f>IF(E715="","",IFERROR(VLOOKUP(E715,Listas!$A$2:$C$1048576,3,FALSE),""))</f>
        <v/>
      </c>
    </row>
    <row r="716" spans="10:12" x14ac:dyDescent="0.25">
      <c r="J716" t="str">
        <f>IF(H716="","",IFERROR(VLOOKUP(H716,Listas!$J$2:$K$1048576,2,FALSE),""))</f>
        <v/>
      </c>
      <c r="K716" s="5" t="str">
        <f>IF(OR(I716="",G716=""),"",IF(G716="Saída",-I716,I716))</f>
        <v/>
      </c>
      <c r="L716" t="str">
        <f>IF(E716="","",IFERROR(VLOOKUP(E716,Listas!$A$2:$C$1048576,3,FALSE),""))</f>
        <v/>
      </c>
    </row>
    <row r="717" spans="10:12" x14ac:dyDescent="0.25">
      <c r="J717" t="str">
        <f>IF(H717="","",IFERROR(VLOOKUP(H717,Listas!$J$2:$K$1048576,2,FALSE),""))</f>
        <v/>
      </c>
      <c r="K717" s="5" t="str">
        <f>IF(OR(I717="",G717=""),"",IF(G717="Saída",-I717,I717))</f>
        <v/>
      </c>
      <c r="L717" t="str">
        <f>IF(E717="","",IFERROR(VLOOKUP(E717,Listas!$A$2:$C$1048576,3,FALSE),""))</f>
        <v/>
      </c>
    </row>
    <row r="718" spans="10:12" x14ac:dyDescent="0.25">
      <c r="J718" t="str">
        <f>IF(H718="","",IFERROR(VLOOKUP(H718,Listas!$J$2:$K$1048576,2,FALSE),""))</f>
        <v/>
      </c>
      <c r="K718" s="5" t="str">
        <f>IF(OR(I718="",G718=""),"",IF(G718="Saída",-I718,I718))</f>
        <v/>
      </c>
      <c r="L718" t="str">
        <f>IF(E718="","",IFERROR(VLOOKUP(E718,Listas!$A$2:$C$1048576,3,FALSE),""))</f>
        <v/>
      </c>
    </row>
    <row r="719" spans="10:12" x14ac:dyDescent="0.25">
      <c r="J719" t="str">
        <f>IF(H719="","",IFERROR(VLOOKUP(H719,Listas!$J$2:$K$1048576,2,FALSE),""))</f>
        <v/>
      </c>
      <c r="K719" s="5" t="str">
        <f>IF(OR(I719="",G719=""),"",IF(G719="Saída",-I719,I719))</f>
        <v/>
      </c>
      <c r="L719" t="str">
        <f>IF(E719="","",IFERROR(VLOOKUP(E719,Listas!$A$2:$C$1048576,3,FALSE),""))</f>
        <v/>
      </c>
    </row>
    <row r="720" spans="10:12" x14ac:dyDescent="0.25">
      <c r="J720" t="str">
        <f>IF(H720="","",IFERROR(VLOOKUP(H720,Listas!$J$2:$K$1048576,2,FALSE),""))</f>
        <v/>
      </c>
      <c r="K720" s="5" t="str">
        <f>IF(OR(I720="",G720=""),"",IF(G720="Saída",-I720,I720))</f>
        <v/>
      </c>
      <c r="L720" t="str">
        <f>IF(E720="","",IFERROR(VLOOKUP(E720,Listas!$A$2:$C$1048576,3,FALSE),""))</f>
        <v/>
      </c>
    </row>
    <row r="721" spans="10:12" x14ac:dyDescent="0.25">
      <c r="J721" t="str">
        <f>IF(H721="","",IFERROR(VLOOKUP(H721,Listas!$J$2:$K$1048576,2,FALSE),""))</f>
        <v/>
      </c>
      <c r="K721" s="5" t="str">
        <f>IF(OR(I721="",G721=""),"",IF(G721="Saída",-I721,I721))</f>
        <v/>
      </c>
      <c r="L721" t="str">
        <f>IF(E721="","",IFERROR(VLOOKUP(E721,Listas!$A$2:$C$1048576,3,FALSE),""))</f>
        <v/>
      </c>
    </row>
    <row r="722" spans="10:12" x14ac:dyDescent="0.25">
      <c r="J722" t="str">
        <f>IF(H722="","",IFERROR(VLOOKUP(H722,Listas!$J$2:$K$1048576,2,FALSE),""))</f>
        <v/>
      </c>
      <c r="K722" s="5" t="str">
        <f>IF(OR(I722="",G722=""),"",IF(G722="Saída",-I722,I722))</f>
        <v/>
      </c>
      <c r="L722" t="str">
        <f>IF(E722="","",IFERROR(VLOOKUP(E722,Listas!$A$2:$C$1048576,3,FALSE),""))</f>
        <v/>
      </c>
    </row>
    <row r="723" spans="10:12" x14ac:dyDescent="0.25">
      <c r="J723" t="str">
        <f>IF(H723="","",IFERROR(VLOOKUP(H723,Listas!$J$2:$K$1048576,2,FALSE),""))</f>
        <v/>
      </c>
      <c r="K723" s="5" t="str">
        <f>IF(OR(I723="",G723=""),"",IF(G723="Saída",-I723,I723))</f>
        <v/>
      </c>
      <c r="L723" t="str">
        <f>IF(E723="","",IFERROR(VLOOKUP(E723,Listas!$A$2:$C$1048576,3,FALSE),""))</f>
        <v/>
      </c>
    </row>
    <row r="724" spans="10:12" x14ac:dyDescent="0.25">
      <c r="J724" t="str">
        <f>IF(H724="","",IFERROR(VLOOKUP(H724,Listas!$J$2:$K$1048576,2,FALSE),""))</f>
        <v/>
      </c>
      <c r="K724" s="5" t="str">
        <f>IF(OR(I724="",G724=""),"",IF(G724="Saída",-I724,I724))</f>
        <v/>
      </c>
      <c r="L724" t="str">
        <f>IF(E724="","",IFERROR(VLOOKUP(E724,Listas!$A$2:$C$1048576,3,FALSE),""))</f>
        <v/>
      </c>
    </row>
    <row r="725" spans="10:12" x14ac:dyDescent="0.25">
      <c r="J725" t="str">
        <f>IF(H725="","",IFERROR(VLOOKUP(H725,Listas!$J$2:$K$1048576,2,FALSE),""))</f>
        <v/>
      </c>
      <c r="K725" s="5" t="str">
        <f>IF(OR(I725="",G725=""),"",IF(G725="Saída",-I725,I725))</f>
        <v/>
      </c>
      <c r="L725" t="str">
        <f>IF(E725="","",IFERROR(VLOOKUP(E725,Listas!$A$2:$C$1048576,3,FALSE),""))</f>
        <v/>
      </c>
    </row>
    <row r="726" spans="10:12" x14ac:dyDescent="0.25">
      <c r="J726" t="str">
        <f>IF(H726="","",IFERROR(VLOOKUP(H726,Listas!$J$2:$K$1048576,2,FALSE),""))</f>
        <v/>
      </c>
      <c r="K726" s="5" t="str">
        <f>IF(OR(I726="",G726=""),"",IF(G726="Saída",-I726,I726))</f>
        <v/>
      </c>
      <c r="L726" t="str">
        <f>IF(E726="","",IFERROR(VLOOKUP(E726,Listas!$A$2:$C$1048576,3,FALSE),""))</f>
        <v/>
      </c>
    </row>
    <row r="727" spans="10:12" x14ac:dyDescent="0.25">
      <c r="J727" t="str">
        <f>IF(H727="","",IFERROR(VLOOKUP(H727,Listas!$J$2:$K$1048576,2,FALSE),""))</f>
        <v/>
      </c>
      <c r="K727" s="5" t="str">
        <f>IF(OR(I727="",G727=""),"",IF(G727="Saída",-I727,I727))</f>
        <v/>
      </c>
      <c r="L727" t="str">
        <f>IF(E727="","",IFERROR(VLOOKUP(E727,Listas!$A$2:$C$1048576,3,FALSE),""))</f>
        <v/>
      </c>
    </row>
    <row r="728" spans="10:12" x14ac:dyDescent="0.25">
      <c r="J728" t="str">
        <f>IF(H728="","",IFERROR(VLOOKUP(H728,Listas!$J$2:$K$1048576,2,FALSE),""))</f>
        <v/>
      </c>
      <c r="K728" s="5" t="str">
        <f>IF(OR(I728="",G728=""),"",IF(G728="Saída",-I728,I728))</f>
        <v/>
      </c>
      <c r="L728" t="str">
        <f>IF(E728="","",IFERROR(VLOOKUP(E728,Listas!$A$2:$C$1048576,3,FALSE),""))</f>
        <v/>
      </c>
    </row>
    <row r="729" spans="10:12" x14ac:dyDescent="0.25">
      <c r="J729" t="str">
        <f>IF(H729="","",IFERROR(VLOOKUP(H729,Listas!$J$2:$K$1048576,2,FALSE),""))</f>
        <v/>
      </c>
      <c r="K729" s="5" t="str">
        <f>IF(OR(I729="",G729=""),"",IF(G729="Saída",-I729,I729))</f>
        <v/>
      </c>
      <c r="L729" t="str">
        <f>IF(E729="","",IFERROR(VLOOKUP(E729,Listas!$A$2:$C$1048576,3,FALSE),""))</f>
        <v/>
      </c>
    </row>
    <row r="730" spans="10:12" x14ac:dyDescent="0.25">
      <c r="J730" t="str">
        <f>IF(H730="","",IFERROR(VLOOKUP(H730,Listas!$J$2:$K$1048576,2,FALSE),""))</f>
        <v/>
      </c>
      <c r="K730" s="5" t="str">
        <f>IF(OR(I730="",G730=""),"",IF(G730="Saída",-I730,I730))</f>
        <v/>
      </c>
      <c r="L730" t="str">
        <f>IF(E730="","",IFERROR(VLOOKUP(E730,Listas!$A$2:$C$1048576,3,FALSE),""))</f>
        <v/>
      </c>
    </row>
    <row r="731" spans="10:12" x14ac:dyDescent="0.25">
      <c r="J731" t="str">
        <f>IF(H731="","",IFERROR(VLOOKUP(H731,Listas!$J$2:$K$1048576,2,FALSE),""))</f>
        <v/>
      </c>
      <c r="K731" s="5" t="str">
        <f>IF(OR(I731="",G731=""),"",IF(G731="Saída",-I731,I731))</f>
        <v/>
      </c>
      <c r="L731" t="str">
        <f>IF(E731="","",IFERROR(VLOOKUP(E731,Listas!$A$2:$C$1048576,3,FALSE),""))</f>
        <v/>
      </c>
    </row>
    <row r="732" spans="10:12" x14ac:dyDescent="0.25">
      <c r="J732" t="str">
        <f>IF(H732="","",IFERROR(VLOOKUP(H732,Listas!$J$2:$K$1048576,2,FALSE),""))</f>
        <v/>
      </c>
      <c r="K732" s="5" t="str">
        <f>IF(OR(I732="",G732=""),"",IF(G732="Saída",-I732,I732))</f>
        <v/>
      </c>
      <c r="L732" t="str">
        <f>IF(E732="","",IFERROR(VLOOKUP(E732,Listas!$A$2:$C$1048576,3,FALSE),""))</f>
        <v/>
      </c>
    </row>
    <row r="733" spans="10:12" x14ac:dyDescent="0.25">
      <c r="J733" t="str">
        <f>IF(H733="","",IFERROR(VLOOKUP(H733,Listas!$J$2:$K$1048576,2,FALSE),""))</f>
        <v/>
      </c>
      <c r="K733" s="5" t="str">
        <f>IF(OR(I733="",G733=""),"",IF(G733="Saída",-I733,I733))</f>
        <v/>
      </c>
      <c r="L733" t="str">
        <f>IF(E733="","",IFERROR(VLOOKUP(E733,Listas!$A$2:$C$1048576,3,FALSE),""))</f>
        <v/>
      </c>
    </row>
    <row r="734" spans="10:12" x14ac:dyDescent="0.25">
      <c r="J734" t="str">
        <f>IF(H734="","",IFERROR(VLOOKUP(H734,Listas!$J$2:$K$1048576,2,FALSE),""))</f>
        <v/>
      </c>
      <c r="K734" s="5" t="str">
        <f>IF(OR(I734="",G734=""),"",IF(G734="Saída",-I734,I734))</f>
        <v/>
      </c>
      <c r="L734" t="str">
        <f>IF(E734="","",IFERROR(VLOOKUP(E734,Listas!$A$2:$C$1048576,3,FALSE),""))</f>
        <v/>
      </c>
    </row>
    <row r="735" spans="10:12" x14ac:dyDescent="0.25">
      <c r="J735" t="str">
        <f>IF(H735="","",IFERROR(VLOOKUP(H735,Listas!$J$2:$K$1048576,2,FALSE),""))</f>
        <v/>
      </c>
      <c r="K735" s="5" t="str">
        <f>IF(OR(I735="",G735=""),"",IF(G735="Saída",-I735,I735))</f>
        <v/>
      </c>
      <c r="L735" t="str">
        <f>IF(E735="","",IFERROR(VLOOKUP(E735,Listas!$A$2:$C$1048576,3,FALSE),""))</f>
        <v/>
      </c>
    </row>
    <row r="736" spans="10:12" x14ac:dyDescent="0.25">
      <c r="J736" t="str">
        <f>IF(H736="","",IFERROR(VLOOKUP(H736,Listas!$J$2:$K$1048576,2,FALSE),""))</f>
        <v/>
      </c>
      <c r="K736" s="5" t="str">
        <f>IF(OR(I736="",G736=""),"",IF(G736="Saída",-I736,I736))</f>
        <v/>
      </c>
      <c r="L736" t="str">
        <f>IF(E736="","",IFERROR(VLOOKUP(E736,Listas!$A$2:$C$1048576,3,FALSE),""))</f>
        <v/>
      </c>
    </row>
    <row r="737" spans="10:12" x14ac:dyDescent="0.25">
      <c r="J737" t="str">
        <f>IF(H737="","",IFERROR(VLOOKUP(H737,Listas!$J$2:$K$1048576,2,FALSE),""))</f>
        <v/>
      </c>
      <c r="K737" s="5" t="str">
        <f>IF(OR(I737="",G737=""),"",IF(G737="Saída",-I737,I737))</f>
        <v/>
      </c>
      <c r="L737" t="str">
        <f>IF(E737="","",IFERROR(VLOOKUP(E737,Listas!$A$2:$C$1048576,3,FALSE),""))</f>
        <v/>
      </c>
    </row>
    <row r="738" spans="10:12" x14ac:dyDescent="0.25">
      <c r="J738" t="str">
        <f>IF(H738="","",IFERROR(VLOOKUP(H738,Listas!$J$2:$K$1048576,2,FALSE),""))</f>
        <v/>
      </c>
      <c r="K738" s="5" t="str">
        <f>IF(OR(I738="",G738=""),"",IF(G738="Saída",-I738,I738))</f>
        <v/>
      </c>
      <c r="L738" t="str">
        <f>IF(E738="","",IFERROR(VLOOKUP(E738,Listas!$A$2:$C$1048576,3,FALSE),""))</f>
        <v/>
      </c>
    </row>
    <row r="739" spans="10:12" x14ac:dyDescent="0.25">
      <c r="J739" t="str">
        <f>IF(H739="","",IFERROR(VLOOKUP(H739,Listas!$J$2:$K$1048576,2,FALSE),""))</f>
        <v/>
      </c>
      <c r="K739" s="5" t="str">
        <f>IF(OR(I739="",G739=""),"",IF(G739="Saída",-I739,I739))</f>
        <v/>
      </c>
      <c r="L739" t="str">
        <f>IF(E739="","",IFERROR(VLOOKUP(E739,Listas!$A$2:$C$1048576,3,FALSE),""))</f>
        <v/>
      </c>
    </row>
    <row r="740" spans="10:12" x14ac:dyDescent="0.25">
      <c r="J740" t="str">
        <f>IF(H740="","",IFERROR(VLOOKUP(H740,Listas!$J$2:$K$1048576,2,FALSE),""))</f>
        <v/>
      </c>
      <c r="K740" s="5" t="str">
        <f>IF(OR(I740="",G740=""),"",IF(G740="Saída",-I740,I740))</f>
        <v/>
      </c>
      <c r="L740" t="str">
        <f>IF(E740="","",IFERROR(VLOOKUP(E740,Listas!$A$2:$C$1048576,3,FALSE),""))</f>
        <v/>
      </c>
    </row>
    <row r="741" spans="10:12" x14ac:dyDescent="0.25">
      <c r="J741" t="str">
        <f>IF(H741="","",IFERROR(VLOOKUP(H741,Listas!$J$2:$K$1048576,2,FALSE),""))</f>
        <v/>
      </c>
      <c r="K741" s="5" t="str">
        <f>IF(OR(I741="",G741=""),"",IF(G741="Saída",-I741,I741))</f>
        <v/>
      </c>
      <c r="L741" t="str">
        <f>IF(E741="","",IFERROR(VLOOKUP(E741,Listas!$A$2:$C$1048576,3,FALSE),""))</f>
        <v/>
      </c>
    </row>
    <row r="742" spans="10:12" x14ac:dyDescent="0.25">
      <c r="J742" t="str">
        <f>IF(H742="","",IFERROR(VLOOKUP(H742,Listas!$J$2:$K$1048576,2,FALSE),""))</f>
        <v/>
      </c>
      <c r="K742" s="5" t="str">
        <f>IF(OR(I742="",G742=""),"",IF(G742="Saída",-I742,I742))</f>
        <v/>
      </c>
      <c r="L742" t="str">
        <f>IF(E742="","",IFERROR(VLOOKUP(E742,Listas!$A$2:$C$1048576,3,FALSE),""))</f>
        <v/>
      </c>
    </row>
    <row r="743" spans="10:12" x14ac:dyDescent="0.25">
      <c r="J743" t="str">
        <f>IF(H743="","",IFERROR(VLOOKUP(H743,Listas!$J$2:$K$1048576,2,FALSE),""))</f>
        <v/>
      </c>
      <c r="K743" s="5" t="str">
        <f>IF(OR(I743="",G743=""),"",IF(G743="Saída",-I743,I743))</f>
        <v/>
      </c>
      <c r="L743" t="str">
        <f>IF(E743="","",IFERROR(VLOOKUP(E743,Listas!$A$2:$C$1048576,3,FALSE),""))</f>
        <v/>
      </c>
    </row>
    <row r="744" spans="10:12" x14ac:dyDescent="0.25">
      <c r="J744" t="str">
        <f>IF(H744="","",IFERROR(VLOOKUP(H744,Listas!$J$2:$K$1048576,2,FALSE),""))</f>
        <v/>
      </c>
      <c r="K744" s="5" t="str">
        <f>IF(OR(I744="",G744=""),"",IF(G744="Saída",-I744,I744))</f>
        <v/>
      </c>
      <c r="L744" t="str">
        <f>IF(E744="","",IFERROR(VLOOKUP(E744,Listas!$A$2:$C$1048576,3,FALSE),""))</f>
        <v/>
      </c>
    </row>
    <row r="745" spans="10:12" x14ac:dyDescent="0.25">
      <c r="J745" t="str">
        <f>IF(H745="","",IFERROR(VLOOKUP(H745,Listas!$J$2:$K$1048576,2,FALSE),""))</f>
        <v/>
      </c>
      <c r="K745" s="5" t="str">
        <f>IF(OR(I745="",G745=""),"",IF(G745="Saída",-I745,I745))</f>
        <v/>
      </c>
      <c r="L745" t="str">
        <f>IF(E745="","",IFERROR(VLOOKUP(E745,Listas!$A$2:$C$1048576,3,FALSE),""))</f>
        <v/>
      </c>
    </row>
    <row r="746" spans="10:12" x14ac:dyDescent="0.25">
      <c r="J746" t="str">
        <f>IF(H746="","",IFERROR(VLOOKUP(H746,Listas!$J$2:$K$1048576,2,FALSE),""))</f>
        <v/>
      </c>
      <c r="K746" s="5" t="str">
        <f>IF(OR(I746="",G746=""),"",IF(G746="Saída",-I746,I746))</f>
        <v/>
      </c>
      <c r="L746" t="str">
        <f>IF(E746="","",IFERROR(VLOOKUP(E746,Listas!$A$2:$C$1048576,3,FALSE),""))</f>
        <v/>
      </c>
    </row>
    <row r="747" spans="10:12" x14ac:dyDescent="0.25">
      <c r="J747" t="str">
        <f>IF(H747="","",IFERROR(VLOOKUP(H747,Listas!$J$2:$K$1048576,2,FALSE),""))</f>
        <v/>
      </c>
      <c r="K747" s="5" t="str">
        <f>IF(OR(I747="",G747=""),"",IF(G747="Saída",-I747,I747))</f>
        <v/>
      </c>
      <c r="L747" t="str">
        <f>IF(E747="","",IFERROR(VLOOKUP(E747,Listas!$A$2:$C$1048576,3,FALSE),""))</f>
        <v/>
      </c>
    </row>
    <row r="748" spans="10:12" x14ac:dyDescent="0.25">
      <c r="J748" t="str">
        <f>IF(H748="","",IFERROR(VLOOKUP(H748,Listas!$J$2:$K$1048576,2,FALSE),""))</f>
        <v/>
      </c>
      <c r="K748" s="5" t="str">
        <f>IF(OR(I748="",G748=""),"",IF(G748="Saída",-I748,I748))</f>
        <v/>
      </c>
      <c r="L748" t="str">
        <f>IF(E748="","",IFERROR(VLOOKUP(E748,Listas!$A$2:$C$1048576,3,FALSE),""))</f>
        <v/>
      </c>
    </row>
    <row r="749" spans="10:12" x14ac:dyDescent="0.25">
      <c r="J749" t="str">
        <f>IF(H749="","",IFERROR(VLOOKUP(H749,Listas!$J$2:$K$1048576,2,FALSE),""))</f>
        <v/>
      </c>
      <c r="K749" s="5" t="str">
        <f>IF(OR(I749="",G749=""),"",IF(G749="Saída",-I749,I749))</f>
        <v/>
      </c>
      <c r="L749" t="str">
        <f>IF(E749="","",IFERROR(VLOOKUP(E749,Listas!$A$2:$C$1048576,3,FALSE),""))</f>
        <v/>
      </c>
    </row>
    <row r="750" spans="10:12" x14ac:dyDescent="0.25">
      <c r="J750" t="str">
        <f>IF(H750="","",IFERROR(VLOOKUP(H750,Listas!$J$2:$K$1048576,2,FALSE),""))</f>
        <v/>
      </c>
      <c r="K750" s="5" t="str">
        <f>IF(OR(I750="",G750=""),"",IF(G750="Saída",-I750,I750))</f>
        <v/>
      </c>
      <c r="L750" t="str">
        <f>IF(E750="","",IFERROR(VLOOKUP(E750,Listas!$A$2:$C$1048576,3,FALSE),""))</f>
        <v/>
      </c>
    </row>
    <row r="751" spans="10:12" x14ac:dyDescent="0.25">
      <c r="J751" t="str">
        <f>IF(H751="","",IFERROR(VLOOKUP(H751,Listas!$J$2:$K$1048576,2,FALSE),""))</f>
        <v/>
      </c>
      <c r="K751" s="5" t="str">
        <f>IF(OR(I751="",G751=""),"",IF(G751="Saída",-I751,I751))</f>
        <v/>
      </c>
      <c r="L751" t="str">
        <f>IF(E751="","",IFERROR(VLOOKUP(E751,Listas!$A$2:$C$1048576,3,FALSE),""))</f>
        <v/>
      </c>
    </row>
    <row r="752" spans="10:12" x14ac:dyDescent="0.25">
      <c r="J752" t="str">
        <f>IF(H752="","",IFERROR(VLOOKUP(H752,Listas!$J$2:$K$1048576,2,FALSE),""))</f>
        <v/>
      </c>
      <c r="K752" s="5" t="str">
        <f>IF(OR(I752="",G752=""),"",IF(G752="Saída",-I752,I752))</f>
        <v/>
      </c>
      <c r="L752" t="str">
        <f>IF(E752="","",IFERROR(VLOOKUP(E752,Listas!$A$2:$C$1048576,3,FALSE),""))</f>
        <v/>
      </c>
    </row>
    <row r="753" spans="10:12" x14ac:dyDescent="0.25">
      <c r="J753" t="str">
        <f>IF(H753="","",IFERROR(VLOOKUP(H753,Listas!$J$2:$K$1048576,2,FALSE),""))</f>
        <v/>
      </c>
      <c r="K753" s="5" t="str">
        <f>IF(OR(I753="",G753=""),"",IF(G753="Saída",-I753,I753))</f>
        <v/>
      </c>
      <c r="L753" t="str">
        <f>IF(E753="","",IFERROR(VLOOKUP(E753,Listas!$A$2:$C$1048576,3,FALSE),""))</f>
        <v/>
      </c>
    </row>
    <row r="754" spans="10:12" x14ac:dyDescent="0.25">
      <c r="J754" t="str">
        <f>IF(H754="","",IFERROR(VLOOKUP(H754,Listas!$J$2:$K$1048576,2,FALSE),""))</f>
        <v/>
      </c>
      <c r="K754" s="5" t="str">
        <f>IF(OR(I754="",G754=""),"",IF(G754="Saída",-I754,I754))</f>
        <v/>
      </c>
      <c r="L754" t="str">
        <f>IF(E754="","",IFERROR(VLOOKUP(E754,Listas!$A$2:$C$1048576,3,FALSE),""))</f>
        <v/>
      </c>
    </row>
    <row r="755" spans="10:12" x14ac:dyDescent="0.25">
      <c r="J755" t="str">
        <f>IF(H755="","",IFERROR(VLOOKUP(H755,Listas!$J$2:$K$1048576,2,FALSE),""))</f>
        <v/>
      </c>
      <c r="K755" s="5" t="str">
        <f>IF(OR(I755="",G755=""),"",IF(G755="Saída",-I755,I755))</f>
        <v/>
      </c>
      <c r="L755" t="str">
        <f>IF(E755="","",IFERROR(VLOOKUP(E755,Listas!$A$2:$C$1048576,3,FALSE),""))</f>
        <v/>
      </c>
    </row>
    <row r="756" spans="10:12" x14ac:dyDescent="0.25">
      <c r="J756" t="str">
        <f>IF(H756="","",IFERROR(VLOOKUP(H756,Listas!$J$2:$K$1048576,2,FALSE),""))</f>
        <v/>
      </c>
      <c r="K756" s="5" t="str">
        <f>IF(OR(I756="",G756=""),"",IF(G756="Saída",-I756,I756))</f>
        <v/>
      </c>
      <c r="L756" t="str">
        <f>IF(E756="","",IFERROR(VLOOKUP(E756,Listas!$A$2:$C$1048576,3,FALSE),""))</f>
        <v/>
      </c>
    </row>
    <row r="757" spans="10:12" x14ac:dyDescent="0.25">
      <c r="J757" t="str">
        <f>IF(H757="","",IFERROR(VLOOKUP(H757,Listas!$J$2:$K$1048576,2,FALSE),""))</f>
        <v/>
      </c>
      <c r="K757" s="5" t="str">
        <f>IF(OR(I757="",G757=""),"",IF(G757="Saída",-I757,I757))</f>
        <v/>
      </c>
      <c r="L757" t="str">
        <f>IF(E757="","",IFERROR(VLOOKUP(E757,Listas!$A$2:$C$1048576,3,FALSE),""))</f>
        <v/>
      </c>
    </row>
    <row r="758" spans="10:12" x14ac:dyDescent="0.25">
      <c r="J758" t="str">
        <f>IF(H758="","",IFERROR(VLOOKUP(H758,Listas!$J$2:$K$1048576,2,FALSE),""))</f>
        <v/>
      </c>
      <c r="K758" s="5" t="str">
        <f>IF(OR(I758="",G758=""),"",IF(G758="Saída",-I758,I758))</f>
        <v/>
      </c>
      <c r="L758" t="str">
        <f>IF(E758="","",IFERROR(VLOOKUP(E758,Listas!$A$2:$C$1048576,3,FALSE),""))</f>
        <v/>
      </c>
    </row>
    <row r="759" spans="10:12" x14ac:dyDescent="0.25">
      <c r="J759" t="str">
        <f>IF(H759="","",IFERROR(VLOOKUP(H759,Listas!$J$2:$K$1048576,2,FALSE),""))</f>
        <v/>
      </c>
      <c r="K759" s="5" t="str">
        <f>IF(OR(I759="",G759=""),"",IF(G759="Saída",-I759,I759))</f>
        <v/>
      </c>
      <c r="L759" t="str">
        <f>IF(E759="","",IFERROR(VLOOKUP(E759,Listas!$A$2:$C$1048576,3,FALSE),""))</f>
        <v/>
      </c>
    </row>
    <row r="760" spans="10:12" x14ac:dyDescent="0.25">
      <c r="J760" t="str">
        <f>IF(H760="","",IFERROR(VLOOKUP(H760,Listas!$J$2:$K$1048576,2,FALSE),""))</f>
        <v/>
      </c>
      <c r="K760" s="5" t="str">
        <f>IF(OR(I760="",G760=""),"",IF(G760="Saída",-I760,I760))</f>
        <v/>
      </c>
      <c r="L760" t="str">
        <f>IF(E760="","",IFERROR(VLOOKUP(E760,Listas!$A$2:$C$1048576,3,FALSE),""))</f>
        <v/>
      </c>
    </row>
    <row r="761" spans="10:12" x14ac:dyDescent="0.25">
      <c r="J761" t="str">
        <f>IF(H761="","",IFERROR(VLOOKUP(H761,Listas!$J$2:$K$1048576,2,FALSE),""))</f>
        <v/>
      </c>
      <c r="K761" s="5" t="str">
        <f>IF(OR(I761="",G761=""),"",IF(G761="Saída",-I761,I761))</f>
        <v/>
      </c>
      <c r="L761" t="str">
        <f>IF(E761="","",IFERROR(VLOOKUP(E761,Listas!$A$2:$C$1048576,3,FALSE),""))</f>
        <v/>
      </c>
    </row>
    <row r="762" spans="10:12" x14ac:dyDescent="0.25">
      <c r="J762" t="str">
        <f>IF(H762="","",IFERROR(VLOOKUP(H762,Listas!$J$2:$K$1048576,2,FALSE),""))</f>
        <v/>
      </c>
      <c r="K762" s="5" t="str">
        <f>IF(OR(I762="",G762=""),"",IF(G762="Saída",-I762,I762))</f>
        <v/>
      </c>
      <c r="L762" t="str">
        <f>IF(E762="","",IFERROR(VLOOKUP(E762,Listas!$A$2:$C$1048576,3,FALSE),""))</f>
        <v/>
      </c>
    </row>
    <row r="763" spans="10:12" x14ac:dyDescent="0.25">
      <c r="J763" t="str">
        <f>IF(H763="","",IFERROR(VLOOKUP(H763,Listas!$J$2:$K$1048576,2,FALSE),""))</f>
        <v/>
      </c>
      <c r="K763" s="5" t="str">
        <f>IF(OR(I763="",G763=""),"",IF(G763="Saída",-I763,I763))</f>
        <v/>
      </c>
      <c r="L763" t="str">
        <f>IF(E763="","",IFERROR(VLOOKUP(E763,Listas!$A$2:$C$1048576,3,FALSE),""))</f>
        <v/>
      </c>
    </row>
    <row r="764" spans="10:12" x14ac:dyDescent="0.25">
      <c r="J764" t="str">
        <f>IF(H764="","",IFERROR(VLOOKUP(H764,Listas!$J$2:$K$1048576,2,FALSE),""))</f>
        <v/>
      </c>
      <c r="K764" s="5" t="str">
        <f>IF(OR(I764="",G764=""),"",IF(G764="Saída",-I764,I764))</f>
        <v/>
      </c>
      <c r="L764" t="str">
        <f>IF(E764="","",IFERROR(VLOOKUP(E764,Listas!$A$2:$C$1048576,3,FALSE),""))</f>
        <v/>
      </c>
    </row>
    <row r="765" spans="10:12" x14ac:dyDescent="0.25">
      <c r="J765" t="str">
        <f>IF(H765="","",IFERROR(VLOOKUP(H765,Listas!$J$2:$K$1048576,2,FALSE),""))</f>
        <v/>
      </c>
      <c r="K765" s="5" t="str">
        <f>IF(OR(I765="",G765=""),"",IF(G765="Saída",-I765,I765))</f>
        <v/>
      </c>
      <c r="L765" t="str">
        <f>IF(E765="","",IFERROR(VLOOKUP(E765,Listas!$A$2:$C$1048576,3,FALSE),""))</f>
        <v/>
      </c>
    </row>
    <row r="766" spans="10:12" x14ac:dyDescent="0.25">
      <c r="J766" t="str">
        <f>IF(H766="","",IFERROR(VLOOKUP(H766,Listas!$J$2:$K$1048576,2,FALSE),""))</f>
        <v/>
      </c>
      <c r="K766" s="5" t="str">
        <f>IF(OR(I766="",G766=""),"",IF(G766="Saída",-I766,I766))</f>
        <v/>
      </c>
      <c r="L766" t="str">
        <f>IF(E766="","",IFERROR(VLOOKUP(E766,Listas!$A$2:$C$1048576,3,FALSE),""))</f>
        <v/>
      </c>
    </row>
    <row r="767" spans="10:12" x14ac:dyDescent="0.25">
      <c r="J767" t="str">
        <f>IF(H767="","",IFERROR(VLOOKUP(H767,Listas!$J$2:$K$1048576,2,FALSE),""))</f>
        <v/>
      </c>
      <c r="K767" s="5" t="str">
        <f>IF(OR(I767="",G767=""),"",IF(G767="Saída",-I767,I767))</f>
        <v/>
      </c>
      <c r="L767" t="str">
        <f>IF(E767="","",IFERROR(VLOOKUP(E767,Listas!$A$2:$C$1048576,3,FALSE),""))</f>
        <v/>
      </c>
    </row>
    <row r="768" spans="10:12" x14ac:dyDescent="0.25">
      <c r="J768" t="str">
        <f>IF(H768="","",IFERROR(VLOOKUP(H768,Listas!$J$2:$K$1048576,2,FALSE),""))</f>
        <v/>
      </c>
      <c r="K768" s="5" t="str">
        <f>IF(OR(I768="",G768=""),"",IF(G768="Saída",-I768,I768))</f>
        <v/>
      </c>
      <c r="L768" t="str">
        <f>IF(E768="","",IFERROR(VLOOKUP(E768,Listas!$A$2:$C$1048576,3,FALSE),""))</f>
        <v/>
      </c>
    </row>
    <row r="769" spans="10:12" x14ac:dyDescent="0.25">
      <c r="J769" t="str">
        <f>IF(H769="","",IFERROR(VLOOKUP(H769,Listas!$J$2:$K$1048576,2,FALSE),""))</f>
        <v/>
      </c>
      <c r="K769" s="5" t="str">
        <f>IF(OR(I769="",G769=""),"",IF(G769="Saída",-I769,I769))</f>
        <v/>
      </c>
      <c r="L769" t="str">
        <f>IF(E769="","",IFERROR(VLOOKUP(E769,Listas!$A$2:$C$1048576,3,FALSE),""))</f>
        <v/>
      </c>
    </row>
    <row r="770" spans="10:12" x14ac:dyDescent="0.25">
      <c r="J770" t="str">
        <f>IF(H770="","",IFERROR(VLOOKUP(H770,Listas!$J$2:$K$1048576,2,FALSE),""))</f>
        <v/>
      </c>
      <c r="K770" s="5" t="str">
        <f>IF(OR(I770="",G770=""),"",IF(G770="Saída",-I770,I770))</f>
        <v/>
      </c>
      <c r="L770" t="str">
        <f>IF(E770="","",IFERROR(VLOOKUP(E770,Listas!$A$2:$C$1048576,3,FALSE),""))</f>
        <v/>
      </c>
    </row>
    <row r="771" spans="10:12" x14ac:dyDescent="0.25">
      <c r="J771" t="str">
        <f>IF(H771="","",IFERROR(VLOOKUP(H771,Listas!$J$2:$K$1048576,2,FALSE),""))</f>
        <v/>
      </c>
      <c r="K771" s="5" t="str">
        <f>IF(OR(I771="",G771=""),"",IF(G771="Saída",-I771,I771))</f>
        <v/>
      </c>
      <c r="L771" t="str">
        <f>IF(E771="","",IFERROR(VLOOKUP(E771,Listas!$A$2:$C$1048576,3,FALSE),""))</f>
        <v/>
      </c>
    </row>
    <row r="772" spans="10:12" x14ac:dyDescent="0.25">
      <c r="J772" t="str">
        <f>IF(H772="","",IFERROR(VLOOKUP(H772,Listas!$J$2:$K$1048576,2,FALSE),""))</f>
        <v/>
      </c>
      <c r="K772" s="5" t="str">
        <f>IF(OR(I772="",G772=""),"",IF(G772="Saída",-I772,I772))</f>
        <v/>
      </c>
      <c r="L772" t="str">
        <f>IF(E772="","",IFERROR(VLOOKUP(E772,Listas!$A$2:$C$1048576,3,FALSE),""))</f>
        <v/>
      </c>
    </row>
    <row r="773" spans="10:12" x14ac:dyDescent="0.25">
      <c r="J773" t="str">
        <f>IF(H773="","",IFERROR(VLOOKUP(H773,Listas!$J$2:$K$1048576,2,FALSE),""))</f>
        <v/>
      </c>
      <c r="K773" s="5" t="str">
        <f>IF(OR(I773="",G773=""),"",IF(G773="Saída",-I773,I773))</f>
        <v/>
      </c>
      <c r="L773" t="str">
        <f>IF(E773="","",IFERROR(VLOOKUP(E773,Listas!$A$2:$C$1048576,3,FALSE),""))</f>
        <v/>
      </c>
    </row>
    <row r="774" spans="10:12" x14ac:dyDescent="0.25">
      <c r="J774" t="str">
        <f>IF(H774="","",IFERROR(VLOOKUP(H774,Listas!$J$2:$K$1048576,2,FALSE),""))</f>
        <v/>
      </c>
      <c r="K774" s="5" t="str">
        <f>IF(OR(I774="",G774=""),"",IF(G774="Saída",-I774,I774))</f>
        <v/>
      </c>
      <c r="L774" t="str">
        <f>IF(E774="","",IFERROR(VLOOKUP(E774,Listas!$A$2:$C$1048576,3,FALSE),""))</f>
        <v/>
      </c>
    </row>
    <row r="775" spans="10:12" x14ac:dyDescent="0.25">
      <c r="J775" t="str">
        <f>IF(H775="","",IFERROR(VLOOKUP(H775,Listas!$J$2:$K$1048576,2,FALSE),""))</f>
        <v/>
      </c>
      <c r="K775" s="5" t="str">
        <f>IF(OR(I775="",G775=""),"",IF(G775="Saída",-I775,I775))</f>
        <v/>
      </c>
      <c r="L775" t="str">
        <f>IF(E775="","",IFERROR(VLOOKUP(E775,Listas!$A$2:$C$1048576,3,FALSE),""))</f>
        <v/>
      </c>
    </row>
    <row r="776" spans="10:12" x14ac:dyDescent="0.25">
      <c r="J776" t="str">
        <f>IF(H776="","",IFERROR(VLOOKUP(H776,Listas!$J$2:$K$1048576,2,FALSE),""))</f>
        <v/>
      </c>
      <c r="K776" s="5" t="str">
        <f>IF(OR(I776="",G776=""),"",IF(G776="Saída",-I776,I776))</f>
        <v/>
      </c>
      <c r="L776" t="str">
        <f>IF(E776="","",IFERROR(VLOOKUP(E776,Listas!$A$2:$C$1048576,3,FALSE),""))</f>
        <v/>
      </c>
    </row>
    <row r="777" spans="10:12" x14ac:dyDescent="0.25">
      <c r="J777" t="str">
        <f>IF(H777="","",IFERROR(VLOOKUP(H777,Listas!$J$2:$K$1048576,2,FALSE),""))</f>
        <v/>
      </c>
      <c r="K777" s="5" t="str">
        <f>IF(OR(I777="",G777=""),"",IF(G777="Saída",-I777,I777))</f>
        <v/>
      </c>
      <c r="L777" t="str">
        <f>IF(E777="","",IFERROR(VLOOKUP(E777,Listas!$A$2:$C$1048576,3,FALSE),""))</f>
        <v/>
      </c>
    </row>
    <row r="778" spans="10:12" x14ac:dyDescent="0.25">
      <c r="J778" t="str">
        <f>IF(H778="","",IFERROR(VLOOKUP(H778,Listas!$J$2:$K$1048576,2,FALSE),""))</f>
        <v/>
      </c>
      <c r="K778" s="5" t="str">
        <f>IF(OR(I778="",G778=""),"",IF(G778="Saída",-I778,I778))</f>
        <v/>
      </c>
      <c r="L778" t="str">
        <f>IF(E778="","",IFERROR(VLOOKUP(E778,Listas!$A$2:$C$1048576,3,FALSE),""))</f>
        <v/>
      </c>
    </row>
    <row r="779" spans="10:12" x14ac:dyDescent="0.25">
      <c r="J779" t="str">
        <f>IF(H779="","",IFERROR(VLOOKUP(H779,Listas!$J$2:$K$1048576,2,FALSE),""))</f>
        <v/>
      </c>
      <c r="K779" s="5" t="str">
        <f>IF(OR(I779="",G779=""),"",IF(G779="Saída",-I779,I779))</f>
        <v/>
      </c>
      <c r="L779" t="str">
        <f>IF(E779="","",IFERROR(VLOOKUP(E779,Listas!$A$2:$C$1048576,3,FALSE),""))</f>
        <v/>
      </c>
    </row>
    <row r="780" spans="10:12" x14ac:dyDescent="0.25">
      <c r="J780" t="str">
        <f>IF(H780="","",IFERROR(VLOOKUP(H780,Listas!$J$2:$K$1048576,2,FALSE),""))</f>
        <v/>
      </c>
      <c r="K780" s="5" t="str">
        <f>IF(OR(I780="",G780=""),"",IF(G780="Saída",-I780,I780))</f>
        <v/>
      </c>
      <c r="L780" t="str">
        <f>IF(E780="","",IFERROR(VLOOKUP(E780,Listas!$A$2:$C$1048576,3,FALSE),""))</f>
        <v/>
      </c>
    </row>
    <row r="781" spans="10:12" x14ac:dyDescent="0.25">
      <c r="J781" t="str">
        <f>IF(H781="","",IFERROR(VLOOKUP(H781,Listas!$J$2:$K$1048576,2,FALSE),""))</f>
        <v/>
      </c>
      <c r="K781" s="5" t="str">
        <f>IF(OR(I781="",G781=""),"",IF(G781="Saída",-I781,I781))</f>
        <v/>
      </c>
      <c r="L781" t="str">
        <f>IF(E781="","",IFERROR(VLOOKUP(E781,Listas!$A$2:$C$1048576,3,FALSE),""))</f>
        <v/>
      </c>
    </row>
    <row r="782" spans="10:12" x14ac:dyDescent="0.25">
      <c r="J782" t="str">
        <f>IF(H782="","",IFERROR(VLOOKUP(H782,Listas!$J$2:$K$1048576,2,FALSE),""))</f>
        <v/>
      </c>
      <c r="K782" s="5" t="str">
        <f>IF(OR(I782="",G782=""),"",IF(G782="Saída",-I782,I782))</f>
        <v/>
      </c>
      <c r="L782" t="str">
        <f>IF(E782="","",IFERROR(VLOOKUP(E782,Listas!$A$2:$C$1048576,3,FALSE),""))</f>
        <v/>
      </c>
    </row>
    <row r="783" spans="10:12" x14ac:dyDescent="0.25">
      <c r="J783" t="str">
        <f>IF(H783="","",IFERROR(VLOOKUP(H783,Listas!$J$2:$K$1048576,2,FALSE),""))</f>
        <v/>
      </c>
      <c r="K783" s="5" t="str">
        <f>IF(OR(I783="",G783=""),"",IF(G783="Saída",-I783,I783))</f>
        <v/>
      </c>
      <c r="L783" t="str">
        <f>IF(E783="","",IFERROR(VLOOKUP(E783,Listas!$A$2:$C$1048576,3,FALSE),""))</f>
        <v/>
      </c>
    </row>
    <row r="784" spans="10:12" x14ac:dyDescent="0.25">
      <c r="J784" t="str">
        <f>IF(H784="","",IFERROR(VLOOKUP(H784,Listas!$J$2:$K$1048576,2,FALSE),""))</f>
        <v/>
      </c>
      <c r="K784" s="5" t="str">
        <f>IF(OR(I784="",G784=""),"",IF(G784="Saída",-I784,I784))</f>
        <v/>
      </c>
      <c r="L784" t="str">
        <f>IF(E784="","",IFERROR(VLOOKUP(E784,Listas!$A$2:$C$1048576,3,FALSE),""))</f>
        <v/>
      </c>
    </row>
    <row r="785" spans="10:12" x14ac:dyDescent="0.25">
      <c r="J785" t="str">
        <f>IF(H785="","",IFERROR(VLOOKUP(H785,Listas!$J$2:$K$1048576,2,FALSE),""))</f>
        <v/>
      </c>
      <c r="K785" s="5" t="str">
        <f>IF(OR(I785="",G785=""),"",IF(G785="Saída",-I785,I785))</f>
        <v/>
      </c>
      <c r="L785" t="str">
        <f>IF(E785="","",IFERROR(VLOOKUP(E785,Listas!$A$2:$C$1048576,3,FALSE),""))</f>
        <v/>
      </c>
    </row>
    <row r="786" spans="10:12" x14ac:dyDescent="0.25">
      <c r="J786" t="str">
        <f>IF(H786="","",IFERROR(VLOOKUP(H786,Listas!$J$2:$K$1048576,2,FALSE),""))</f>
        <v/>
      </c>
      <c r="K786" s="5" t="str">
        <f>IF(OR(I786="",G786=""),"",IF(G786="Saída",-I786,I786))</f>
        <v/>
      </c>
      <c r="L786" t="str">
        <f>IF(E786="","",IFERROR(VLOOKUP(E786,Listas!$A$2:$C$1048576,3,FALSE),""))</f>
        <v/>
      </c>
    </row>
    <row r="787" spans="10:12" x14ac:dyDescent="0.25">
      <c r="J787" t="str">
        <f>IF(H787="","",IFERROR(VLOOKUP(H787,Listas!$J$2:$K$1048576,2,FALSE),""))</f>
        <v/>
      </c>
      <c r="K787" s="5" t="str">
        <f>IF(OR(I787="",G787=""),"",IF(G787="Saída",-I787,I787))</f>
        <v/>
      </c>
      <c r="L787" t="str">
        <f>IF(E787="","",IFERROR(VLOOKUP(E787,Listas!$A$2:$C$1048576,3,FALSE),""))</f>
        <v/>
      </c>
    </row>
    <row r="788" spans="10:12" x14ac:dyDescent="0.25">
      <c r="J788" t="str">
        <f>IF(H788="","",IFERROR(VLOOKUP(H788,Listas!$J$2:$K$1048576,2,FALSE),""))</f>
        <v/>
      </c>
      <c r="K788" s="5" t="str">
        <f>IF(OR(I788="",G788=""),"",IF(G788="Saída",-I788,I788))</f>
        <v/>
      </c>
      <c r="L788" t="str">
        <f>IF(E788="","",IFERROR(VLOOKUP(E788,Listas!$A$2:$C$1048576,3,FALSE),""))</f>
        <v/>
      </c>
    </row>
    <row r="789" spans="10:12" x14ac:dyDescent="0.25">
      <c r="J789" t="str">
        <f>IF(H789="","",IFERROR(VLOOKUP(H789,Listas!$J$2:$K$1048576,2,FALSE),""))</f>
        <v/>
      </c>
      <c r="K789" s="5" t="str">
        <f>IF(OR(I789="",G789=""),"",IF(G789="Saída",-I789,I789))</f>
        <v/>
      </c>
      <c r="L789" t="str">
        <f>IF(E789="","",IFERROR(VLOOKUP(E789,Listas!$A$2:$C$1048576,3,FALSE),""))</f>
        <v/>
      </c>
    </row>
    <row r="790" spans="10:12" x14ac:dyDescent="0.25">
      <c r="J790" t="str">
        <f>IF(H790="","",IFERROR(VLOOKUP(H790,Listas!$J$2:$K$1048576,2,FALSE),""))</f>
        <v/>
      </c>
      <c r="K790" s="5" t="str">
        <f>IF(OR(I790="",G790=""),"",IF(G790="Saída",-I790,I790))</f>
        <v/>
      </c>
      <c r="L790" t="str">
        <f>IF(E790="","",IFERROR(VLOOKUP(E790,Listas!$A$2:$C$1048576,3,FALSE),""))</f>
        <v/>
      </c>
    </row>
    <row r="791" spans="10:12" x14ac:dyDescent="0.25">
      <c r="J791" t="str">
        <f>IF(H791="","",IFERROR(VLOOKUP(H791,Listas!$J$2:$K$1048576,2,FALSE),""))</f>
        <v/>
      </c>
      <c r="K791" s="5" t="str">
        <f>IF(OR(I791="",G791=""),"",IF(G791="Saída",-I791,I791))</f>
        <v/>
      </c>
      <c r="L791" t="str">
        <f>IF(E791="","",IFERROR(VLOOKUP(E791,Listas!$A$2:$C$1048576,3,FALSE),""))</f>
        <v/>
      </c>
    </row>
    <row r="792" spans="10:12" x14ac:dyDescent="0.25">
      <c r="J792" t="str">
        <f>IF(H792="","",IFERROR(VLOOKUP(H792,Listas!$J$2:$K$1048576,2,FALSE),""))</f>
        <v/>
      </c>
      <c r="K792" s="5" t="str">
        <f>IF(OR(I792="",G792=""),"",IF(G792="Saída",-I792,I792))</f>
        <v/>
      </c>
      <c r="L792" t="str">
        <f>IF(E792="","",IFERROR(VLOOKUP(E792,Listas!$A$2:$C$1048576,3,FALSE),""))</f>
        <v/>
      </c>
    </row>
    <row r="793" spans="10:12" x14ac:dyDescent="0.25">
      <c r="J793" t="str">
        <f>IF(H793="","",IFERROR(VLOOKUP(H793,Listas!$J$2:$K$1048576,2,FALSE),""))</f>
        <v/>
      </c>
      <c r="K793" s="5" t="str">
        <f>IF(OR(I793="",G793=""),"",IF(G793="Saída",-I793,I793))</f>
        <v/>
      </c>
      <c r="L793" t="str">
        <f>IF(E793="","",IFERROR(VLOOKUP(E793,Listas!$A$2:$C$1048576,3,FALSE),""))</f>
        <v/>
      </c>
    </row>
    <row r="794" spans="10:12" x14ac:dyDescent="0.25">
      <c r="J794" t="str">
        <f>IF(H794="","",IFERROR(VLOOKUP(H794,Listas!$J$2:$K$1048576,2,FALSE),""))</f>
        <v/>
      </c>
      <c r="K794" s="5" t="str">
        <f>IF(OR(I794="",G794=""),"",IF(G794="Saída",-I794,I794))</f>
        <v/>
      </c>
      <c r="L794" t="str">
        <f>IF(E794="","",IFERROR(VLOOKUP(E794,Listas!$A$2:$C$1048576,3,FALSE),""))</f>
        <v/>
      </c>
    </row>
    <row r="795" spans="10:12" x14ac:dyDescent="0.25">
      <c r="J795" t="str">
        <f>IF(H795="","",IFERROR(VLOOKUP(H795,Listas!$J$2:$K$1048576,2,FALSE),""))</f>
        <v/>
      </c>
      <c r="K795" s="5" t="str">
        <f>IF(OR(I795="",G795=""),"",IF(G795="Saída",-I795,I795))</f>
        <v/>
      </c>
      <c r="L795" t="str">
        <f>IF(E795="","",IFERROR(VLOOKUP(E795,Listas!$A$2:$C$1048576,3,FALSE),""))</f>
        <v/>
      </c>
    </row>
    <row r="796" spans="10:12" x14ac:dyDescent="0.25">
      <c r="J796" t="str">
        <f>IF(H796="","",IFERROR(VLOOKUP(H796,Listas!$J$2:$K$1048576,2,FALSE),""))</f>
        <v/>
      </c>
      <c r="K796" s="5" t="str">
        <f>IF(OR(I796="",G796=""),"",IF(G796="Saída",-I796,I796))</f>
        <v/>
      </c>
      <c r="L796" t="str">
        <f>IF(E796="","",IFERROR(VLOOKUP(E796,Listas!$A$2:$C$1048576,3,FALSE),""))</f>
        <v/>
      </c>
    </row>
    <row r="797" spans="10:12" x14ac:dyDescent="0.25">
      <c r="J797" t="str">
        <f>IF(H797="","",IFERROR(VLOOKUP(H797,Listas!$J$2:$K$1048576,2,FALSE),""))</f>
        <v/>
      </c>
      <c r="K797" s="5" t="str">
        <f>IF(OR(I797="",G797=""),"",IF(G797="Saída",-I797,I797))</f>
        <v/>
      </c>
      <c r="L797" t="str">
        <f>IF(E797="","",IFERROR(VLOOKUP(E797,Listas!$A$2:$C$1048576,3,FALSE),""))</f>
        <v/>
      </c>
    </row>
    <row r="798" spans="10:12" x14ac:dyDescent="0.25">
      <c r="J798" t="str">
        <f>IF(H798="","",IFERROR(VLOOKUP(H798,Listas!$J$2:$K$1048576,2,FALSE),""))</f>
        <v/>
      </c>
      <c r="K798" s="5" t="str">
        <f>IF(OR(I798="",G798=""),"",IF(G798="Saída",-I798,I798))</f>
        <v/>
      </c>
      <c r="L798" t="str">
        <f>IF(E798="","",IFERROR(VLOOKUP(E798,Listas!$A$2:$C$1048576,3,FALSE),""))</f>
        <v/>
      </c>
    </row>
    <row r="799" spans="10:12" x14ac:dyDescent="0.25">
      <c r="J799" t="str">
        <f>IF(H799="","",IFERROR(VLOOKUP(H799,Listas!$J$2:$K$1048576,2,FALSE),""))</f>
        <v/>
      </c>
      <c r="K799" s="5" t="str">
        <f>IF(OR(I799="",G799=""),"",IF(G799="Saída",-I799,I799))</f>
        <v/>
      </c>
      <c r="L799" t="str">
        <f>IF(E799="","",IFERROR(VLOOKUP(E799,Listas!$A$2:$C$1048576,3,FALSE),""))</f>
        <v/>
      </c>
    </row>
    <row r="800" spans="10:12" x14ac:dyDescent="0.25">
      <c r="J800" t="str">
        <f>IF(H800="","",IFERROR(VLOOKUP(H800,Listas!$J$2:$K$1048576,2,FALSE),""))</f>
        <v/>
      </c>
      <c r="K800" s="5" t="str">
        <f>IF(OR(I800="",G800=""),"",IF(G800="Saída",-I800,I800))</f>
        <v/>
      </c>
      <c r="L800" t="str">
        <f>IF(E800="","",IFERROR(VLOOKUP(E800,Listas!$A$2:$C$1048576,3,FALSE),""))</f>
        <v/>
      </c>
    </row>
    <row r="801" spans="10:12" x14ac:dyDescent="0.25">
      <c r="J801" t="str">
        <f>IF(H801="","",IFERROR(VLOOKUP(H801,Listas!$J$2:$K$1048576,2,FALSE),""))</f>
        <v/>
      </c>
      <c r="K801" s="5" t="str">
        <f>IF(OR(I801="",G801=""),"",IF(G801="Saída",-I801,I801))</f>
        <v/>
      </c>
      <c r="L801" t="str">
        <f>IF(E801="","",IFERROR(VLOOKUP(E801,Listas!$A$2:$C$1048576,3,FALSE),""))</f>
        <v/>
      </c>
    </row>
    <row r="802" spans="10:12" x14ac:dyDescent="0.25">
      <c r="J802" t="str">
        <f>IF(H802="","",IFERROR(VLOOKUP(H802,Listas!$J$2:$K$1048576,2,FALSE),""))</f>
        <v/>
      </c>
      <c r="K802" s="5" t="str">
        <f>IF(OR(I802="",G802=""),"",IF(G802="Saída",-I802,I802))</f>
        <v/>
      </c>
      <c r="L802" t="str">
        <f>IF(E802="","",IFERROR(VLOOKUP(E802,Listas!$A$2:$C$1048576,3,FALSE),""))</f>
        <v/>
      </c>
    </row>
    <row r="803" spans="10:12" x14ac:dyDescent="0.25">
      <c r="J803" t="str">
        <f>IF(H803="","",IFERROR(VLOOKUP(H803,Listas!$J$2:$K$1048576,2,FALSE),""))</f>
        <v/>
      </c>
      <c r="K803" s="5" t="str">
        <f>IF(OR(I803="",G803=""),"",IF(G803="Saída",-I803,I803))</f>
        <v/>
      </c>
      <c r="L803" t="str">
        <f>IF(E803="","",IFERROR(VLOOKUP(E803,Listas!$A$2:$C$1048576,3,FALSE),""))</f>
        <v/>
      </c>
    </row>
    <row r="804" spans="10:12" x14ac:dyDescent="0.25">
      <c r="J804" t="str">
        <f>IF(H804="","",IFERROR(VLOOKUP(H804,Listas!$J$2:$K$1048576,2,FALSE),""))</f>
        <v/>
      </c>
      <c r="K804" s="5" t="str">
        <f>IF(OR(I804="",G804=""),"",IF(G804="Saída",-I804,I804))</f>
        <v/>
      </c>
      <c r="L804" t="str">
        <f>IF(E804="","",IFERROR(VLOOKUP(E804,Listas!$A$2:$C$1048576,3,FALSE),""))</f>
        <v/>
      </c>
    </row>
    <row r="805" spans="10:12" x14ac:dyDescent="0.25">
      <c r="J805" t="str">
        <f>IF(H805="","",IFERROR(VLOOKUP(H805,Listas!$J$2:$K$1048576,2,FALSE),""))</f>
        <v/>
      </c>
      <c r="K805" s="5" t="str">
        <f>IF(OR(I805="",G805=""),"",IF(G805="Saída",-I805,I805))</f>
        <v/>
      </c>
      <c r="L805" t="str">
        <f>IF(E805="","",IFERROR(VLOOKUP(E805,Listas!$A$2:$C$1048576,3,FALSE),""))</f>
        <v/>
      </c>
    </row>
    <row r="806" spans="10:12" x14ac:dyDescent="0.25">
      <c r="J806" t="str">
        <f>IF(H806="","",IFERROR(VLOOKUP(H806,Listas!$J$2:$K$1048576,2,FALSE),""))</f>
        <v/>
      </c>
      <c r="K806" s="5" t="str">
        <f>IF(OR(I806="",G806=""),"",IF(G806="Saída",-I806,I806))</f>
        <v/>
      </c>
      <c r="L806" t="str">
        <f>IF(E806="","",IFERROR(VLOOKUP(E806,Listas!$A$2:$C$1048576,3,FALSE),""))</f>
        <v/>
      </c>
    </row>
    <row r="807" spans="10:12" x14ac:dyDescent="0.25">
      <c r="J807" t="str">
        <f>IF(H807="","",IFERROR(VLOOKUP(H807,Listas!$J$2:$K$1048576,2,FALSE),""))</f>
        <v/>
      </c>
      <c r="K807" s="5" t="str">
        <f>IF(OR(I807="",G807=""),"",IF(G807="Saída",-I807,I807))</f>
        <v/>
      </c>
      <c r="L807" t="str">
        <f>IF(E807="","",IFERROR(VLOOKUP(E807,Listas!$A$2:$C$1048576,3,FALSE),""))</f>
        <v/>
      </c>
    </row>
    <row r="808" spans="10:12" x14ac:dyDescent="0.25">
      <c r="J808" t="str">
        <f>IF(H808="","",IFERROR(VLOOKUP(H808,Listas!$J$2:$K$1048576,2,FALSE),""))</f>
        <v/>
      </c>
      <c r="K808" s="5" t="str">
        <f>IF(OR(I808="",G808=""),"",IF(G808="Saída",-I808,I808))</f>
        <v/>
      </c>
      <c r="L808" t="str">
        <f>IF(E808="","",IFERROR(VLOOKUP(E808,Listas!$A$2:$C$1048576,3,FALSE),""))</f>
        <v/>
      </c>
    </row>
    <row r="809" spans="10:12" x14ac:dyDescent="0.25">
      <c r="J809" t="str">
        <f>IF(H809="","",IFERROR(VLOOKUP(H809,Listas!$J$2:$K$1048576,2,FALSE),""))</f>
        <v/>
      </c>
      <c r="K809" s="5" t="str">
        <f>IF(OR(I809="",G809=""),"",IF(G809="Saída",-I809,I809))</f>
        <v/>
      </c>
      <c r="L809" t="str">
        <f>IF(E809="","",IFERROR(VLOOKUP(E809,Listas!$A$2:$C$1048576,3,FALSE),""))</f>
        <v/>
      </c>
    </row>
    <row r="810" spans="10:12" x14ac:dyDescent="0.25">
      <c r="J810" t="str">
        <f>IF(H810="","",IFERROR(VLOOKUP(H810,Listas!$J$2:$K$1048576,2,FALSE),""))</f>
        <v/>
      </c>
      <c r="K810" s="5" t="str">
        <f>IF(OR(I810="",G810=""),"",IF(G810="Saída",-I810,I810))</f>
        <v/>
      </c>
      <c r="L810" t="str">
        <f>IF(E810="","",IFERROR(VLOOKUP(E810,Listas!$A$2:$C$1048576,3,FALSE),""))</f>
        <v/>
      </c>
    </row>
    <row r="811" spans="10:12" x14ac:dyDescent="0.25">
      <c r="J811" t="str">
        <f>IF(H811="","",IFERROR(VLOOKUP(H811,Listas!$J$2:$K$1048576,2,FALSE),""))</f>
        <v/>
      </c>
      <c r="K811" s="5" t="str">
        <f>IF(OR(I811="",G811=""),"",IF(G811="Saída",-I811,I811))</f>
        <v/>
      </c>
      <c r="L811" t="str">
        <f>IF(E811="","",IFERROR(VLOOKUP(E811,Listas!$A$2:$C$1048576,3,FALSE),""))</f>
        <v/>
      </c>
    </row>
    <row r="812" spans="10:12" x14ac:dyDescent="0.25">
      <c r="J812" t="str">
        <f>IF(H812="","",IFERROR(VLOOKUP(H812,Listas!$J$2:$K$1048576,2,FALSE),""))</f>
        <v/>
      </c>
      <c r="K812" s="5" t="str">
        <f>IF(OR(I812="",G812=""),"",IF(G812="Saída",-I812,I812))</f>
        <v/>
      </c>
      <c r="L812" t="str">
        <f>IF(E812="","",IFERROR(VLOOKUP(E812,Listas!$A$2:$C$1048576,3,FALSE),""))</f>
        <v/>
      </c>
    </row>
    <row r="813" spans="10:12" x14ac:dyDescent="0.25">
      <c r="J813" t="str">
        <f>IF(H813="","",IFERROR(VLOOKUP(H813,Listas!$J$2:$K$1048576,2,FALSE),""))</f>
        <v/>
      </c>
      <c r="K813" s="5" t="str">
        <f>IF(OR(I813="",G813=""),"",IF(G813="Saída",-I813,I813))</f>
        <v/>
      </c>
      <c r="L813" t="str">
        <f>IF(E813="","",IFERROR(VLOOKUP(E813,Listas!$A$2:$C$1048576,3,FALSE),""))</f>
        <v/>
      </c>
    </row>
    <row r="814" spans="10:12" x14ac:dyDescent="0.25">
      <c r="J814" t="str">
        <f>IF(H814="","",IFERROR(VLOOKUP(H814,Listas!$J$2:$K$1048576,2,FALSE),""))</f>
        <v/>
      </c>
      <c r="K814" s="5" t="str">
        <f>IF(OR(I814="",G814=""),"",IF(G814="Saída",-I814,I814))</f>
        <v/>
      </c>
      <c r="L814" t="str">
        <f>IF(E814="","",IFERROR(VLOOKUP(E814,Listas!$A$2:$C$1048576,3,FALSE),""))</f>
        <v/>
      </c>
    </row>
    <row r="815" spans="10:12" x14ac:dyDescent="0.25">
      <c r="J815" t="str">
        <f>IF(H815="","",IFERROR(VLOOKUP(H815,Listas!$J$2:$K$1048576,2,FALSE),""))</f>
        <v/>
      </c>
      <c r="K815" s="5" t="str">
        <f>IF(OR(I815="",G815=""),"",IF(G815="Saída",-I815,I815))</f>
        <v/>
      </c>
      <c r="L815" t="str">
        <f>IF(E815="","",IFERROR(VLOOKUP(E815,Listas!$A$2:$C$1048576,3,FALSE),""))</f>
        <v/>
      </c>
    </row>
    <row r="816" spans="10:12" x14ac:dyDescent="0.25">
      <c r="J816" t="str">
        <f>IF(H816="","",IFERROR(VLOOKUP(H816,Listas!$J$2:$K$1048576,2,FALSE),""))</f>
        <v/>
      </c>
      <c r="K816" s="5" t="str">
        <f>IF(OR(I816="",G816=""),"",IF(G816="Saída",-I816,I816))</f>
        <v/>
      </c>
      <c r="L816" t="str">
        <f>IF(E816="","",IFERROR(VLOOKUP(E816,Listas!$A$2:$C$1048576,3,FALSE),""))</f>
        <v/>
      </c>
    </row>
    <row r="817" spans="10:12" x14ac:dyDescent="0.25">
      <c r="J817" t="str">
        <f>IF(H817="","",IFERROR(VLOOKUP(H817,Listas!$J$2:$K$1048576,2,FALSE),""))</f>
        <v/>
      </c>
      <c r="K817" s="5" t="str">
        <f>IF(OR(I817="",G817=""),"",IF(G817="Saída",-I817,I817))</f>
        <v/>
      </c>
      <c r="L817" t="str">
        <f>IF(E817="","",IFERROR(VLOOKUP(E817,Listas!$A$2:$C$1048576,3,FALSE),""))</f>
        <v/>
      </c>
    </row>
    <row r="818" spans="10:12" x14ac:dyDescent="0.25">
      <c r="J818" t="str">
        <f>IF(H818="","",IFERROR(VLOOKUP(H818,Listas!$J$2:$K$1048576,2,FALSE),""))</f>
        <v/>
      </c>
      <c r="K818" s="5" t="str">
        <f>IF(OR(I818="",G818=""),"",IF(G818="Saída",-I818,I818))</f>
        <v/>
      </c>
      <c r="L818" t="str">
        <f>IF(E818="","",IFERROR(VLOOKUP(E818,Listas!$A$2:$C$1048576,3,FALSE),""))</f>
        <v/>
      </c>
    </row>
    <row r="819" spans="10:12" x14ac:dyDescent="0.25">
      <c r="J819" t="str">
        <f>IF(H819="","",IFERROR(VLOOKUP(H819,Listas!$J$2:$K$1048576,2,FALSE),""))</f>
        <v/>
      </c>
      <c r="K819" s="5" t="str">
        <f>IF(OR(I819="",G819=""),"",IF(G819="Saída",-I819,I819))</f>
        <v/>
      </c>
      <c r="L819" t="str">
        <f>IF(E819="","",IFERROR(VLOOKUP(E819,Listas!$A$2:$C$1048576,3,FALSE),""))</f>
        <v/>
      </c>
    </row>
    <row r="820" spans="10:12" x14ac:dyDescent="0.25">
      <c r="J820" t="str">
        <f>IF(H820="","",IFERROR(VLOOKUP(H820,Listas!$J$2:$K$1048576,2,FALSE),""))</f>
        <v/>
      </c>
      <c r="K820" s="5" t="str">
        <f>IF(OR(I820="",G820=""),"",IF(G820="Saída",-I820,I820))</f>
        <v/>
      </c>
      <c r="L820" t="str">
        <f>IF(E820="","",IFERROR(VLOOKUP(E820,Listas!$A$2:$C$1048576,3,FALSE),""))</f>
        <v/>
      </c>
    </row>
    <row r="821" spans="10:12" x14ac:dyDescent="0.25">
      <c r="J821" t="str">
        <f>IF(H821="","",IFERROR(VLOOKUP(H821,Listas!$J$2:$K$1048576,2,FALSE),""))</f>
        <v/>
      </c>
      <c r="K821" s="5" t="str">
        <f>IF(OR(I821="",G821=""),"",IF(G821="Saída",-I821,I821))</f>
        <v/>
      </c>
      <c r="L821" t="str">
        <f>IF(E821="","",IFERROR(VLOOKUP(E821,Listas!$A$2:$C$1048576,3,FALSE),""))</f>
        <v/>
      </c>
    </row>
    <row r="822" spans="10:12" x14ac:dyDescent="0.25">
      <c r="J822" t="str">
        <f>IF(H822="","",IFERROR(VLOOKUP(H822,Listas!$J$2:$K$1048576,2,FALSE),""))</f>
        <v/>
      </c>
      <c r="K822" s="5" t="str">
        <f>IF(OR(I822="",G822=""),"",IF(G822="Saída",-I822,I822))</f>
        <v/>
      </c>
      <c r="L822" t="str">
        <f>IF(E822="","",IFERROR(VLOOKUP(E822,Listas!$A$2:$C$1048576,3,FALSE),""))</f>
        <v/>
      </c>
    </row>
    <row r="823" spans="10:12" x14ac:dyDescent="0.25">
      <c r="J823" t="str">
        <f>IF(H823="","",IFERROR(VLOOKUP(H823,Listas!$J$2:$K$1048576,2,FALSE),""))</f>
        <v/>
      </c>
      <c r="K823" s="5" t="str">
        <f>IF(OR(I823="",G823=""),"",IF(G823="Saída",-I823,I823))</f>
        <v/>
      </c>
      <c r="L823" t="str">
        <f>IF(E823="","",IFERROR(VLOOKUP(E823,Listas!$A$2:$C$1048576,3,FALSE),""))</f>
        <v/>
      </c>
    </row>
    <row r="824" spans="10:12" x14ac:dyDescent="0.25">
      <c r="J824" t="str">
        <f>IF(H824="","",IFERROR(VLOOKUP(H824,Listas!$J$2:$K$1048576,2,FALSE),""))</f>
        <v/>
      </c>
      <c r="K824" s="5" t="str">
        <f>IF(OR(I824="",G824=""),"",IF(G824="Saída",-I824,I824))</f>
        <v/>
      </c>
      <c r="L824" t="str">
        <f>IF(E824="","",IFERROR(VLOOKUP(E824,Listas!$A$2:$C$1048576,3,FALSE),""))</f>
        <v/>
      </c>
    </row>
    <row r="825" spans="10:12" x14ac:dyDescent="0.25">
      <c r="J825" t="str">
        <f>IF(H825="","",IFERROR(VLOOKUP(H825,Listas!$J$2:$K$1048576,2,FALSE),""))</f>
        <v/>
      </c>
      <c r="K825" s="5" t="str">
        <f>IF(OR(I825="",G825=""),"",IF(G825="Saída",-I825,I825))</f>
        <v/>
      </c>
      <c r="L825" t="str">
        <f>IF(E825="","",IFERROR(VLOOKUP(E825,Listas!$A$2:$C$1048576,3,FALSE),""))</f>
        <v/>
      </c>
    </row>
    <row r="826" spans="10:12" x14ac:dyDescent="0.25">
      <c r="J826" t="str">
        <f>IF(H826="","",IFERROR(VLOOKUP(H826,Listas!$J$2:$K$1048576,2,FALSE),""))</f>
        <v/>
      </c>
      <c r="K826" s="5" t="str">
        <f>IF(OR(I826="",G826=""),"",IF(G826="Saída",-I826,I826))</f>
        <v/>
      </c>
      <c r="L826" t="str">
        <f>IF(E826="","",IFERROR(VLOOKUP(E826,Listas!$A$2:$C$1048576,3,FALSE),""))</f>
        <v/>
      </c>
    </row>
    <row r="827" spans="10:12" x14ac:dyDescent="0.25">
      <c r="J827" t="str">
        <f>IF(H827="","",IFERROR(VLOOKUP(H827,Listas!$J$2:$K$1048576,2,FALSE),""))</f>
        <v/>
      </c>
      <c r="K827" s="5" t="str">
        <f>IF(OR(I827="",G827=""),"",IF(G827="Saída",-I827,I827))</f>
        <v/>
      </c>
      <c r="L827" t="str">
        <f>IF(E827="","",IFERROR(VLOOKUP(E827,Listas!$A$2:$C$1048576,3,FALSE),""))</f>
        <v/>
      </c>
    </row>
    <row r="828" spans="10:12" x14ac:dyDescent="0.25">
      <c r="J828" t="str">
        <f>IF(H828="","",IFERROR(VLOOKUP(H828,Listas!$J$2:$K$1048576,2,FALSE),""))</f>
        <v/>
      </c>
      <c r="K828" s="5" t="str">
        <f>IF(OR(I828="",G828=""),"",IF(G828="Saída",-I828,I828))</f>
        <v/>
      </c>
      <c r="L828" t="str">
        <f>IF(E828="","",IFERROR(VLOOKUP(E828,Listas!$A$2:$C$1048576,3,FALSE),""))</f>
        <v/>
      </c>
    </row>
    <row r="829" spans="10:12" x14ac:dyDescent="0.25">
      <c r="J829" t="str">
        <f>IF(H829="","",IFERROR(VLOOKUP(H829,Listas!$J$2:$K$1048576,2,FALSE),""))</f>
        <v/>
      </c>
      <c r="K829" s="5" t="str">
        <f>IF(OR(I829="",G829=""),"",IF(G829="Saída",-I829,I829))</f>
        <v/>
      </c>
      <c r="L829" t="str">
        <f>IF(E829="","",IFERROR(VLOOKUP(E829,Listas!$A$2:$C$1048576,3,FALSE),""))</f>
        <v/>
      </c>
    </row>
    <row r="830" spans="10:12" x14ac:dyDescent="0.25">
      <c r="J830" t="str">
        <f>IF(H830="","",IFERROR(VLOOKUP(H830,Listas!$J$2:$K$1048576,2,FALSE),""))</f>
        <v/>
      </c>
      <c r="K830" s="5" t="str">
        <f>IF(OR(I830="",G830=""),"",IF(G830="Saída",-I830,I830))</f>
        <v/>
      </c>
      <c r="L830" t="str">
        <f>IF(E830="","",IFERROR(VLOOKUP(E830,Listas!$A$2:$C$1048576,3,FALSE),""))</f>
        <v/>
      </c>
    </row>
    <row r="831" spans="10:12" x14ac:dyDescent="0.25">
      <c r="J831" t="str">
        <f>IF(H831="","",IFERROR(VLOOKUP(H831,Listas!$J$2:$K$1048576,2,FALSE),""))</f>
        <v/>
      </c>
      <c r="K831" s="5" t="str">
        <f>IF(OR(I831="",G831=""),"",IF(G831="Saída",-I831,I831))</f>
        <v/>
      </c>
      <c r="L831" t="str">
        <f>IF(E831="","",IFERROR(VLOOKUP(E831,Listas!$A$2:$C$1048576,3,FALSE),""))</f>
        <v/>
      </c>
    </row>
    <row r="832" spans="10:12" x14ac:dyDescent="0.25">
      <c r="J832" t="str">
        <f>IF(H832="","",IFERROR(VLOOKUP(H832,Listas!$J$2:$K$1048576,2,FALSE),""))</f>
        <v/>
      </c>
      <c r="K832" s="5" t="str">
        <f>IF(OR(I832="",G832=""),"",IF(G832="Saída",-I832,I832))</f>
        <v/>
      </c>
      <c r="L832" t="str">
        <f>IF(E832="","",IFERROR(VLOOKUP(E832,Listas!$A$2:$C$1048576,3,FALSE),""))</f>
        <v/>
      </c>
    </row>
    <row r="833" spans="10:12" x14ac:dyDescent="0.25">
      <c r="J833" t="str">
        <f>IF(H833="","",IFERROR(VLOOKUP(H833,Listas!$J$2:$K$1048576,2,FALSE),""))</f>
        <v/>
      </c>
      <c r="K833" s="5" t="str">
        <f>IF(OR(I833="",G833=""),"",IF(G833="Saída",-I833,I833))</f>
        <v/>
      </c>
      <c r="L833" t="str">
        <f>IF(E833="","",IFERROR(VLOOKUP(E833,Listas!$A$2:$C$1048576,3,FALSE),""))</f>
        <v/>
      </c>
    </row>
    <row r="834" spans="10:12" x14ac:dyDescent="0.25">
      <c r="J834" t="str">
        <f>IF(H834="","",IFERROR(VLOOKUP(H834,Listas!$J$2:$K$1048576,2,FALSE),""))</f>
        <v/>
      </c>
      <c r="K834" s="5" t="str">
        <f>IF(OR(I834="",G834=""),"",IF(G834="Saída",-I834,I834))</f>
        <v/>
      </c>
      <c r="L834" t="str">
        <f>IF(E834="","",IFERROR(VLOOKUP(E834,Listas!$A$2:$C$1048576,3,FALSE),""))</f>
        <v/>
      </c>
    </row>
    <row r="835" spans="10:12" x14ac:dyDescent="0.25">
      <c r="J835" t="str">
        <f>IF(H835="","",IFERROR(VLOOKUP(H835,Listas!$J$2:$K$1048576,2,FALSE),""))</f>
        <v/>
      </c>
      <c r="K835" s="5" t="str">
        <f>IF(OR(I835="",G835=""),"",IF(G835="Saída",-I835,I835))</f>
        <v/>
      </c>
      <c r="L835" t="str">
        <f>IF(E835="","",IFERROR(VLOOKUP(E835,Listas!$A$2:$C$1048576,3,FALSE),""))</f>
        <v/>
      </c>
    </row>
    <row r="836" spans="10:12" x14ac:dyDescent="0.25">
      <c r="J836" t="str">
        <f>IF(H836="","",IFERROR(VLOOKUP(H836,Listas!$J$2:$K$1048576,2,FALSE),""))</f>
        <v/>
      </c>
      <c r="K836" s="5" t="str">
        <f>IF(OR(I836="",G836=""),"",IF(G836="Saída",-I836,I836))</f>
        <v/>
      </c>
      <c r="L836" t="str">
        <f>IF(E836="","",IFERROR(VLOOKUP(E836,Listas!$A$2:$C$1048576,3,FALSE),""))</f>
        <v/>
      </c>
    </row>
    <row r="837" spans="10:12" x14ac:dyDescent="0.25">
      <c r="J837" t="str">
        <f>IF(H837="","",IFERROR(VLOOKUP(H837,Listas!$J$2:$K$1048576,2,FALSE),""))</f>
        <v/>
      </c>
      <c r="K837" s="5" t="str">
        <f>IF(OR(I837="",G837=""),"",IF(G837="Saída",-I837,I837))</f>
        <v/>
      </c>
      <c r="L837" t="str">
        <f>IF(E837="","",IFERROR(VLOOKUP(E837,Listas!$A$2:$C$1048576,3,FALSE),""))</f>
        <v/>
      </c>
    </row>
    <row r="838" spans="10:12" x14ac:dyDescent="0.25">
      <c r="J838" t="str">
        <f>IF(H838="","",IFERROR(VLOOKUP(H838,Listas!$J$2:$K$1048576,2,FALSE),""))</f>
        <v/>
      </c>
      <c r="K838" s="5" t="str">
        <f>IF(OR(I838="",G838=""),"",IF(G838="Saída",-I838,I838))</f>
        <v/>
      </c>
      <c r="L838" t="str">
        <f>IF(E838="","",IFERROR(VLOOKUP(E838,Listas!$A$2:$C$1048576,3,FALSE),""))</f>
        <v/>
      </c>
    </row>
    <row r="839" spans="10:12" x14ac:dyDescent="0.25">
      <c r="J839" t="str">
        <f>IF(H839="","",IFERROR(VLOOKUP(H839,Listas!$J$2:$K$1048576,2,FALSE),""))</f>
        <v/>
      </c>
      <c r="K839" s="5" t="str">
        <f>IF(OR(I839="",G839=""),"",IF(G839="Saída",-I839,I839))</f>
        <v/>
      </c>
      <c r="L839" t="str">
        <f>IF(E839="","",IFERROR(VLOOKUP(E839,Listas!$A$2:$C$1048576,3,FALSE),""))</f>
        <v/>
      </c>
    </row>
    <row r="840" spans="10:12" x14ac:dyDescent="0.25">
      <c r="J840" t="str">
        <f>IF(H840="","",IFERROR(VLOOKUP(H840,Listas!$J$2:$K$1048576,2,FALSE),""))</f>
        <v/>
      </c>
      <c r="K840" s="5" t="str">
        <f>IF(OR(I840="",G840=""),"",IF(G840="Saída",-I840,I840))</f>
        <v/>
      </c>
      <c r="L840" t="str">
        <f>IF(E840="","",IFERROR(VLOOKUP(E840,Listas!$A$2:$C$1048576,3,FALSE),""))</f>
        <v/>
      </c>
    </row>
    <row r="841" spans="10:12" x14ac:dyDescent="0.25">
      <c r="J841" t="str">
        <f>IF(H841="","",IFERROR(VLOOKUP(H841,Listas!$J$2:$K$1048576,2,FALSE),""))</f>
        <v/>
      </c>
      <c r="K841" s="5" t="str">
        <f>IF(OR(I841="",G841=""),"",IF(G841="Saída",-I841,I841))</f>
        <v/>
      </c>
      <c r="L841" t="str">
        <f>IF(E841="","",IFERROR(VLOOKUP(E841,Listas!$A$2:$C$1048576,3,FALSE),""))</f>
        <v/>
      </c>
    </row>
    <row r="842" spans="10:12" x14ac:dyDescent="0.25">
      <c r="J842" t="str">
        <f>IF(H842="","",IFERROR(VLOOKUP(H842,Listas!$J$2:$K$1048576,2,FALSE),""))</f>
        <v/>
      </c>
      <c r="K842" s="5" t="str">
        <f>IF(OR(I842="",G842=""),"",IF(G842="Saída",-I842,I842))</f>
        <v/>
      </c>
      <c r="L842" t="str">
        <f>IF(E842="","",IFERROR(VLOOKUP(E842,Listas!$A$2:$C$1048576,3,FALSE),""))</f>
        <v/>
      </c>
    </row>
    <row r="843" spans="10:12" x14ac:dyDescent="0.25">
      <c r="J843" t="str">
        <f>IF(H843="","",IFERROR(VLOOKUP(H843,Listas!$J$2:$K$1048576,2,FALSE),""))</f>
        <v/>
      </c>
      <c r="K843" s="5" t="str">
        <f>IF(OR(I843="",G843=""),"",IF(G843="Saída",-I843,I843))</f>
        <v/>
      </c>
      <c r="L843" t="str">
        <f>IF(E843="","",IFERROR(VLOOKUP(E843,Listas!$A$2:$C$1048576,3,FALSE),""))</f>
        <v/>
      </c>
    </row>
    <row r="844" spans="10:12" x14ac:dyDescent="0.25">
      <c r="J844" t="str">
        <f>IF(H844="","",IFERROR(VLOOKUP(H844,Listas!$J$2:$K$1048576,2,FALSE),""))</f>
        <v/>
      </c>
      <c r="K844" s="5" t="str">
        <f>IF(OR(I844="",G844=""),"",IF(G844="Saída",-I844,I844))</f>
        <v/>
      </c>
      <c r="L844" t="str">
        <f>IF(E844="","",IFERROR(VLOOKUP(E844,Listas!$A$2:$C$1048576,3,FALSE),""))</f>
        <v/>
      </c>
    </row>
    <row r="845" spans="10:12" x14ac:dyDescent="0.25">
      <c r="J845" t="str">
        <f>IF(H845="","",IFERROR(VLOOKUP(H845,Listas!$J$2:$K$1048576,2,FALSE),""))</f>
        <v/>
      </c>
      <c r="K845" s="5" t="str">
        <f>IF(OR(I845="",G845=""),"",IF(G845="Saída",-I845,I845))</f>
        <v/>
      </c>
      <c r="L845" t="str">
        <f>IF(E845="","",IFERROR(VLOOKUP(E845,Listas!$A$2:$C$1048576,3,FALSE),""))</f>
        <v/>
      </c>
    </row>
    <row r="846" spans="10:12" x14ac:dyDescent="0.25">
      <c r="J846" t="str">
        <f>IF(H846="","",IFERROR(VLOOKUP(H846,Listas!$J$2:$K$1048576,2,FALSE),""))</f>
        <v/>
      </c>
      <c r="K846" s="5" t="str">
        <f>IF(OR(I846="",G846=""),"",IF(G846="Saída",-I846,I846))</f>
        <v/>
      </c>
      <c r="L846" t="str">
        <f>IF(E846="","",IFERROR(VLOOKUP(E846,Listas!$A$2:$C$1048576,3,FALSE),""))</f>
        <v/>
      </c>
    </row>
    <row r="847" spans="10:12" x14ac:dyDescent="0.25">
      <c r="J847" t="str">
        <f>IF(H847="","",IFERROR(VLOOKUP(H847,Listas!$J$2:$K$1048576,2,FALSE),""))</f>
        <v/>
      </c>
      <c r="K847" s="5" t="str">
        <f>IF(OR(I847="",G847=""),"",IF(G847="Saída",-I847,I847))</f>
        <v/>
      </c>
      <c r="L847" t="str">
        <f>IF(E847="","",IFERROR(VLOOKUP(E847,Listas!$A$2:$C$1048576,3,FALSE),""))</f>
        <v/>
      </c>
    </row>
    <row r="848" spans="10:12" x14ac:dyDescent="0.25">
      <c r="J848" t="str">
        <f>IF(H848="","",IFERROR(VLOOKUP(H848,Listas!$J$2:$K$1048576,2,FALSE),""))</f>
        <v/>
      </c>
      <c r="K848" s="5" t="str">
        <f>IF(OR(I848="",G848=""),"",IF(G848="Saída",-I848,I848))</f>
        <v/>
      </c>
      <c r="L848" t="str">
        <f>IF(E848="","",IFERROR(VLOOKUP(E848,Listas!$A$2:$C$1048576,3,FALSE),""))</f>
        <v/>
      </c>
    </row>
    <row r="849" spans="10:12" x14ac:dyDescent="0.25">
      <c r="J849" t="str">
        <f>IF(H849="","",IFERROR(VLOOKUP(H849,Listas!$J$2:$K$1048576,2,FALSE),""))</f>
        <v/>
      </c>
      <c r="K849" s="5" t="str">
        <f>IF(OR(I849="",G849=""),"",IF(G849="Saída",-I849,I849))</f>
        <v/>
      </c>
      <c r="L849" t="str">
        <f>IF(E849="","",IFERROR(VLOOKUP(E849,Listas!$A$2:$C$1048576,3,FALSE),""))</f>
        <v/>
      </c>
    </row>
    <row r="850" spans="10:12" x14ac:dyDescent="0.25">
      <c r="J850" t="str">
        <f>IF(H850="","",IFERROR(VLOOKUP(H850,Listas!$J$2:$K$1048576,2,FALSE),""))</f>
        <v/>
      </c>
      <c r="K850" s="5" t="str">
        <f>IF(OR(I850="",G850=""),"",IF(G850="Saída",-I850,I850))</f>
        <v/>
      </c>
      <c r="L850" t="str">
        <f>IF(E850="","",IFERROR(VLOOKUP(E850,Listas!$A$2:$C$1048576,3,FALSE),""))</f>
        <v/>
      </c>
    </row>
    <row r="851" spans="10:12" x14ac:dyDescent="0.25">
      <c r="J851" t="str">
        <f>IF(H851="","",IFERROR(VLOOKUP(H851,Listas!$J$2:$K$1048576,2,FALSE),""))</f>
        <v/>
      </c>
      <c r="K851" s="5" t="str">
        <f>IF(OR(I851="",G851=""),"",IF(G851="Saída",-I851,I851))</f>
        <v/>
      </c>
      <c r="L851" t="str">
        <f>IF(E851="","",IFERROR(VLOOKUP(E851,Listas!$A$2:$C$1048576,3,FALSE),""))</f>
        <v/>
      </c>
    </row>
    <row r="852" spans="10:12" x14ac:dyDescent="0.25">
      <c r="J852" t="str">
        <f>IF(H852="","",IFERROR(VLOOKUP(H852,Listas!$J$2:$K$1048576,2,FALSE),""))</f>
        <v/>
      </c>
      <c r="K852" s="5" t="str">
        <f>IF(OR(I852="",G852=""),"",IF(G852="Saída",-I852,I852))</f>
        <v/>
      </c>
      <c r="L852" t="str">
        <f>IF(E852="","",IFERROR(VLOOKUP(E852,Listas!$A$2:$C$1048576,3,FALSE),""))</f>
        <v/>
      </c>
    </row>
    <row r="853" spans="10:12" x14ac:dyDescent="0.25">
      <c r="J853" t="str">
        <f>IF(H853="","",IFERROR(VLOOKUP(H853,Listas!$J$2:$K$1048576,2,FALSE),""))</f>
        <v/>
      </c>
      <c r="K853" s="5" t="str">
        <f>IF(OR(I853="",G853=""),"",IF(G853="Saída",-I853,I853))</f>
        <v/>
      </c>
      <c r="L853" t="str">
        <f>IF(E853="","",IFERROR(VLOOKUP(E853,Listas!$A$2:$C$1048576,3,FALSE),""))</f>
        <v/>
      </c>
    </row>
    <row r="854" spans="10:12" x14ac:dyDescent="0.25">
      <c r="J854" t="str">
        <f>IF(H854="","",IFERROR(VLOOKUP(H854,Listas!$J$2:$K$1048576,2,FALSE),""))</f>
        <v/>
      </c>
      <c r="K854" s="5" t="str">
        <f>IF(OR(I854="",G854=""),"",IF(G854="Saída",-I854,I854))</f>
        <v/>
      </c>
      <c r="L854" t="str">
        <f>IF(E854="","",IFERROR(VLOOKUP(E854,Listas!$A$2:$C$1048576,3,FALSE),""))</f>
        <v/>
      </c>
    </row>
    <row r="855" spans="10:12" x14ac:dyDescent="0.25">
      <c r="J855" t="str">
        <f>IF(H855="","",IFERROR(VLOOKUP(H855,Listas!$J$2:$K$1048576,2,FALSE),""))</f>
        <v/>
      </c>
      <c r="K855" s="5" t="str">
        <f>IF(OR(I855="",G855=""),"",IF(G855="Saída",-I855,I855))</f>
        <v/>
      </c>
      <c r="L855" t="str">
        <f>IF(E855="","",IFERROR(VLOOKUP(E855,Listas!$A$2:$C$1048576,3,FALSE),""))</f>
        <v/>
      </c>
    </row>
    <row r="856" spans="10:12" x14ac:dyDescent="0.25">
      <c r="J856" t="str">
        <f>IF(H856="","",IFERROR(VLOOKUP(H856,Listas!$J$2:$K$1048576,2,FALSE),""))</f>
        <v/>
      </c>
      <c r="K856" s="5" t="str">
        <f>IF(OR(I856="",G856=""),"",IF(G856="Saída",-I856,I856))</f>
        <v/>
      </c>
      <c r="L856" t="str">
        <f>IF(E856="","",IFERROR(VLOOKUP(E856,Listas!$A$2:$C$1048576,3,FALSE),""))</f>
        <v/>
      </c>
    </row>
    <row r="857" spans="10:12" x14ac:dyDescent="0.25">
      <c r="J857" t="str">
        <f>IF(H857="","",IFERROR(VLOOKUP(H857,Listas!$J$2:$K$1048576,2,FALSE),""))</f>
        <v/>
      </c>
      <c r="K857" s="5" t="str">
        <f>IF(OR(I857="",G857=""),"",IF(G857="Saída",-I857,I857))</f>
        <v/>
      </c>
      <c r="L857" t="str">
        <f>IF(E857="","",IFERROR(VLOOKUP(E857,Listas!$A$2:$C$1048576,3,FALSE),""))</f>
        <v/>
      </c>
    </row>
    <row r="858" spans="10:12" x14ac:dyDescent="0.25">
      <c r="J858" t="str">
        <f>IF(H858="","",IFERROR(VLOOKUP(H858,Listas!$J$2:$K$1048576,2,FALSE),""))</f>
        <v/>
      </c>
      <c r="K858" s="5" t="str">
        <f>IF(OR(I858="",G858=""),"",IF(G858="Saída",-I858,I858))</f>
        <v/>
      </c>
      <c r="L858" t="str">
        <f>IF(E858="","",IFERROR(VLOOKUP(E858,Listas!$A$2:$C$1048576,3,FALSE),""))</f>
        <v/>
      </c>
    </row>
    <row r="859" spans="10:12" x14ac:dyDescent="0.25">
      <c r="J859" t="str">
        <f>IF(H859="","",IFERROR(VLOOKUP(H859,Listas!$J$2:$K$1048576,2,FALSE),""))</f>
        <v/>
      </c>
      <c r="K859" s="5" t="str">
        <f>IF(OR(I859="",G859=""),"",IF(G859="Saída",-I859,I859))</f>
        <v/>
      </c>
      <c r="L859" t="str">
        <f>IF(E859="","",IFERROR(VLOOKUP(E859,Listas!$A$2:$C$1048576,3,FALSE),""))</f>
        <v/>
      </c>
    </row>
    <row r="860" spans="10:12" x14ac:dyDescent="0.25">
      <c r="J860" t="str">
        <f>IF(H860="","",IFERROR(VLOOKUP(H860,Listas!$J$2:$K$1048576,2,FALSE),""))</f>
        <v/>
      </c>
      <c r="K860" s="5" t="str">
        <f>IF(OR(I860="",G860=""),"",IF(G860="Saída",-I860,I860))</f>
        <v/>
      </c>
      <c r="L860" t="str">
        <f>IF(E860="","",IFERROR(VLOOKUP(E860,Listas!$A$2:$C$1048576,3,FALSE),""))</f>
        <v/>
      </c>
    </row>
    <row r="861" spans="10:12" x14ac:dyDescent="0.25">
      <c r="J861" t="str">
        <f>IF(H861="","",IFERROR(VLOOKUP(H861,Listas!$J$2:$K$1048576,2,FALSE),""))</f>
        <v/>
      </c>
      <c r="K861" s="5" t="str">
        <f>IF(OR(I861="",G861=""),"",IF(G861="Saída",-I861,I861))</f>
        <v/>
      </c>
      <c r="L861" t="str">
        <f>IF(E861="","",IFERROR(VLOOKUP(E861,Listas!$A$2:$C$1048576,3,FALSE),""))</f>
        <v/>
      </c>
    </row>
    <row r="862" spans="10:12" x14ac:dyDescent="0.25">
      <c r="J862" t="str">
        <f>IF(H862="","",IFERROR(VLOOKUP(H862,Listas!$J$2:$K$1048576,2,FALSE),""))</f>
        <v/>
      </c>
      <c r="K862" s="5" t="str">
        <f>IF(OR(I862="",G862=""),"",IF(G862="Saída",-I862,I862))</f>
        <v/>
      </c>
      <c r="L862" t="str">
        <f>IF(E862="","",IFERROR(VLOOKUP(E862,Listas!$A$2:$C$1048576,3,FALSE),""))</f>
        <v/>
      </c>
    </row>
    <row r="863" spans="10:12" x14ac:dyDescent="0.25">
      <c r="J863" t="str">
        <f>IF(H863="","",IFERROR(VLOOKUP(H863,Listas!$J$2:$K$1048576,2,FALSE),""))</f>
        <v/>
      </c>
      <c r="K863" s="5" t="str">
        <f>IF(OR(I863="",G863=""),"",IF(G863="Saída",-I863,I863))</f>
        <v/>
      </c>
      <c r="L863" t="str">
        <f>IF(E863="","",IFERROR(VLOOKUP(E863,Listas!$A$2:$C$1048576,3,FALSE),""))</f>
        <v/>
      </c>
    </row>
    <row r="864" spans="10:12" x14ac:dyDescent="0.25">
      <c r="J864" t="str">
        <f>IF(H864="","",IFERROR(VLOOKUP(H864,Listas!$J$2:$K$1048576,2,FALSE),""))</f>
        <v/>
      </c>
      <c r="K864" s="5" t="str">
        <f>IF(OR(I864="",G864=""),"",IF(G864="Saída",-I864,I864))</f>
        <v/>
      </c>
      <c r="L864" t="str">
        <f>IF(E864="","",IFERROR(VLOOKUP(E864,Listas!$A$2:$C$1048576,3,FALSE),""))</f>
        <v/>
      </c>
    </row>
    <row r="865" spans="10:12" x14ac:dyDescent="0.25">
      <c r="J865" t="str">
        <f>IF(H865="","",IFERROR(VLOOKUP(H865,Listas!$J$2:$K$1048576,2,FALSE),""))</f>
        <v/>
      </c>
      <c r="K865" s="5" t="str">
        <f>IF(OR(I865="",G865=""),"",IF(G865="Saída",-I865,I865))</f>
        <v/>
      </c>
      <c r="L865" t="str">
        <f>IF(E865="","",IFERROR(VLOOKUP(E865,Listas!$A$2:$C$1048576,3,FALSE),""))</f>
        <v/>
      </c>
    </row>
    <row r="866" spans="10:12" x14ac:dyDescent="0.25">
      <c r="J866" t="str">
        <f>IF(H866="","",IFERROR(VLOOKUP(H866,Listas!$J$2:$K$1048576,2,FALSE),""))</f>
        <v/>
      </c>
      <c r="K866" s="5" t="str">
        <f>IF(OR(I866="",G866=""),"",IF(G866="Saída",-I866,I866))</f>
        <v/>
      </c>
      <c r="L866" t="str">
        <f>IF(E866="","",IFERROR(VLOOKUP(E866,Listas!$A$2:$C$1048576,3,FALSE),""))</f>
        <v/>
      </c>
    </row>
    <row r="867" spans="10:12" x14ac:dyDescent="0.25">
      <c r="J867" t="str">
        <f>IF(H867="","",IFERROR(VLOOKUP(H867,Listas!$J$2:$K$1048576,2,FALSE),""))</f>
        <v/>
      </c>
      <c r="K867" s="5" t="str">
        <f>IF(OR(I867="",G867=""),"",IF(G867="Saída",-I867,I867))</f>
        <v/>
      </c>
      <c r="L867" t="str">
        <f>IF(E867="","",IFERROR(VLOOKUP(E867,Listas!$A$2:$C$1048576,3,FALSE),""))</f>
        <v/>
      </c>
    </row>
    <row r="868" spans="10:12" x14ac:dyDescent="0.25">
      <c r="J868" t="str">
        <f>IF(H868="","",IFERROR(VLOOKUP(H868,Listas!$J$2:$K$1048576,2,FALSE),""))</f>
        <v/>
      </c>
      <c r="K868" s="5" t="str">
        <f>IF(OR(I868="",G868=""),"",IF(G868="Saída",-I868,I868))</f>
        <v/>
      </c>
      <c r="L868" t="str">
        <f>IF(E868="","",IFERROR(VLOOKUP(E868,Listas!$A$2:$C$1048576,3,FALSE),""))</f>
        <v/>
      </c>
    </row>
    <row r="869" spans="10:12" x14ac:dyDescent="0.25">
      <c r="J869" t="str">
        <f>IF(H869="","",IFERROR(VLOOKUP(H869,Listas!$J$2:$K$1048576,2,FALSE),""))</f>
        <v/>
      </c>
      <c r="K869" s="5" t="str">
        <f>IF(OR(I869="",G869=""),"",IF(G869="Saída",-I869,I869))</f>
        <v/>
      </c>
      <c r="L869" t="str">
        <f>IF(E869="","",IFERROR(VLOOKUP(E869,Listas!$A$2:$C$1048576,3,FALSE),""))</f>
        <v/>
      </c>
    </row>
    <row r="870" spans="10:12" x14ac:dyDescent="0.25">
      <c r="J870" t="str">
        <f>IF(H870="","",IFERROR(VLOOKUP(H870,Listas!$J$2:$K$1048576,2,FALSE),""))</f>
        <v/>
      </c>
      <c r="K870" s="5" t="str">
        <f>IF(OR(I870="",G870=""),"",IF(G870="Saída",-I870,I870))</f>
        <v/>
      </c>
      <c r="L870" t="str">
        <f>IF(E870="","",IFERROR(VLOOKUP(E870,Listas!$A$2:$C$1048576,3,FALSE),""))</f>
        <v/>
      </c>
    </row>
    <row r="871" spans="10:12" x14ac:dyDescent="0.25">
      <c r="J871" t="str">
        <f>IF(H871="","",IFERROR(VLOOKUP(H871,Listas!$J$2:$K$1048576,2,FALSE),""))</f>
        <v/>
      </c>
      <c r="K871" s="5" t="str">
        <f>IF(OR(I871="",G871=""),"",IF(G871="Saída",-I871,I871))</f>
        <v/>
      </c>
      <c r="L871" t="str">
        <f>IF(E871="","",IFERROR(VLOOKUP(E871,Listas!$A$2:$C$1048576,3,FALSE),""))</f>
        <v/>
      </c>
    </row>
    <row r="872" spans="10:12" x14ac:dyDescent="0.25">
      <c r="J872" t="str">
        <f>IF(H872="","",IFERROR(VLOOKUP(H872,Listas!$J$2:$K$1048576,2,FALSE),""))</f>
        <v/>
      </c>
      <c r="K872" s="5" t="str">
        <f>IF(OR(I872="",G872=""),"",IF(G872="Saída",-I872,I872))</f>
        <v/>
      </c>
      <c r="L872" t="str">
        <f>IF(E872="","",IFERROR(VLOOKUP(E872,Listas!$A$2:$C$1048576,3,FALSE),""))</f>
        <v/>
      </c>
    </row>
    <row r="873" spans="10:12" x14ac:dyDescent="0.25">
      <c r="J873" t="str">
        <f>IF(H873="","",IFERROR(VLOOKUP(H873,Listas!$J$2:$K$1048576,2,FALSE),""))</f>
        <v/>
      </c>
      <c r="K873" s="5" t="str">
        <f>IF(OR(I873="",G873=""),"",IF(G873="Saída",-I873,I873))</f>
        <v/>
      </c>
      <c r="L873" t="str">
        <f>IF(E873="","",IFERROR(VLOOKUP(E873,Listas!$A$2:$C$1048576,3,FALSE),""))</f>
        <v/>
      </c>
    </row>
    <row r="874" spans="10:12" x14ac:dyDescent="0.25">
      <c r="J874" t="str">
        <f>IF(H874="","",IFERROR(VLOOKUP(H874,Listas!$J$2:$K$1048576,2,FALSE),""))</f>
        <v/>
      </c>
      <c r="K874" s="5" t="str">
        <f>IF(OR(I874="",G874=""),"",IF(G874="Saída",-I874,I874))</f>
        <v/>
      </c>
      <c r="L874" t="str">
        <f>IF(E874="","",IFERROR(VLOOKUP(E874,Listas!$A$2:$C$1048576,3,FALSE),""))</f>
        <v/>
      </c>
    </row>
    <row r="875" spans="10:12" x14ac:dyDescent="0.25">
      <c r="J875" t="str">
        <f>IF(H875="","",IFERROR(VLOOKUP(H875,Listas!$J$2:$K$1048576,2,FALSE),""))</f>
        <v/>
      </c>
      <c r="K875" s="5" t="str">
        <f>IF(OR(I875="",G875=""),"",IF(G875="Saída",-I875,I875))</f>
        <v/>
      </c>
      <c r="L875" t="str">
        <f>IF(E875="","",IFERROR(VLOOKUP(E875,Listas!$A$2:$C$1048576,3,FALSE),""))</f>
        <v/>
      </c>
    </row>
    <row r="876" spans="10:12" x14ac:dyDescent="0.25">
      <c r="J876" t="str">
        <f>IF(H876="","",IFERROR(VLOOKUP(H876,Listas!$J$2:$K$1048576,2,FALSE),""))</f>
        <v/>
      </c>
      <c r="K876" s="5" t="str">
        <f>IF(OR(I876="",G876=""),"",IF(G876="Saída",-I876,I876))</f>
        <v/>
      </c>
      <c r="L876" t="str">
        <f>IF(E876="","",IFERROR(VLOOKUP(E876,Listas!$A$2:$C$1048576,3,FALSE),""))</f>
        <v/>
      </c>
    </row>
    <row r="877" spans="10:12" x14ac:dyDescent="0.25">
      <c r="J877" t="str">
        <f>IF(H877="","",IFERROR(VLOOKUP(H877,Listas!$J$2:$K$1048576,2,FALSE),""))</f>
        <v/>
      </c>
      <c r="K877" s="5" t="str">
        <f>IF(OR(I877="",G877=""),"",IF(G877="Saída",-I877,I877))</f>
        <v/>
      </c>
      <c r="L877" t="str">
        <f>IF(E877="","",IFERROR(VLOOKUP(E877,Listas!$A$2:$C$1048576,3,FALSE),""))</f>
        <v/>
      </c>
    </row>
    <row r="878" spans="10:12" x14ac:dyDescent="0.25">
      <c r="J878" t="str">
        <f>IF(H878="","",IFERROR(VLOOKUP(H878,Listas!$J$2:$K$1048576,2,FALSE),""))</f>
        <v/>
      </c>
      <c r="K878" s="5" t="str">
        <f>IF(OR(I878="",G878=""),"",IF(G878="Saída",-I878,I878))</f>
        <v/>
      </c>
      <c r="L878" t="str">
        <f>IF(E878="","",IFERROR(VLOOKUP(E878,Listas!$A$2:$C$1048576,3,FALSE),""))</f>
        <v/>
      </c>
    </row>
    <row r="879" spans="10:12" x14ac:dyDescent="0.25">
      <c r="J879" t="str">
        <f>IF(H879="","",IFERROR(VLOOKUP(H879,Listas!$J$2:$K$1048576,2,FALSE),""))</f>
        <v/>
      </c>
      <c r="K879" s="5" t="str">
        <f>IF(OR(I879="",G879=""),"",IF(G879="Saída",-I879,I879))</f>
        <v/>
      </c>
      <c r="L879" t="str">
        <f>IF(E879="","",IFERROR(VLOOKUP(E879,Listas!$A$2:$C$1048576,3,FALSE),""))</f>
        <v/>
      </c>
    </row>
    <row r="880" spans="10:12" x14ac:dyDescent="0.25">
      <c r="J880" t="str">
        <f>IF(H880="","",IFERROR(VLOOKUP(H880,Listas!$J$2:$K$1048576,2,FALSE),""))</f>
        <v/>
      </c>
      <c r="K880" s="5" t="str">
        <f>IF(OR(I880="",G880=""),"",IF(G880="Saída",-I880,I880))</f>
        <v/>
      </c>
      <c r="L880" t="str">
        <f>IF(E880="","",IFERROR(VLOOKUP(E880,Listas!$A$2:$C$1048576,3,FALSE),""))</f>
        <v/>
      </c>
    </row>
    <row r="881" spans="10:12" x14ac:dyDescent="0.25">
      <c r="J881" t="str">
        <f>IF(H881="","",IFERROR(VLOOKUP(H881,Listas!$J$2:$K$1048576,2,FALSE),""))</f>
        <v/>
      </c>
      <c r="K881" s="5" t="str">
        <f>IF(OR(I881="",G881=""),"",IF(G881="Saída",-I881,I881))</f>
        <v/>
      </c>
      <c r="L881" t="str">
        <f>IF(E881="","",IFERROR(VLOOKUP(E881,Listas!$A$2:$C$1048576,3,FALSE),""))</f>
        <v/>
      </c>
    </row>
    <row r="882" spans="10:12" x14ac:dyDescent="0.25">
      <c r="J882" t="str">
        <f>IF(H882="","",IFERROR(VLOOKUP(H882,Listas!$J$2:$K$1048576,2,FALSE),""))</f>
        <v/>
      </c>
      <c r="K882" s="5" t="str">
        <f>IF(OR(I882="",G882=""),"",IF(G882="Saída",-I882,I882))</f>
        <v/>
      </c>
      <c r="L882" t="str">
        <f>IF(E882="","",IFERROR(VLOOKUP(E882,Listas!$A$2:$C$1048576,3,FALSE),""))</f>
        <v/>
      </c>
    </row>
    <row r="883" spans="10:12" x14ac:dyDescent="0.25">
      <c r="J883" t="str">
        <f>IF(H883="","",IFERROR(VLOOKUP(H883,Listas!$J$2:$K$1048576,2,FALSE),""))</f>
        <v/>
      </c>
      <c r="K883" s="5" t="str">
        <f>IF(OR(I883="",G883=""),"",IF(G883="Saída",-I883,I883))</f>
        <v/>
      </c>
      <c r="L883" t="str">
        <f>IF(E883="","",IFERROR(VLOOKUP(E883,Listas!$A$2:$C$1048576,3,FALSE),""))</f>
        <v/>
      </c>
    </row>
    <row r="884" spans="10:12" x14ac:dyDescent="0.25">
      <c r="J884" t="str">
        <f>IF(H884="","",IFERROR(VLOOKUP(H884,Listas!$J$2:$K$1048576,2,FALSE),""))</f>
        <v/>
      </c>
      <c r="K884" s="5" t="str">
        <f>IF(OR(I884="",G884=""),"",IF(G884="Saída",-I884,I884))</f>
        <v/>
      </c>
      <c r="L884" t="str">
        <f>IF(E884="","",IFERROR(VLOOKUP(E884,Listas!$A$2:$C$1048576,3,FALSE),""))</f>
        <v/>
      </c>
    </row>
    <row r="885" spans="10:12" x14ac:dyDescent="0.25">
      <c r="J885" t="str">
        <f>IF(H885="","",IFERROR(VLOOKUP(H885,Listas!$J$2:$K$1048576,2,FALSE),""))</f>
        <v/>
      </c>
      <c r="K885" s="5" t="str">
        <f>IF(OR(I885="",G885=""),"",IF(G885="Saída",-I885,I885))</f>
        <v/>
      </c>
      <c r="L885" t="str">
        <f>IF(E885="","",IFERROR(VLOOKUP(E885,Listas!$A$2:$C$1048576,3,FALSE),""))</f>
        <v/>
      </c>
    </row>
    <row r="886" spans="10:12" x14ac:dyDescent="0.25">
      <c r="J886" t="str">
        <f>IF(H886="","",IFERROR(VLOOKUP(H886,Listas!$J$2:$K$1048576,2,FALSE),""))</f>
        <v/>
      </c>
      <c r="K886" s="5" t="str">
        <f>IF(OR(I886="",G886=""),"",IF(G886="Saída",-I886,I886))</f>
        <v/>
      </c>
      <c r="L886" t="str">
        <f>IF(E886="","",IFERROR(VLOOKUP(E886,Listas!$A$2:$C$1048576,3,FALSE),""))</f>
        <v/>
      </c>
    </row>
    <row r="887" spans="10:12" x14ac:dyDescent="0.25">
      <c r="J887" t="str">
        <f>IF(H887="","",IFERROR(VLOOKUP(H887,Listas!$J$2:$K$1048576,2,FALSE),""))</f>
        <v/>
      </c>
      <c r="K887" s="5" t="str">
        <f>IF(OR(I887="",G887=""),"",IF(G887="Saída",-I887,I887))</f>
        <v/>
      </c>
      <c r="L887" t="str">
        <f>IF(E887="","",IFERROR(VLOOKUP(E887,Listas!$A$2:$C$1048576,3,FALSE),""))</f>
        <v/>
      </c>
    </row>
    <row r="888" spans="10:12" x14ac:dyDescent="0.25">
      <c r="J888" t="str">
        <f>IF(H888="","",IFERROR(VLOOKUP(H888,Listas!$J$2:$K$1048576,2,FALSE),""))</f>
        <v/>
      </c>
      <c r="K888" s="5" t="str">
        <f>IF(OR(I888="",G888=""),"",IF(G888="Saída",-I888,I888))</f>
        <v/>
      </c>
      <c r="L888" t="str">
        <f>IF(E888="","",IFERROR(VLOOKUP(E888,Listas!$A$2:$C$1048576,3,FALSE),""))</f>
        <v/>
      </c>
    </row>
    <row r="889" spans="10:12" x14ac:dyDescent="0.25">
      <c r="J889" t="str">
        <f>IF(H889="","",IFERROR(VLOOKUP(H889,Listas!$J$2:$K$1048576,2,FALSE),""))</f>
        <v/>
      </c>
      <c r="K889" s="5" t="str">
        <f>IF(OR(I889="",G889=""),"",IF(G889="Saída",-I889,I889))</f>
        <v/>
      </c>
      <c r="L889" t="str">
        <f>IF(E889="","",IFERROR(VLOOKUP(E889,Listas!$A$2:$C$1048576,3,FALSE),""))</f>
        <v/>
      </c>
    </row>
    <row r="890" spans="10:12" x14ac:dyDescent="0.25">
      <c r="J890" t="str">
        <f>IF(H890="","",IFERROR(VLOOKUP(H890,Listas!$J$2:$K$1048576,2,FALSE),""))</f>
        <v/>
      </c>
      <c r="K890" s="5" t="str">
        <f>IF(OR(I890="",G890=""),"",IF(G890="Saída",-I890,I890))</f>
        <v/>
      </c>
      <c r="L890" t="str">
        <f>IF(E890="","",IFERROR(VLOOKUP(E890,Listas!$A$2:$C$1048576,3,FALSE),""))</f>
        <v/>
      </c>
    </row>
    <row r="891" spans="10:12" x14ac:dyDescent="0.25">
      <c r="J891" t="str">
        <f>IF(H891="","",IFERROR(VLOOKUP(H891,Listas!$J$2:$K$1048576,2,FALSE),""))</f>
        <v/>
      </c>
      <c r="K891" s="5" t="str">
        <f>IF(OR(I891="",G891=""),"",IF(G891="Saída",-I891,I891))</f>
        <v/>
      </c>
      <c r="L891" t="str">
        <f>IF(E891="","",IFERROR(VLOOKUP(E891,Listas!$A$2:$C$1048576,3,FALSE),""))</f>
        <v/>
      </c>
    </row>
    <row r="892" spans="10:12" x14ac:dyDescent="0.25">
      <c r="J892" t="str">
        <f>IF(H892="","",IFERROR(VLOOKUP(H892,Listas!$J$2:$K$1048576,2,FALSE),""))</f>
        <v/>
      </c>
      <c r="K892" s="5" t="str">
        <f>IF(OR(I892="",G892=""),"",IF(G892="Saída",-I892,I892))</f>
        <v/>
      </c>
      <c r="L892" t="str">
        <f>IF(E892="","",IFERROR(VLOOKUP(E892,Listas!$A$2:$C$1048576,3,FALSE),""))</f>
        <v/>
      </c>
    </row>
    <row r="893" spans="10:12" x14ac:dyDescent="0.25">
      <c r="J893" t="str">
        <f>IF(H893="","",IFERROR(VLOOKUP(H893,Listas!$J$2:$K$1048576,2,FALSE),""))</f>
        <v/>
      </c>
      <c r="K893" s="5" t="str">
        <f>IF(OR(I893="",G893=""),"",IF(G893="Saída",-I893,I893))</f>
        <v/>
      </c>
      <c r="L893" t="str">
        <f>IF(E893="","",IFERROR(VLOOKUP(E893,Listas!$A$2:$C$1048576,3,FALSE),""))</f>
        <v/>
      </c>
    </row>
    <row r="894" spans="10:12" x14ac:dyDescent="0.25">
      <c r="J894" t="str">
        <f>IF(H894="","",IFERROR(VLOOKUP(H894,Listas!$J$2:$K$1048576,2,FALSE),""))</f>
        <v/>
      </c>
      <c r="K894" s="5" t="str">
        <f>IF(OR(I894="",G894=""),"",IF(G894="Saída",-I894,I894))</f>
        <v/>
      </c>
      <c r="L894" t="str">
        <f>IF(E894="","",IFERROR(VLOOKUP(E894,Listas!$A$2:$C$1048576,3,FALSE),""))</f>
        <v/>
      </c>
    </row>
    <row r="895" spans="10:12" x14ac:dyDescent="0.25">
      <c r="J895" t="str">
        <f>IF(H895="","",IFERROR(VLOOKUP(H895,Listas!$J$2:$K$1048576,2,FALSE),""))</f>
        <v/>
      </c>
      <c r="K895" s="5" t="str">
        <f>IF(OR(I895="",G895=""),"",IF(G895="Saída",-I895,I895))</f>
        <v/>
      </c>
      <c r="L895" t="str">
        <f>IF(E895="","",IFERROR(VLOOKUP(E895,Listas!$A$2:$C$1048576,3,FALSE),""))</f>
        <v/>
      </c>
    </row>
    <row r="896" spans="10:12" x14ac:dyDescent="0.25">
      <c r="J896" t="str">
        <f>IF(H896="","",IFERROR(VLOOKUP(H896,Listas!$J$2:$K$1048576,2,FALSE),""))</f>
        <v/>
      </c>
      <c r="K896" s="5" t="str">
        <f>IF(OR(I896="",G896=""),"",IF(G896="Saída",-I896,I896))</f>
        <v/>
      </c>
      <c r="L896" t="str">
        <f>IF(E896="","",IFERROR(VLOOKUP(E896,Listas!$A$2:$C$1048576,3,FALSE),""))</f>
        <v/>
      </c>
    </row>
    <row r="897" spans="10:12" x14ac:dyDescent="0.25">
      <c r="J897" t="str">
        <f>IF(H897="","",IFERROR(VLOOKUP(H897,Listas!$J$2:$K$1048576,2,FALSE),""))</f>
        <v/>
      </c>
      <c r="K897" s="5" t="str">
        <f>IF(OR(I897="",G897=""),"",IF(G897="Saída",-I897,I897))</f>
        <v/>
      </c>
      <c r="L897" t="str">
        <f>IF(E897="","",IFERROR(VLOOKUP(E897,Listas!$A$2:$C$1048576,3,FALSE),""))</f>
        <v/>
      </c>
    </row>
    <row r="898" spans="10:12" x14ac:dyDescent="0.25">
      <c r="J898" t="str">
        <f>IF(H898="","",IFERROR(VLOOKUP(H898,Listas!$J$2:$K$1048576,2,FALSE),""))</f>
        <v/>
      </c>
      <c r="K898" s="5" t="str">
        <f>IF(OR(I898="",G898=""),"",IF(G898="Saída",-I898,I898))</f>
        <v/>
      </c>
      <c r="L898" t="str">
        <f>IF(E898="","",IFERROR(VLOOKUP(E898,Listas!$A$2:$C$1048576,3,FALSE),""))</f>
        <v/>
      </c>
    </row>
    <row r="899" spans="10:12" x14ac:dyDescent="0.25">
      <c r="J899" t="str">
        <f>IF(H899="","",IFERROR(VLOOKUP(H899,Listas!$J$2:$K$1048576,2,FALSE),""))</f>
        <v/>
      </c>
      <c r="K899" s="5" t="str">
        <f>IF(OR(I899="",G899=""),"",IF(G899="Saída",-I899,I899))</f>
        <v/>
      </c>
      <c r="L899" t="str">
        <f>IF(E899="","",IFERROR(VLOOKUP(E899,Listas!$A$2:$C$1048576,3,FALSE),""))</f>
        <v/>
      </c>
    </row>
    <row r="900" spans="10:12" x14ac:dyDescent="0.25">
      <c r="J900" t="str">
        <f>IF(H900="","",IFERROR(VLOOKUP(H900,Listas!$J$2:$K$1048576,2,FALSE),""))</f>
        <v/>
      </c>
      <c r="K900" s="5" t="str">
        <f>IF(OR(I900="",G900=""),"",IF(G900="Saída",-I900,I900))</f>
        <v/>
      </c>
      <c r="L900" t="str">
        <f>IF(E900="","",IFERROR(VLOOKUP(E900,Listas!$A$2:$C$1048576,3,FALSE),""))</f>
        <v/>
      </c>
    </row>
    <row r="901" spans="10:12" x14ac:dyDescent="0.25">
      <c r="J901" t="str">
        <f>IF(H901="","",IFERROR(VLOOKUP(H901,Listas!$J$2:$K$1048576,2,FALSE),""))</f>
        <v/>
      </c>
      <c r="K901" s="5" t="str">
        <f>IF(OR(I901="",G901=""),"",IF(G901="Saída",-I901,I901))</f>
        <v/>
      </c>
      <c r="L901" t="str">
        <f>IF(E901="","",IFERROR(VLOOKUP(E901,Listas!$A$2:$C$1048576,3,FALSE),""))</f>
        <v/>
      </c>
    </row>
    <row r="902" spans="10:12" x14ac:dyDescent="0.25">
      <c r="J902" t="str">
        <f>IF(H902="","",IFERROR(VLOOKUP(H902,Listas!$J$2:$K$1048576,2,FALSE),""))</f>
        <v/>
      </c>
      <c r="K902" s="5" t="str">
        <f>IF(OR(I902="",G902=""),"",IF(G902="Saída",-I902,I902))</f>
        <v/>
      </c>
      <c r="L902" t="str">
        <f>IF(E902="","",IFERROR(VLOOKUP(E902,Listas!$A$2:$C$1048576,3,FALSE),""))</f>
        <v/>
      </c>
    </row>
    <row r="903" spans="10:12" x14ac:dyDescent="0.25">
      <c r="J903" t="str">
        <f>IF(H903="","",IFERROR(VLOOKUP(H903,Listas!$J$2:$K$1048576,2,FALSE),""))</f>
        <v/>
      </c>
      <c r="K903" s="5" t="str">
        <f>IF(OR(I903="",G903=""),"",IF(G903="Saída",-I903,I903))</f>
        <v/>
      </c>
      <c r="L903" t="str">
        <f>IF(E903="","",IFERROR(VLOOKUP(E903,Listas!$A$2:$C$1048576,3,FALSE),""))</f>
        <v/>
      </c>
    </row>
    <row r="904" spans="10:12" x14ac:dyDescent="0.25">
      <c r="J904" t="str">
        <f>IF(H904="","",IFERROR(VLOOKUP(H904,Listas!$J$2:$K$1048576,2,FALSE),""))</f>
        <v/>
      </c>
      <c r="K904" s="5" t="str">
        <f>IF(OR(I904="",G904=""),"",IF(G904="Saída",-I904,I904))</f>
        <v/>
      </c>
      <c r="L904" t="str">
        <f>IF(E904="","",IFERROR(VLOOKUP(E904,Listas!$A$2:$C$1048576,3,FALSE),""))</f>
        <v/>
      </c>
    </row>
    <row r="905" spans="10:12" x14ac:dyDescent="0.25">
      <c r="J905" t="str">
        <f>IF(H905="","",IFERROR(VLOOKUP(H905,Listas!$J$2:$K$1048576,2,FALSE),""))</f>
        <v/>
      </c>
      <c r="K905" s="5" t="str">
        <f>IF(OR(I905="",G905=""),"",IF(G905="Saída",-I905,I905))</f>
        <v/>
      </c>
      <c r="L905" t="str">
        <f>IF(E905="","",IFERROR(VLOOKUP(E905,Listas!$A$2:$C$1048576,3,FALSE),""))</f>
        <v/>
      </c>
    </row>
    <row r="906" spans="10:12" x14ac:dyDescent="0.25">
      <c r="J906" t="str">
        <f>IF(H906="","",IFERROR(VLOOKUP(H906,Listas!$J$2:$K$1048576,2,FALSE),""))</f>
        <v/>
      </c>
      <c r="K906" s="5" t="str">
        <f>IF(OR(I906="",G906=""),"",IF(G906="Saída",-I906,I906))</f>
        <v/>
      </c>
      <c r="L906" t="str">
        <f>IF(E906="","",IFERROR(VLOOKUP(E906,Listas!$A$2:$C$1048576,3,FALSE),""))</f>
        <v/>
      </c>
    </row>
    <row r="907" spans="10:12" x14ac:dyDescent="0.25">
      <c r="J907" t="str">
        <f>IF(H907="","",IFERROR(VLOOKUP(H907,Listas!$J$2:$K$1048576,2,FALSE),""))</f>
        <v/>
      </c>
      <c r="K907" s="5" t="str">
        <f>IF(OR(I907="",G907=""),"",IF(G907="Saída",-I907,I907))</f>
        <v/>
      </c>
      <c r="L907" t="str">
        <f>IF(E907="","",IFERROR(VLOOKUP(E907,Listas!$A$2:$C$1048576,3,FALSE),""))</f>
        <v/>
      </c>
    </row>
    <row r="908" spans="10:12" x14ac:dyDescent="0.25">
      <c r="J908" t="str">
        <f>IF(H908="","",IFERROR(VLOOKUP(H908,Listas!$J$2:$K$1048576,2,FALSE),""))</f>
        <v/>
      </c>
      <c r="K908" s="5" t="str">
        <f>IF(OR(I908="",G908=""),"",IF(G908="Saída",-I908,I908))</f>
        <v/>
      </c>
      <c r="L908" t="str">
        <f>IF(E908="","",IFERROR(VLOOKUP(E908,Listas!$A$2:$C$1048576,3,FALSE),""))</f>
        <v/>
      </c>
    </row>
    <row r="909" spans="10:12" x14ac:dyDescent="0.25">
      <c r="J909" t="str">
        <f>IF(H909="","",IFERROR(VLOOKUP(H909,Listas!$J$2:$K$1048576,2,FALSE),""))</f>
        <v/>
      </c>
      <c r="K909" s="5" t="str">
        <f>IF(OR(I909="",G909=""),"",IF(G909="Saída",-I909,I909))</f>
        <v/>
      </c>
      <c r="L909" t="str">
        <f>IF(E909="","",IFERROR(VLOOKUP(E909,Listas!$A$2:$C$1048576,3,FALSE),""))</f>
        <v/>
      </c>
    </row>
    <row r="910" spans="10:12" x14ac:dyDescent="0.25">
      <c r="J910" t="str">
        <f>IF(H910="","",IFERROR(VLOOKUP(H910,Listas!$J$2:$K$1048576,2,FALSE),""))</f>
        <v/>
      </c>
      <c r="K910" s="5" t="str">
        <f>IF(OR(I910="",G910=""),"",IF(G910="Saída",-I910,I910))</f>
        <v/>
      </c>
      <c r="L910" t="str">
        <f>IF(E910="","",IFERROR(VLOOKUP(E910,Listas!$A$2:$C$1048576,3,FALSE),""))</f>
        <v/>
      </c>
    </row>
    <row r="911" spans="10:12" x14ac:dyDescent="0.25">
      <c r="J911" t="str">
        <f>IF(H911="","",IFERROR(VLOOKUP(H911,Listas!$J$2:$K$1048576,2,FALSE),""))</f>
        <v/>
      </c>
      <c r="K911" s="5" t="str">
        <f>IF(OR(I911="",G911=""),"",IF(G911="Saída",-I911,I911))</f>
        <v/>
      </c>
      <c r="L911" t="str">
        <f>IF(E911="","",IFERROR(VLOOKUP(E911,Listas!$A$2:$C$1048576,3,FALSE),""))</f>
        <v/>
      </c>
    </row>
    <row r="912" spans="10:12" x14ac:dyDescent="0.25">
      <c r="J912" t="str">
        <f>IF(H912="","",IFERROR(VLOOKUP(H912,Listas!$J$2:$K$1048576,2,FALSE),""))</f>
        <v/>
      </c>
      <c r="K912" s="5" t="str">
        <f>IF(OR(I912="",G912=""),"",IF(G912="Saída",-I912,I912))</f>
        <v/>
      </c>
      <c r="L912" t="str">
        <f>IF(E912="","",IFERROR(VLOOKUP(E912,Listas!$A$2:$C$1048576,3,FALSE),""))</f>
        <v/>
      </c>
    </row>
    <row r="913" spans="10:12" x14ac:dyDescent="0.25">
      <c r="J913" t="str">
        <f>IF(H913="","",IFERROR(VLOOKUP(H913,Listas!$J$2:$K$1048576,2,FALSE),""))</f>
        <v/>
      </c>
      <c r="K913" s="5" t="str">
        <f>IF(OR(I913="",G913=""),"",IF(G913="Saída",-I913,I913))</f>
        <v/>
      </c>
      <c r="L913" t="str">
        <f>IF(E913="","",IFERROR(VLOOKUP(E913,Listas!$A$2:$C$1048576,3,FALSE),""))</f>
        <v/>
      </c>
    </row>
    <row r="914" spans="10:12" x14ac:dyDescent="0.25">
      <c r="J914" t="str">
        <f>IF(H914="","",IFERROR(VLOOKUP(H914,Listas!$J$2:$K$1048576,2,FALSE),""))</f>
        <v/>
      </c>
      <c r="K914" s="5" t="str">
        <f>IF(OR(I914="",G914=""),"",IF(G914="Saída",-I914,I914))</f>
        <v/>
      </c>
      <c r="L914" t="str">
        <f>IF(E914="","",IFERROR(VLOOKUP(E914,Listas!$A$2:$C$1048576,3,FALSE),""))</f>
        <v/>
      </c>
    </row>
    <row r="915" spans="10:12" x14ac:dyDescent="0.25">
      <c r="J915" t="str">
        <f>IF(H915="","",IFERROR(VLOOKUP(H915,Listas!$J$2:$K$1048576,2,FALSE),""))</f>
        <v/>
      </c>
      <c r="K915" s="5" t="str">
        <f>IF(OR(I915="",G915=""),"",IF(G915="Saída",-I915,I915))</f>
        <v/>
      </c>
      <c r="L915" t="str">
        <f>IF(E915="","",IFERROR(VLOOKUP(E915,Listas!$A$2:$C$1048576,3,FALSE),""))</f>
        <v/>
      </c>
    </row>
    <row r="916" spans="10:12" x14ac:dyDescent="0.25">
      <c r="J916" t="str">
        <f>IF(H916="","",IFERROR(VLOOKUP(H916,Listas!$J$2:$K$1048576,2,FALSE),""))</f>
        <v/>
      </c>
      <c r="K916" s="5" t="str">
        <f>IF(OR(I916="",G916=""),"",IF(G916="Saída",-I916,I916))</f>
        <v/>
      </c>
      <c r="L916" t="str">
        <f>IF(E916="","",IFERROR(VLOOKUP(E916,Listas!$A$2:$C$1048576,3,FALSE),""))</f>
        <v/>
      </c>
    </row>
    <row r="917" spans="10:12" x14ac:dyDescent="0.25">
      <c r="J917" t="str">
        <f>IF(H917="","",IFERROR(VLOOKUP(H917,Listas!$J$2:$K$1048576,2,FALSE),""))</f>
        <v/>
      </c>
      <c r="K917" s="5" t="str">
        <f>IF(OR(I917="",G917=""),"",IF(G917="Saída",-I917,I917))</f>
        <v/>
      </c>
      <c r="L917" t="str">
        <f>IF(E917="","",IFERROR(VLOOKUP(E917,Listas!$A$2:$C$1048576,3,FALSE),""))</f>
        <v/>
      </c>
    </row>
    <row r="918" spans="10:12" x14ac:dyDescent="0.25">
      <c r="J918" t="str">
        <f>IF(H918="","",IFERROR(VLOOKUP(H918,Listas!$J$2:$K$1048576,2,FALSE),""))</f>
        <v/>
      </c>
      <c r="K918" s="5" t="str">
        <f>IF(OR(I918="",G918=""),"",IF(G918="Saída",-I918,I918))</f>
        <v/>
      </c>
      <c r="L918" t="str">
        <f>IF(E918="","",IFERROR(VLOOKUP(E918,Listas!$A$2:$C$1048576,3,FALSE),""))</f>
        <v/>
      </c>
    </row>
    <row r="919" spans="10:12" x14ac:dyDescent="0.25">
      <c r="J919" t="str">
        <f>IF(H919="","",IFERROR(VLOOKUP(H919,Listas!$J$2:$K$1048576,2,FALSE),""))</f>
        <v/>
      </c>
      <c r="K919" s="5" t="str">
        <f>IF(OR(I919="",G919=""),"",IF(G919="Saída",-I919,I919))</f>
        <v/>
      </c>
      <c r="L919" t="str">
        <f>IF(E919="","",IFERROR(VLOOKUP(E919,Listas!$A$2:$C$1048576,3,FALSE),""))</f>
        <v/>
      </c>
    </row>
    <row r="920" spans="10:12" x14ac:dyDescent="0.25">
      <c r="J920" t="str">
        <f>IF(H920="","",IFERROR(VLOOKUP(H920,Listas!$J$2:$K$1048576,2,FALSE),""))</f>
        <v/>
      </c>
      <c r="K920" s="5" t="str">
        <f>IF(OR(I920="",G920=""),"",IF(G920="Saída",-I920,I920))</f>
        <v/>
      </c>
      <c r="L920" t="str">
        <f>IF(E920="","",IFERROR(VLOOKUP(E920,Listas!$A$2:$C$1048576,3,FALSE),""))</f>
        <v/>
      </c>
    </row>
    <row r="921" spans="10:12" x14ac:dyDescent="0.25">
      <c r="J921" t="str">
        <f>IF(H921="","",IFERROR(VLOOKUP(H921,Listas!$J$2:$K$1048576,2,FALSE),""))</f>
        <v/>
      </c>
      <c r="K921" s="5" t="str">
        <f>IF(OR(I921="",G921=""),"",IF(G921="Saída",-I921,I921))</f>
        <v/>
      </c>
      <c r="L921" t="str">
        <f>IF(E921="","",IFERROR(VLOOKUP(E921,Listas!$A$2:$C$1048576,3,FALSE),""))</f>
        <v/>
      </c>
    </row>
    <row r="922" spans="10:12" x14ac:dyDescent="0.25">
      <c r="J922" t="str">
        <f>IF(H922="","",IFERROR(VLOOKUP(H922,Listas!$J$2:$K$1048576,2,FALSE),""))</f>
        <v/>
      </c>
      <c r="K922" s="5" t="str">
        <f>IF(OR(I922="",G922=""),"",IF(G922="Saída",-I922,I922))</f>
        <v/>
      </c>
      <c r="L922" t="str">
        <f>IF(E922="","",IFERROR(VLOOKUP(E922,Listas!$A$2:$C$1048576,3,FALSE),""))</f>
        <v/>
      </c>
    </row>
    <row r="923" spans="10:12" x14ac:dyDescent="0.25">
      <c r="J923" t="str">
        <f>IF(H923="","",IFERROR(VLOOKUP(H923,Listas!$J$2:$K$1048576,2,FALSE),""))</f>
        <v/>
      </c>
      <c r="K923" s="5" t="str">
        <f>IF(OR(I923="",G923=""),"",IF(G923="Saída",-I923,I923))</f>
        <v/>
      </c>
      <c r="L923" t="str">
        <f>IF(E923="","",IFERROR(VLOOKUP(E923,Listas!$A$2:$C$1048576,3,FALSE),""))</f>
        <v/>
      </c>
    </row>
    <row r="924" spans="10:12" x14ac:dyDescent="0.25">
      <c r="J924" t="str">
        <f>IF(H924="","",IFERROR(VLOOKUP(H924,Listas!$J$2:$K$1048576,2,FALSE),""))</f>
        <v/>
      </c>
      <c r="K924" s="5" t="str">
        <f>IF(OR(I924="",G924=""),"",IF(G924="Saída",-I924,I924))</f>
        <v/>
      </c>
      <c r="L924" t="str">
        <f>IF(E924="","",IFERROR(VLOOKUP(E924,Listas!$A$2:$C$1048576,3,FALSE),""))</f>
        <v/>
      </c>
    </row>
    <row r="925" spans="10:12" x14ac:dyDescent="0.25">
      <c r="J925" t="str">
        <f>IF(H925="","",IFERROR(VLOOKUP(H925,Listas!$J$2:$K$1048576,2,FALSE),""))</f>
        <v/>
      </c>
      <c r="K925" s="5" t="str">
        <f>IF(OR(I925="",G925=""),"",IF(G925="Saída",-I925,I925))</f>
        <v/>
      </c>
      <c r="L925" t="str">
        <f>IF(E925="","",IFERROR(VLOOKUP(E925,Listas!$A$2:$C$1048576,3,FALSE),""))</f>
        <v/>
      </c>
    </row>
    <row r="926" spans="10:12" x14ac:dyDescent="0.25">
      <c r="J926" t="str">
        <f>IF(H926="","",IFERROR(VLOOKUP(H926,Listas!$J$2:$K$1048576,2,FALSE),""))</f>
        <v/>
      </c>
      <c r="K926" s="5" t="str">
        <f>IF(OR(I926="",G926=""),"",IF(G926="Saída",-I926,I926))</f>
        <v/>
      </c>
      <c r="L926" t="str">
        <f>IF(E926="","",IFERROR(VLOOKUP(E926,Listas!$A$2:$C$1048576,3,FALSE),""))</f>
        <v/>
      </c>
    </row>
    <row r="927" spans="10:12" x14ac:dyDescent="0.25">
      <c r="J927" t="str">
        <f>IF(H927="","",IFERROR(VLOOKUP(H927,Listas!$J$2:$K$1048576,2,FALSE),""))</f>
        <v/>
      </c>
      <c r="K927" s="5" t="str">
        <f>IF(OR(I927="",G927=""),"",IF(G927="Saída",-I927,I927))</f>
        <v/>
      </c>
      <c r="L927" t="str">
        <f>IF(E927="","",IFERROR(VLOOKUP(E927,Listas!$A$2:$C$1048576,3,FALSE),""))</f>
        <v/>
      </c>
    </row>
    <row r="928" spans="10:12" x14ac:dyDescent="0.25">
      <c r="J928" t="str">
        <f>IF(H928="","",IFERROR(VLOOKUP(H928,Listas!$J$2:$K$1048576,2,FALSE),""))</f>
        <v/>
      </c>
      <c r="K928" s="5" t="str">
        <f>IF(OR(I928="",G928=""),"",IF(G928="Saída",-I928,I928))</f>
        <v/>
      </c>
      <c r="L928" t="str">
        <f>IF(E928="","",IFERROR(VLOOKUP(E928,Listas!$A$2:$C$1048576,3,FALSE),""))</f>
        <v/>
      </c>
    </row>
    <row r="929" spans="10:12" x14ac:dyDescent="0.25">
      <c r="J929" t="str">
        <f>IF(H929="","",IFERROR(VLOOKUP(H929,Listas!$J$2:$K$1048576,2,FALSE),""))</f>
        <v/>
      </c>
      <c r="K929" s="5" t="str">
        <f>IF(OR(I929="",G929=""),"",IF(G929="Saída",-I929,I929))</f>
        <v/>
      </c>
      <c r="L929" t="str">
        <f>IF(E929="","",IFERROR(VLOOKUP(E929,Listas!$A$2:$C$1048576,3,FALSE),""))</f>
        <v/>
      </c>
    </row>
    <row r="930" spans="10:12" x14ac:dyDescent="0.25">
      <c r="J930" t="str">
        <f>IF(H930="","",IFERROR(VLOOKUP(H930,Listas!$J$2:$K$1048576,2,FALSE),""))</f>
        <v/>
      </c>
      <c r="K930" s="5" t="str">
        <f>IF(OR(I930="",G930=""),"",IF(G930="Saída",-I930,I930))</f>
        <v/>
      </c>
      <c r="L930" t="str">
        <f>IF(E930="","",IFERROR(VLOOKUP(E930,Listas!$A$2:$C$1048576,3,FALSE),""))</f>
        <v/>
      </c>
    </row>
    <row r="931" spans="10:12" x14ac:dyDescent="0.25">
      <c r="J931" t="str">
        <f>IF(H931="","",IFERROR(VLOOKUP(H931,Listas!$J$2:$K$1048576,2,FALSE),""))</f>
        <v/>
      </c>
      <c r="K931" s="5" t="str">
        <f>IF(OR(I931="",G931=""),"",IF(G931="Saída",-I931,I931))</f>
        <v/>
      </c>
      <c r="L931" t="str">
        <f>IF(E931="","",IFERROR(VLOOKUP(E931,Listas!$A$2:$C$1048576,3,FALSE),""))</f>
        <v/>
      </c>
    </row>
    <row r="932" spans="10:12" x14ac:dyDescent="0.25">
      <c r="J932" t="str">
        <f>IF(H932="","",IFERROR(VLOOKUP(H932,Listas!$J$2:$K$1048576,2,FALSE),""))</f>
        <v/>
      </c>
      <c r="K932" s="5" t="str">
        <f>IF(OR(I932="",G932=""),"",IF(G932="Saída",-I932,I932))</f>
        <v/>
      </c>
      <c r="L932" t="str">
        <f>IF(E932="","",IFERROR(VLOOKUP(E932,Listas!$A$2:$C$1048576,3,FALSE),""))</f>
        <v/>
      </c>
    </row>
    <row r="933" spans="10:12" x14ac:dyDescent="0.25">
      <c r="J933" t="str">
        <f>IF(H933="","",IFERROR(VLOOKUP(H933,Listas!$J$2:$K$1048576,2,FALSE),""))</f>
        <v/>
      </c>
      <c r="K933" s="5" t="str">
        <f>IF(OR(I933="",G933=""),"",IF(G933="Saída",-I933,I933))</f>
        <v/>
      </c>
      <c r="L933" t="str">
        <f>IF(E933="","",IFERROR(VLOOKUP(E933,Listas!$A$2:$C$1048576,3,FALSE),""))</f>
        <v/>
      </c>
    </row>
    <row r="934" spans="10:12" x14ac:dyDescent="0.25">
      <c r="J934" t="str">
        <f>IF(H934="","",IFERROR(VLOOKUP(H934,Listas!$J$2:$K$1048576,2,FALSE),""))</f>
        <v/>
      </c>
      <c r="K934" s="5" t="str">
        <f>IF(OR(I934="",G934=""),"",IF(G934="Saída",-I934,I934))</f>
        <v/>
      </c>
      <c r="L934" t="str">
        <f>IF(E934="","",IFERROR(VLOOKUP(E934,Listas!$A$2:$C$1048576,3,FALSE),""))</f>
        <v/>
      </c>
    </row>
    <row r="935" spans="10:12" x14ac:dyDescent="0.25">
      <c r="J935" t="str">
        <f>IF(H935="","",IFERROR(VLOOKUP(H935,Listas!$J$2:$K$1048576,2,FALSE),""))</f>
        <v/>
      </c>
      <c r="K935" s="5" t="str">
        <f>IF(OR(I935="",G935=""),"",IF(G935="Saída",-I935,I935))</f>
        <v/>
      </c>
      <c r="L935" t="str">
        <f>IF(E935="","",IFERROR(VLOOKUP(E935,Listas!$A$2:$C$1048576,3,FALSE),""))</f>
        <v/>
      </c>
    </row>
    <row r="936" spans="10:12" x14ac:dyDescent="0.25">
      <c r="J936" t="str">
        <f>IF(H936="","",IFERROR(VLOOKUP(H936,Listas!$J$2:$K$1048576,2,FALSE),""))</f>
        <v/>
      </c>
      <c r="K936" s="5" t="str">
        <f>IF(OR(I936="",G936=""),"",IF(G936="Saída",-I936,I936))</f>
        <v/>
      </c>
      <c r="L936" t="str">
        <f>IF(E936="","",IFERROR(VLOOKUP(E936,Listas!$A$2:$C$1048576,3,FALSE),""))</f>
        <v/>
      </c>
    </row>
    <row r="937" spans="10:12" x14ac:dyDescent="0.25">
      <c r="J937" t="str">
        <f>IF(H937="","",IFERROR(VLOOKUP(H937,Listas!$J$2:$K$1048576,2,FALSE),""))</f>
        <v/>
      </c>
      <c r="K937" s="5" t="str">
        <f>IF(OR(I937="",G937=""),"",IF(G937="Saída",-I937,I937))</f>
        <v/>
      </c>
      <c r="L937" t="str">
        <f>IF(E937="","",IFERROR(VLOOKUP(E937,Listas!$A$2:$C$1048576,3,FALSE),""))</f>
        <v/>
      </c>
    </row>
    <row r="938" spans="10:12" x14ac:dyDescent="0.25">
      <c r="J938" t="str">
        <f>IF(H938="","",IFERROR(VLOOKUP(H938,Listas!$J$2:$K$1048576,2,FALSE),""))</f>
        <v/>
      </c>
      <c r="K938" s="5" t="str">
        <f>IF(OR(I938="",G938=""),"",IF(G938="Saída",-I938,I938))</f>
        <v/>
      </c>
      <c r="L938" t="str">
        <f>IF(E938="","",IFERROR(VLOOKUP(E938,Listas!$A$2:$C$1048576,3,FALSE),""))</f>
        <v/>
      </c>
    </row>
    <row r="939" spans="10:12" x14ac:dyDescent="0.25">
      <c r="J939" t="str">
        <f>IF(H939="","",IFERROR(VLOOKUP(H939,Listas!$J$2:$K$1048576,2,FALSE),""))</f>
        <v/>
      </c>
      <c r="K939" s="5" t="str">
        <f>IF(OR(I939="",G939=""),"",IF(G939="Saída",-I939,I939))</f>
        <v/>
      </c>
      <c r="L939" t="str">
        <f>IF(E939="","",IFERROR(VLOOKUP(E939,Listas!$A$2:$C$1048576,3,FALSE),""))</f>
        <v/>
      </c>
    </row>
    <row r="940" spans="10:12" x14ac:dyDescent="0.25">
      <c r="J940" t="str">
        <f>IF(H940="","",IFERROR(VLOOKUP(H940,Listas!$J$2:$K$1048576,2,FALSE),""))</f>
        <v/>
      </c>
      <c r="K940" s="5" t="str">
        <f>IF(OR(I940="",G940=""),"",IF(G940="Saída",-I940,I940))</f>
        <v/>
      </c>
      <c r="L940" t="str">
        <f>IF(E940="","",IFERROR(VLOOKUP(E940,Listas!$A$2:$C$1048576,3,FALSE),""))</f>
        <v/>
      </c>
    </row>
    <row r="941" spans="10:12" x14ac:dyDescent="0.25">
      <c r="J941" t="str">
        <f>IF(H941="","",IFERROR(VLOOKUP(H941,Listas!$J$2:$K$1048576,2,FALSE),""))</f>
        <v/>
      </c>
      <c r="K941" s="5" t="str">
        <f>IF(OR(I941="",G941=""),"",IF(G941="Saída",-I941,I941))</f>
        <v/>
      </c>
      <c r="L941" t="str">
        <f>IF(E941="","",IFERROR(VLOOKUP(E941,Listas!$A$2:$C$1048576,3,FALSE),""))</f>
        <v/>
      </c>
    </row>
    <row r="942" spans="10:12" x14ac:dyDescent="0.25">
      <c r="J942" t="str">
        <f>IF(H942="","",IFERROR(VLOOKUP(H942,Listas!$J$2:$K$1048576,2,FALSE),""))</f>
        <v/>
      </c>
      <c r="K942" s="5" t="str">
        <f>IF(OR(I942="",G942=""),"",IF(G942="Saída",-I942,I942))</f>
        <v/>
      </c>
      <c r="L942" t="str">
        <f>IF(E942="","",IFERROR(VLOOKUP(E942,Listas!$A$2:$C$1048576,3,FALSE),""))</f>
        <v/>
      </c>
    </row>
    <row r="943" spans="10:12" x14ac:dyDescent="0.25">
      <c r="J943" t="str">
        <f>IF(H943="","",IFERROR(VLOOKUP(H943,Listas!$J$2:$K$1048576,2,FALSE),""))</f>
        <v/>
      </c>
      <c r="K943" s="5" t="str">
        <f>IF(OR(I943="",G943=""),"",IF(G943="Saída",-I943,I943))</f>
        <v/>
      </c>
      <c r="L943" t="str">
        <f>IF(E943="","",IFERROR(VLOOKUP(E943,Listas!$A$2:$C$1048576,3,FALSE),""))</f>
        <v/>
      </c>
    </row>
    <row r="944" spans="10:12" x14ac:dyDescent="0.25">
      <c r="J944" t="str">
        <f>IF(H944="","",IFERROR(VLOOKUP(H944,Listas!$J$2:$K$1048576,2,FALSE),""))</f>
        <v/>
      </c>
      <c r="K944" s="5" t="str">
        <f>IF(OR(I944="",G944=""),"",IF(G944="Saída",-I944,I944))</f>
        <v/>
      </c>
      <c r="L944" t="str">
        <f>IF(E944="","",IFERROR(VLOOKUP(E944,Listas!$A$2:$C$1048576,3,FALSE),""))</f>
        <v/>
      </c>
    </row>
    <row r="945" spans="10:12" x14ac:dyDescent="0.25">
      <c r="J945" t="str">
        <f>IF(H945="","",IFERROR(VLOOKUP(H945,Listas!$J$2:$K$1048576,2,FALSE),""))</f>
        <v/>
      </c>
      <c r="K945" s="5" t="str">
        <f>IF(OR(I945="",G945=""),"",IF(G945="Saída",-I945,I945))</f>
        <v/>
      </c>
      <c r="L945" t="str">
        <f>IF(E945="","",IFERROR(VLOOKUP(E945,Listas!$A$2:$C$1048576,3,FALSE),""))</f>
        <v/>
      </c>
    </row>
    <row r="946" spans="10:12" x14ac:dyDescent="0.25">
      <c r="J946" t="str">
        <f>IF(H946="","",IFERROR(VLOOKUP(H946,Listas!$J$2:$K$1048576,2,FALSE),""))</f>
        <v/>
      </c>
      <c r="K946" s="5" t="str">
        <f>IF(OR(I946="",G946=""),"",IF(G946="Saída",-I946,I946))</f>
        <v/>
      </c>
      <c r="L946" t="str">
        <f>IF(E946="","",IFERROR(VLOOKUP(E946,Listas!$A$2:$C$1048576,3,FALSE),""))</f>
        <v/>
      </c>
    </row>
    <row r="947" spans="10:12" x14ac:dyDescent="0.25">
      <c r="J947" t="str">
        <f>IF(H947="","",IFERROR(VLOOKUP(H947,Listas!$J$2:$K$1048576,2,FALSE),""))</f>
        <v/>
      </c>
      <c r="K947" s="5" t="str">
        <f>IF(OR(I947="",G947=""),"",IF(G947="Saída",-I947,I947))</f>
        <v/>
      </c>
      <c r="L947" t="str">
        <f>IF(E947="","",IFERROR(VLOOKUP(E947,Listas!$A$2:$C$1048576,3,FALSE),""))</f>
        <v/>
      </c>
    </row>
    <row r="948" spans="10:12" x14ac:dyDescent="0.25">
      <c r="J948" t="str">
        <f>IF(H948="","",IFERROR(VLOOKUP(H948,Listas!$J$2:$K$1048576,2,FALSE),""))</f>
        <v/>
      </c>
      <c r="K948" s="5" t="str">
        <f>IF(OR(I948="",G948=""),"",IF(G948="Saída",-I948,I948))</f>
        <v/>
      </c>
      <c r="L948" t="str">
        <f>IF(E948="","",IFERROR(VLOOKUP(E948,Listas!$A$2:$C$1048576,3,FALSE),""))</f>
        <v/>
      </c>
    </row>
    <row r="949" spans="10:12" x14ac:dyDescent="0.25">
      <c r="J949" t="str">
        <f>IF(H949="","",IFERROR(VLOOKUP(H949,Listas!$J$2:$K$1048576,2,FALSE),""))</f>
        <v/>
      </c>
      <c r="K949" s="5" t="str">
        <f>IF(OR(I949="",G949=""),"",IF(G949="Saída",-I949,I949))</f>
        <v/>
      </c>
      <c r="L949" t="str">
        <f>IF(E949="","",IFERROR(VLOOKUP(E949,Listas!$A$2:$C$1048576,3,FALSE),""))</f>
        <v/>
      </c>
    </row>
    <row r="950" spans="10:12" x14ac:dyDescent="0.25">
      <c r="J950" t="str">
        <f>IF(H950="","",IFERROR(VLOOKUP(H950,Listas!$J$2:$K$1048576,2,FALSE),""))</f>
        <v/>
      </c>
      <c r="K950" s="5" t="str">
        <f>IF(OR(I950="",G950=""),"",IF(G950="Saída",-I950,I950))</f>
        <v/>
      </c>
      <c r="L950" t="str">
        <f>IF(E950="","",IFERROR(VLOOKUP(E950,Listas!$A$2:$C$1048576,3,FALSE),""))</f>
        <v/>
      </c>
    </row>
    <row r="951" spans="10:12" x14ac:dyDescent="0.25">
      <c r="J951" t="str">
        <f>IF(H951="","",IFERROR(VLOOKUP(H951,Listas!$J$2:$K$1048576,2,FALSE),""))</f>
        <v/>
      </c>
      <c r="K951" s="5" t="str">
        <f>IF(OR(I951="",G951=""),"",IF(G951="Saída",-I951,I951))</f>
        <v/>
      </c>
      <c r="L951" t="str">
        <f>IF(E951="","",IFERROR(VLOOKUP(E951,Listas!$A$2:$C$1048576,3,FALSE),""))</f>
        <v/>
      </c>
    </row>
    <row r="952" spans="10:12" x14ac:dyDescent="0.25">
      <c r="J952" t="str">
        <f>IF(H952="","",IFERROR(VLOOKUP(H952,Listas!$J$2:$K$1048576,2,FALSE),""))</f>
        <v/>
      </c>
      <c r="K952" s="5" t="str">
        <f>IF(OR(I952="",G952=""),"",IF(G952="Saída",-I952,I952))</f>
        <v/>
      </c>
      <c r="L952" t="str">
        <f>IF(E952="","",IFERROR(VLOOKUP(E952,Listas!$A$2:$C$1048576,3,FALSE),""))</f>
        <v/>
      </c>
    </row>
    <row r="953" spans="10:12" x14ac:dyDescent="0.25">
      <c r="J953" t="str">
        <f>IF(H953="","",IFERROR(VLOOKUP(H953,Listas!$J$2:$K$1048576,2,FALSE),""))</f>
        <v/>
      </c>
      <c r="K953" s="5" t="str">
        <f>IF(OR(I953="",G953=""),"",IF(G953="Saída",-I953,I953))</f>
        <v/>
      </c>
      <c r="L953" t="str">
        <f>IF(E953="","",IFERROR(VLOOKUP(E953,Listas!$A$2:$C$1048576,3,FALSE),""))</f>
        <v/>
      </c>
    </row>
    <row r="954" spans="10:12" x14ac:dyDescent="0.25">
      <c r="J954" t="str">
        <f>IF(H954="","",IFERROR(VLOOKUP(H954,Listas!$J$2:$K$1048576,2,FALSE),""))</f>
        <v/>
      </c>
      <c r="K954" s="5" t="str">
        <f>IF(OR(I954="",G954=""),"",IF(G954="Saída",-I954,I954))</f>
        <v/>
      </c>
      <c r="L954" t="str">
        <f>IF(E954="","",IFERROR(VLOOKUP(E954,Listas!$A$2:$C$1048576,3,FALSE),""))</f>
        <v/>
      </c>
    </row>
    <row r="955" spans="10:12" x14ac:dyDescent="0.25">
      <c r="J955" t="str">
        <f>IF(H955="","",IFERROR(VLOOKUP(H955,Listas!$J$2:$K$1048576,2,FALSE),""))</f>
        <v/>
      </c>
      <c r="K955" s="5" t="str">
        <f>IF(OR(I955="",G955=""),"",IF(G955="Saída",-I955,I955))</f>
        <v/>
      </c>
      <c r="L955" t="str">
        <f>IF(E955="","",IFERROR(VLOOKUP(E955,Listas!$A$2:$C$1048576,3,FALSE),""))</f>
        <v/>
      </c>
    </row>
    <row r="956" spans="10:12" x14ac:dyDescent="0.25">
      <c r="J956" t="str">
        <f>IF(H956="","",IFERROR(VLOOKUP(H956,Listas!$J$2:$K$1048576,2,FALSE),""))</f>
        <v/>
      </c>
      <c r="K956" s="5" t="str">
        <f>IF(OR(I956="",G956=""),"",IF(G956="Saída",-I956,I956))</f>
        <v/>
      </c>
      <c r="L956" t="str">
        <f>IF(E956="","",IFERROR(VLOOKUP(E956,Listas!$A$2:$C$1048576,3,FALSE),""))</f>
        <v/>
      </c>
    </row>
    <row r="957" spans="10:12" x14ac:dyDescent="0.25">
      <c r="J957" t="str">
        <f>IF(H957="","",IFERROR(VLOOKUP(H957,Listas!$J$2:$K$1048576,2,FALSE),""))</f>
        <v/>
      </c>
      <c r="K957" s="5" t="str">
        <f>IF(OR(I957="",G957=""),"",IF(G957="Saída",-I957,I957))</f>
        <v/>
      </c>
      <c r="L957" t="str">
        <f>IF(E957="","",IFERROR(VLOOKUP(E957,Listas!$A$2:$C$1048576,3,FALSE),""))</f>
        <v/>
      </c>
    </row>
    <row r="958" spans="10:12" x14ac:dyDescent="0.25">
      <c r="J958" t="str">
        <f>IF(H958="","",IFERROR(VLOOKUP(H958,Listas!$J$2:$K$1048576,2,FALSE),""))</f>
        <v/>
      </c>
      <c r="K958" s="5" t="str">
        <f>IF(OR(I958="",G958=""),"",IF(G958="Saída",-I958,I958))</f>
        <v/>
      </c>
      <c r="L958" t="str">
        <f>IF(E958="","",IFERROR(VLOOKUP(E958,Listas!$A$2:$C$1048576,3,FALSE),""))</f>
        <v/>
      </c>
    </row>
    <row r="959" spans="10:12" x14ac:dyDescent="0.25">
      <c r="J959" t="str">
        <f>IF(H959="","",IFERROR(VLOOKUP(H959,Listas!$J$2:$K$1048576,2,FALSE),""))</f>
        <v/>
      </c>
      <c r="K959" s="5" t="str">
        <f>IF(OR(I959="",G959=""),"",IF(G959="Saída",-I959,I959))</f>
        <v/>
      </c>
      <c r="L959" t="str">
        <f>IF(E959="","",IFERROR(VLOOKUP(E959,Listas!$A$2:$C$1048576,3,FALSE),""))</f>
        <v/>
      </c>
    </row>
    <row r="960" spans="10:12" x14ac:dyDescent="0.25">
      <c r="J960" t="str">
        <f>IF(H960="","",IFERROR(VLOOKUP(H960,Listas!$J$2:$K$1048576,2,FALSE),""))</f>
        <v/>
      </c>
      <c r="K960" s="5" t="str">
        <f>IF(OR(I960="",G960=""),"",IF(G960="Saída",-I960,I960))</f>
        <v/>
      </c>
      <c r="L960" t="str">
        <f>IF(E960="","",IFERROR(VLOOKUP(E960,Listas!$A$2:$C$1048576,3,FALSE),""))</f>
        <v/>
      </c>
    </row>
    <row r="961" spans="10:12" x14ac:dyDescent="0.25">
      <c r="J961" t="str">
        <f>IF(H961="","",IFERROR(VLOOKUP(H961,Listas!$J$2:$K$1048576,2,FALSE),""))</f>
        <v/>
      </c>
      <c r="K961" s="5" t="str">
        <f>IF(OR(I961="",G961=""),"",IF(G961="Saída",-I961,I961))</f>
        <v/>
      </c>
      <c r="L961" t="str">
        <f>IF(E961="","",IFERROR(VLOOKUP(E961,Listas!$A$2:$C$1048576,3,FALSE),""))</f>
        <v/>
      </c>
    </row>
    <row r="962" spans="10:12" x14ac:dyDescent="0.25">
      <c r="J962" t="str">
        <f>IF(H962="","",IFERROR(VLOOKUP(H962,Listas!$J$2:$K$1048576,2,FALSE),""))</f>
        <v/>
      </c>
      <c r="K962" s="5" t="str">
        <f>IF(OR(I962="",G962=""),"",IF(G962="Saída",-I962,I962))</f>
        <v/>
      </c>
      <c r="L962" t="str">
        <f>IF(E962="","",IFERROR(VLOOKUP(E962,Listas!$A$2:$C$1048576,3,FALSE),""))</f>
        <v/>
      </c>
    </row>
    <row r="963" spans="10:12" x14ac:dyDescent="0.25">
      <c r="J963" t="str">
        <f>IF(H963="","",IFERROR(VLOOKUP(H963,Listas!$J$2:$K$1048576,2,FALSE),""))</f>
        <v/>
      </c>
      <c r="K963" s="5" t="str">
        <f>IF(OR(I963="",G963=""),"",IF(G963="Saída",-I963,I963))</f>
        <v/>
      </c>
      <c r="L963" t="str">
        <f>IF(E963="","",IFERROR(VLOOKUP(E963,Listas!$A$2:$C$1048576,3,FALSE),""))</f>
        <v/>
      </c>
    </row>
    <row r="964" spans="10:12" x14ac:dyDescent="0.25">
      <c r="J964" t="str">
        <f>IF(H964="","",IFERROR(VLOOKUP(H964,Listas!$J$2:$K$1048576,2,FALSE),""))</f>
        <v/>
      </c>
      <c r="K964" s="5" t="str">
        <f>IF(OR(I964="",G964=""),"",IF(G964="Saída",-I964,I964))</f>
        <v/>
      </c>
      <c r="L964" t="str">
        <f>IF(E964="","",IFERROR(VLOOKUP(E964,Listas!$A$2:$C$1048576,3,FALSE),""))</f>
        <v/>
      </c>
    </row>
    <row r="965" spans="10:12" x14ac:dyDescent="0.25">
      <c r="J965" t="str">
        <f>IF(H965="","",IFERROR(VLOOKUP(H965,Listas!$J$2:$K$1048576,2,FALSE),""))</f>
        <v/>
      </c>
      <c r="K965" s="5" t="str">
        <f>IF(OR(I965="",G965=""),"",IF(G965="Saída",-I965,I965))</f>
        <v/>
      </c>
      <c r="L965" t="str">
        <f>IF(E965="","",IFERROR(VLOOKUP(E965,Listas!$A$2:$C$1048576,3,FALSE),""))</f>
        <v/>
      </c>
    </row>
    <row r="966" spans="10:12" x14ac:dyDescent="0.25">
      <c r="J966" t="str">
        <f>IF(H966="","",IFERROR(VLOOKUP(H966,Listas!$J$2:$K$1048576,2,FALSE),""))</f>
        <v/>
      </c>
      <c r="K966" s="5" t="str">
        <f>IF(OR(I966="",G966=""),"",IF(G966="Saída",-I966,I966))</f>
        <v/>
      </c>
      <c r="L966" t="str">
        <f>IF(E966="","",IFERROR(VLOOKUP(E966,Listas!$A$2:$C$1048576,3,FALSE),""))</f>
        <v/>
      </c>
    </row>
    <row r="967" spans="10:12" x14ac:dyDescent="0.25">
      <c r="J967" t="str">
        <f>IF(H967="","",IFERROR(VLOOKUP(H967,Listas!$J$2:$K$1048576,2,FALSE),""))</f>
        <v/>
      </c>
      <c r="K967" s="5" t="str">
        <f>IF(OR(I967="",G967=""),"",IF(G967="Saída",-I967,I967))</f>
        <v/>
      </c>
      <c r="L967" t="str">
        <f>IF(E967="","",IFERROR(VLOOKUP(E967,Listas!$A$2:$C$1048576,3,FALSE),""))</f>
        <v/>
      </c>
    </row>
    <row r="968" spans="10:12" x14ac:dyDescent="0.25">
      <c r="J968" t="str">
        <f>IF(H968="","",IFERROR(VLOOKUP(H968,Listas!$J$2:$K$1048576,2,FALSE),""))</f>
        <v/>
      </c>
      <c r="K968" s="5" t="str">
        <f>IF(OR(I968="",G968=""),"",IF(G968="Saída",-I968,I968))</f>
        <v/>
      </c>
      <c r="L968" t="str">
        <f>IF(E968="","",IFERROR(VLOOKUP(E968,Listas!$A$2:$C$1048576,3,FALSE),""))</f>
        <v/>
      </c>
    </row>
    <row r="969" spans="10:12" x14ac:dyDescent="0.25">
      <c r="J969" t="str">
        <f>IF(H969="","",IFERROR(VLOOKUP(H969,Listas!$J$2:$K$1048576,2,FALSE),""))</f>
        <v/>
      </c>
      <c r="K969" s="5" t="str">
        <f>IF(OR(I969="",G969=""),"",IF(G969="Saída",-I969,I969))</f>
        <v/>
      </c>
      <c r="L969" t="str">
        <f>IF(E969="","",IFERROR(VLOOKUP(E969,Listas!$A$2:$C$1048576,3,FALSE),""))</f>
        <v/>
      </c>
    </row>
    <row r="970" spans="10:12" x14ac:dyDescent="0.25">
      <c r="J970" t="str">
        <f>IF(H970="","",IFERROR(VLOOKUP(H970,Listas!$J$2:$K$1048576,2,FALSE),""))</f>
        <v/>
      </c>
      <c r="K970" s="5" t="str">
        <f>IF(OR(I970="",G970=""),"",IF(G970="Saída",-I970,I970))</f>
        <v/>
      </c>
      <c r="L970" t="str">
        <f>IF(E970="","",IFERROR(VLOOKUP(E970,Listas!$A$2:$C$1048576,3,FALSE),""))</f>
        <v/>
      </c>
    </row>
    <row r="971" spans="10:12" x14ac:dyDescent="0.25">
      <c r="J971" t="str">
        <f>IF(H971="","",IFERROR(VLOOKUP(H971,Listas!$J$2:$K$1048576,2,FALSE),""))</f>
        <v/>
      </c>
      <c r="K971" s="5" t="str">
        <f>IF(OR(I971="",G971=""),"",IF(G971="Saída",-I971,I971))</f>
        <v/>
      </c>
      <c r="L971" t="str">
        <f>IF(E971="","",IFERROR(VLOOKUP(E971,Listas!$A$2:$C$1048576,3,FALSE),""))</f>
        <v/>
      </c>
    </row>
    <row r="972" spans="10:12" x14ac:dyDescent="0.25">
      <c r="J972" t="str">
        <f>IF(H972="","",IFERROR(VLOOKUP(H972,Listas!$J$2:$K$1048576,2,FALSE),""))</f>
        <v/>
      </c>
      <c r="K972" s="5" t="str">
        <f>IF(OR(I972="",G972=""),"",IF(G972="Saída",-I972,I972))</f>
        <v/>
      </c>
      <c r="L972" t="str">
        <f>IF(E972="","",IFERROR(VLOOKUP(E972,Listas!$A$2:$C$1048576,3,FALSE),""))</f>
        <v/>
      </c>
    </row>
    <row r="973" spans="10:12" x14ac:dyDescent="0.25">
      <c r="J973" t="str">
        <f>IF(H973="","",IFERROR(VLOOKUP(H973,Listas!$J$2:$K$1048576,2,FALSE),""))</f>
        <v/>
      </c>
      <c r="K973" s="5" t="str">
        <f>IF(OR(I973="",G973=""),"",IF(G973="Saída",-I973,I973))</f>
        <v/>
      </c>
      <c r="L973" t="str">
        <f>IF(E973="","",IFERROR(VLOOKUP(E973,Listas!$A$2:$C$1048576,3,FALSE),""))</f>
        <v/>
      </c>
    </row>
    <row r="974" spans="10:12" x14ac:dyDescent="0.25">
      <c r="J974" t="str">
        <f>IF(H974="","",IFERROR(VLOOKUP(H974,Listas!$J$2:$K$1048576,2,FALSE),""))</f>
        <v/>
      </c>
      <c r="K974" s="5" t="str">
        <f>IF(OR(I974="",G974=""),"",IF(G974="Saída",-I974,I974))</f>
        <v/>
      </c>
      <c r="L974" t="str">
        <f>IF(E974="","",IFERROR(VLOOKUP(E974,Listas!$A$2:$C$1048576,3,FALSE),""))</f>
        <v/>
      </c>
    </row>
    <row r="975" spans="10:12" x14ac:dyDescent="0.25">
      <c r="J975" t="str">
        <f>IF(H975="","",IFERROR(VLOOKUP(H975,Listas!$J$2:$K$1048576,2,FALSE),""))</f>
        <v/>
      </c>
      <c r="K975" s="5" t="str">
        <f>IF(OR(I975="",G975=""),"",IF(G975="Saída",-I975,I975))</f>
        <v/>
      </c>
      <c r="L975" t="str">
        <f>IF(E975="","",IFERROR(VLOOKUP(E975,Listas!$A$2:$C$1048576,3,FALSE),""))</f>
        <v/>
      </c>
    </row>
    <row r="976" spans="10:12" x14ac:dyDescent="0.25">
      <c r="J976" t="str">
        <f>IF(H976="","",IFERROR(VLOOKUP(H976,Listas!$J$2:$K$1048576,2,FALSE),""))</f>
        <v/>
      </c>
      <c r="K976" s="5" t="str">
        <f>IF(OR(I976="",G976=""),"",IF(G976="Saída",-I976,I976))</f>
        <v/>
      </c>
      <c r="L976" t="str">
        <f>IF(E976="","",IFERROR(VLOOKUP(E976,Listas!$A$2:$C$1048576,3,FALSE),""))</f>
        <v/>
      </c>
    </row>
    <row r="977" spans="10:12" x14ac:dyDescent="0.25">
      <c r="J977" t="str">
        <f>IF(H977="","",IFERROR(VLOOKUP(H977,Listas!$J$2:$K$1048576,2,FALSE),""))</f>
        <v/>
      </c>
      <c r="K977" s="5" t="str">
        <f>IF(OR(I977="",G977=""),"",IF(G977="Saída",-I977,I977))</f>
        <v/>
      </c>
      <c r="L977" t="str">
        <f>IF(E977="","",IFERROR(VLOOKUP(E977,Listas!$A$2:$C$1048576,3,FALSE),""))</f>
        <v/>
      </c>
    </row>
    <row r="978" spans="10:12" x14ac:dyDescent="0.25">
      <c r="J978" t="str">
        <f>IF(H978="","",IFERROR(VLOOKUP(H978,Listas!$J$2:$K$1048576,2,FALSE),""))</f>
        <v/>
      </c>
      <c r="K978" s="5" t="str">
        <f>IF(OR(I978="",G978=""),"",IF(G978="Saída",-I978,I978))</f>
        <v/>
      </c>
      <c r="L978" t="str">
        <f>IF(E978="","",IFERROR(VLOOKUP(E978,Listas!$A$2:$C$1048576,3,FALSE),""))</f>
        <v/>
      </c>
    </row>
    <row r="979" spans="10:12" x14ac:dyDescent="0.25">
      <c r="J979" t="str">
        <f>IF(H979="","",IFERROR(VLOOKUP(H979,Listas!$J$2:$K$1048576,2,FALSE),""))</f>
        <v/>
      </c>
      <c r="K979" s="5" t="str">
        <f>IF(OR(I979="",G979=""),"",IF(G979="Saída",-I979,I979))</f>
        <v/>
      </c>
      <c r="L979" t="str">
        <f>IF(E979="","",IFERROR(VLOOKUP(E979,Listas!$A$2:$C$1048576,3,FALSE),""))</f>
        <v/>
      </c>
    </row>
    <row r="980" spans="10:12" x14ac:dyDescent="0.25">
      <c r="J980" t="str">
        <f>IF(H980="","",IFERROR(VLOOKUP(H980,Listas!$J$2:$K$1048576,2,FALSE),""))</f>
        <v/>
      </c>
      <c r="K980" s="5" t="str">
        <f>IF(OR(I980="",G980=""),"",IF(G980="Saída",-I980,I980))</f>
        <v/>
      </c>
      <c r="L980" t="str">
        <f>IF(E980="","",IFERROR(VLOOKUP(E980,Listas!$A$2:$C$1048576,3,FALSE),""))</f>
        <v/>
      </c>
    </row>
    <row r="981" spans="10:12" x14ac:dyDescent="0.25">
      <c r="J981" t="str">
        <f>IF(H981="","",IFERROR(VLOOKUP(H981,Listas!$J$2:$K$1048576,2,FALSE),""))</f>
        <v/>
      </c>
      <c r="K981" s="5" t="str">
        <f>IF(OR(I981="",G981=""),"",IF(G981="Saída",-I981,I981))</f>
        <v/>
      </c>
      <c r="L981" t="str">
        <f>IF(E981="","",IFERROR(VLOOKUP(E981,Listas!$A$2:$C$1048576,3,FALSE),""))</f>
        <v/>
      </c>
    </row>
    <row r="982" spans="10:12" x14ac:dyDescent="0.25">
      <c r="J982" t="str">
        <f>IF(H982="","",IFERROR(VLOOKUP(H982,Listas!$J$2:$K$1048576,2,FALSE),""))</f>
        <v/>
      </c>
      <c r="K982" s="5" t="str">
        <f>IF(OR(I982="",G982=""),"",IF(G982="Saída",-I982,I982))</f>
        <v/>
      </c>
      <c r="L982" t="str">
        <f>IF(E982="","",IFERROR(VLOOKUP(E982,Listas!$A$2:$C$1048576,3,FALSE),""))</f>
        <v/>
      </c>
    </row>
    <row r="983" spans="10:12" x14ac:dyDescent="0.25">
      <c r="J983" t="str">
        <f>IF(H983="","",IFERROR(VLOOKUP(H983,Listas!$J$2:$K$1048576,2,FALSE),""))</f>
        <v/>
      </c>
      <c r="K983" s="5" t="str">
        <f>IF(OR(I983="",G983=""),"",IF(G983="Saída",-I983,I983))</f>
        <v/>
      </c>
      <c r="L983" t="str">
        <f>IF(E983="","",IFERROR(VLOOKUP(E983,Listas!$A$2:$C$1048576,3,FALSE),""))</f>
        <v/>
      </c>
    </row>
    <row r="984" spans="10:12" x14ac:dyDescent="0.25">
      <c r="J984" t="str">
        <f>IF(H984="","",IFERROR(VLOOKUP(H984,Listas!$J$2:$K$1048576,2,FALSE),""))</f>
        <v/>
      </c>
      <c r="K984" s="5" t="str">
        <f>IF(OR(I984="",G984=""),"",IF(G984="Saída",-I984,I984))</f>
        <v/>
      </c>
      <c r="L984" t="str">
        <f>IF(E984="","",IFERROR(VLOOKUP(E984,Listas!$A$2:$C$1048576,3,FALSE),""))</f>
        <v/>
      </c>
    </row>
    <row r="985" spans="10:12" x14ac:dyDescent="0.25">
      <c r="J985" t="str">
        <f>IF(H985="","",IFERROR(VLOOKUP(H985,Listas!$J$2:$K$1048576,2,FALSE),""))</f>
        <v/>
      </c>
      <c r="K985" s="5" t="str">
        <f>IF(OR(I985="",G985=""),"",IF(G985="Saída",-I985,I985))</f>
        <v/>
      </c>
      <c r="L985" t="str">
        <f>IF(E985="","",IFERROR(VLOOKUP(E985,Listas!$A$2:$C$1048576,3,FALSE),""))</f>
        <v/>
      </c>
    </row>
    <row r="986" spans="10:12" x14ac:dyDescent="0.25">
      <c r="J986" t="str">
        <f>IF(H986="","",IFERROR(VLOOKUP(H986,Listas!$J$2:$K$1048576,2,FALSE),""))</f>
        <v/>
      </c>
      <c r="K986" s="5" t="str">
        <f>IF(OR(I986="",G986=""),"",IF(G986="Saída",-I986,I986))</f>
        <v/>
      </c>
      <c r="L986" t="str">
        <f>IF(E986="","",IFERROR(VLOOKUP(E986,Listas!$A$2:$C$1048576,3,FALSE),""))</f>
        <v/>
      </c>
    </row>
    <row r="987" spans="10:12" x14ac:dyDescent="0.25">
      <c r="J987" t="str">
        <f>IF(H987="","",IFERROR(VLOOKUP(H987,Listas!$J$2:$K$1048576,2,FALSE),""))</f>
        <v/>
      </c>
      <c r="K987" s="5" t="str">
        <f>IF(OR(I987="",G987=""),"",IF(G987="Saída",-I987,I987))</f>
        <v/>
      </c>
      <c r="L987" t="str">
        <f>IF(E987="","",IFERROR(VLOOKUP(E987,Listas!$A$2:$C$1048576,3,FALSE),""))</f>
        <v/>
      </c>
    </row>
    <row r="988" spans="10:12" x14ac:dyDescent="0.25">
      <c r="J988" t="str">
        <f>IF(H988="","",IFERROR(VLOOKUP(H988,Listas!$J$2:$K$1048576,2,FALSE),""))</f>
        <v/>
      </c>
      <c r="K988" s="5" t="str">
        <f>IF(OR(I988="",G988=""),"",IF(G988="Saída",-I988,I988))</f>
        <v/>
      </c>
      <c r="L988" t="str">
        <f>IF(E988="","",IFERROR(VLOOKUP(E988,Listas!$A$2:$C$1048576,3,FALSE),""))</f>
        <v/>
      </c>
    </row>
    <row r="989" spans="10:12" x14ac:dyDescent="0.25">
      <c r="J989" t="str">
        <f>IF(H989="","",IFERROR(VLOOKUP(H989,Listas!$J$2:$K$1048576,2,FALSE),""))</f>
        <v/>
      </c>
      <c r="K989" s="5" t="str">
        <f>IF(OR(I989="",G989=""),"",IF(G989="Saída",-I989,I989))</f>
        <v/>
      </c>
      <c r="L989" t="str">
        <f>IF(E989="","",IFERROR(VLOOKUP(E989,Listas!$A$2:$C$1048576,3,FALSE),""))</f>
        <v/>
      </c>
    </row>
    <row r="990" spans="10:12" x14ac:dyDescent="0.25">
      <c r="J990" t="str">
        <f>IF(H990="","",IFERROR(VLOOKUP(H990,Listas!$J$2:$K$1048576,2,FALSE),""))</f>
        <v/>
      </c>
      <c r="K990" s="5" t="str">
        <f>IF(OR(I990="",G990=""),"",IF(G990="Saída",-I990,I990))</f>
        <v/>
      </c>
      <c r="L990" t="str">
        <f>IF(E990="","",IFERROR(VLOOKUP(E990,Listas!$A$2:$C$1048576,3,FALSE),""))</f>
        <v/>
      </c>
    </row>
    <row r="991" spans="10:12" x14ac:dyDescent="0.25">
      <c r="J991" t="str">
        <f>IF(H991="","",IFERROR(VLOOKUP(H991,Listas!$J$2:$K$1048576,2,FALSE),""))</f>
        <v/>
      </c>
      <c r="K991" s="5" t="str">
        <f>IF(OR(I991="",G991=""),"",IF(G991="Saída",-I991,I991))</f>
        <v/>
      </c>
      <c r="L991" t="str">
        <f>IF(E991="","",IFERROR(VLOOKUP(E991,Listas!$A$2:$C$1048576,3,FALSE),""))</f>
        <v/>
      </c>
    </row>
    <row r="992" spans="10:12" x14ac:dyDescent="0.25">
      <c r="J992" t="str">
        <f>IF(H992="","",IFERROR(VLOOKUP(H992,Listas!$J$2:$K$1048576,2,FALSE),""))</f>
        <v/>
      </c>
      <c r="K992" s="5" t="str">
        <f>IF(OR(I992="",G992=""),"",IF(G992="Saída",-I992,I992))</f>
        <v/>
      </c>
      <c r="L992" t="str">
        <f>IF(E992="","",IFERROR(VLOOKUP(E992,Listas!$A$2:$C$1048576,3,FALSE),""))</f>
        <v/>
      </c>
    </row>
    <row r="993" spans="10:12" x14ac:dyDescent="0.25">
      <c r="J993" t="str">
        <f>IF(H993="","",IFERROR(VLOOKUP(H993,Listas!$J$2:$K$1048576,2,FALSE),""))</f>
        <v/>
      </c>
      <c r="K993" s="5" t="str">
        <f>IF(OR(I993="",G993=""),"",IF(G993="Saída",-I993,I993))</f>
        <v/>
      </c>
      <c r="L993" t="str">
        <f>IF(E993="","",IFERROR(VLOOKUP(E993,Listas!$A$2:$C$1048576,3,FALSE),""))</f>
        <v/>
      </c>
    </row>
    <row r="994" spans="10:12" x14ac:dyDescent="0.25">
      <c r="J994" t="str">
        <f>IF(H994="","",IFERROR(VLOOKUP(H994,Listas!$J$2:$K$1048576,2,FALSE),""))</f>
        <v/>
      </c>
      <c r="K994" s="5" t="str">
        <f>IF(OR(I994="",G994=""),"",IF(G994="Saída",-I994,I994))</f>
        <v/>
      </c>
      <c r="L994" t="str">
        <f>IF(E994="","",IFERROR(VLOOKUP(E994,Listas!$A$2:$C$1048576,3,FALSE),""))</f>
        <v/>
      </c>
    </row>
    <row r="995" spans="10:12" x14ac:dyDescent="0.25">
      <c r="J995" t="str">
        <f>IF(H995="","",IFERROR(VLOOKUP(H995,Listas!$J$2:$K$1048576,2,FALSE),""))</f>
        <v/>
      </c>
      <c r="K995" s="5" t="str">
        <f>IF(OR(I995="",G995=""),"",IF(G995="Saída",-I995,I995))</f>
        <v/>
      </c>
      <c r="L995" t="str">
        <f>IF(E995="","",IFERROR(VLOOKUP(E995,Listas!$A$2:$C$1048576,3,FALSE),""))</f>
        <v/>
      </c>
    </row>
    <row r="996" spans="10:12" x14ac:dyDescent="0.25">
      <c r="J996" t="str">
        <f>IF(H996="","",IFERROR(VLOOKUP(H996,Listas!$J$2:$K$1048576,2,FALSE),""))</f>
        <v/>
      </c>
      <c r="K996" s="5" t="str">
        <f>IF(OR(I996="",G996=""),"",IF(G996="Saída",-I996,I996))</f>
        <v/>
      </c>
      <c r="L996" t="str">
        <f>IF(E996="","",IFERROR(VLOOKUP(E996,Listas!$A$2:$C$1048576,3,FALSE),""))</f>
        <v/>
      </c>
    </row>
    <row r="997" spans="10:12" x14ac:dyDescent="0.25">
      <c r="J997" t="str">
        <f>IF(H997="","",IFERROR(VLOOKUP(H997,Listas!$J$2:$K$1048576,2,FALSE),""))</f>
        <v/>
      </c>
      <c r="K997" s="5" t="str">
        <f>IF(OR(I997="",G997=""),"",IF(G997="Saída",-I997,I997))</f>
        <v/>
      </c>
      <c r="L997" t="str">
        <f>IF(E997="","",IFERROR(VLOOKUP(E997,Listas!$A$2:$C$1048576,3,FALSE),""))</f>
        <v/>
      </c>
    </row>
    <row r="998" spans="10:12" x14ac:dyDescent="0.25">
      <c r="J998" t="str">
        <f>IF(H998="","",IFERROR(VLOOKUP(H998,Listas!$J$2:$K$1048576,2,FALSE),""))</f>
        <v/>
      </c>
      <c r="K998" s="5" t="str">
        <f>IF(OR(I998="",G998=""),"",IF(G998="Saída",-I998,I998))</f>
        <v/>
      </c>
      <c r="L998" t="str">
        <f>IF(E998="","",IFERROR(VLOOKUP(E998,Listas!$A$2:$C$1048576,3,FALSE),""))</f>
        <v/>
      </c>
    </row>
    <row r="999" spans="10:12" x14ac:dyDescent="0.25">
      <c r="J999" t="str">
        <f>IF(H999="","",IFERROR(VLOOKUP(H999,Listas!$J$2:$K$1048576,2,FALSE),""))</f>
        <v/>
      </c>
      <c r="K999" s="5" t="str">
        <f>IF(OR(I999="",G999=""),"",IF(G999="Saída",-I999,I999))</f>
        <v/>
      </c>
      <c r="L999" t="str">
        <f>IF(E999="","",IFERROR(VLOOKUP(E999,Listas!$A$2:$C$1048576,3,FALSE),""))</f>
        <v/>
      </c>
    </row>
    <row r="1000" spans="10:12" x14ac:dyDescent="0.25">
      <c r="J1000" t="str">
        <f>IF(H1000="","",IFERROR(VLOOKUP(H1000,Listas!$J$2:$K$1048576,2,FALSE),""))</f>
        <v/>
      </c>
      <c r="K1000" s="5" t="str">
        <f>IF(OR(I1000="",G1000=""),"",IF(G1000="Saída",-I1000,I1000))</f>
        <v/>
      </c>
      <c r="L1000" t="str">
        <f>IF(E1000="","",IFERROR(VLOOKUP(E1000,Listas!$A$2:$C$1048576,3,FALSE),""))</f>
        <v/>
      </c>
    </row>
    <row r="1001" spans="10:12" x14ac:dyDescent="0.25">
      <c r="J1001" t="str">
        <f>IF(H1001="","",IFERROR(VLOOKUP(H1001,Listas!$J$2:$K$1048576,2,FALSE),""))</f>
        <v/>
      </c>
      <c r="K1001" s="5" t="str">
        <f>IF(OR(I1001="",G1001=""),"",IF(G1001="Saída",-I1001,I1001))</f>
        <v/>
      </c>
      <c r="L1001" t="str">
        <f>IF(E1001="","",IFERROR(VLOOKUP(E1001,Listas!$A$2:$C$1048576,3,FALSE),""))</f>
        <v/>
      </c>
    </row>
    <row r="1002" spans="10:12" x14ac:dyDescent="0.25">
      <c r="J1002" t="str">
        <f>IF(H1002="","",IFERROR(VLOOKUP(H1002,Listas!$J$2:$K$1048576,2,FALSE),""))</f>
        <v/>
      </c>
      <c r="K1002" s="5" t="str">
        <f>IF(OR(I1002="",G1002=""),"",IF(G1002="Saída",-I1002,I1002))</f>
        <v/>
      </c>
      <c r="L1002" t="str">
        <f>IF(E1002="","",IFERROR(VLOOKUP(E1002,Listas!$A$2:$C$1048576,3,FALSE),""))</f>
        <v/>
      </c>
    </row>
    <row r="1003" spans="10:12" x14ac:dyDescent="0.25">
      <c r="J1003" t="str">
        <f>IF(H1003="","",IFERROR(VLOOKUP(H1003,Listas!$J$2:$K$1048576,2,FALSE),""))</f>
        <v/>
      </c>
      <c r="K1003" s="5" t="str">
        <f>IF(OR(I1003="",G1003=""),"",IF(G1003="Saída",-I1003,I1003))</f>
        <v/>
      </c>
      <c r="L1003" t="str">
        <f>IF(E1003="","",IFERROR(VLOOKUP(E1003,Listas!$A$2:$C$1048576,3,FALSE),""))</f>
        <v/>
      </c>
    </row>
    <row r="1004" spans="10:12" x14ac:dyDescent="0.25">
      <c r="J1004" t="str">
        <f>IF(H1004="","",IFERROR(VLOOKUP(H1004,Listas!$J$2:$K$1048576,2,FALSE),""))</f>
        <v/>
      </c>
      <c r="K1004" s="5" t="str">
        <f>IF(OR(I1004="",G1004=""),"",IF(G1004="Saída",-I1004,I1004))</f>
        <v/>
      </c>
      <c r="L1004" t="str">
        <f>IF(E1004="","",IFERROR(VLOOKUP(E1004,Listas!$A$2:$C$1048576,3,FALSE),""))</f>
        <v/>
      </c>
    </row>
    <row r="1005" spans="10:12" x14ac:dyDescent="0.25">
      <c r="J1005" t="str">
        <f>IF(H1005="","",IFERROR(VLOOKUP(H1005,Listas!$J$2:$K$1048576,2,FALSE),""))</f>
        <v/>
      </c>
      <c r="K1005" s="5" t="str">
        <f>IF(OR(I1005="",G1005=""),"",IF(G1005="Saída",-I1005,I1005))</f>
        <v/>
      </c>
      <c r="L1005" t="str">
        <f>IF(E1005="","",IFERROR(VLOOKUP(E1005,Listas!$A$2:$C$1048576,3,FALSE),""))</f>
        <v/>
      </c>
    </row>
    <row r="1006" spans="10:12" x14ac:dyDescent="0.25">
      <c r="J1006" t="str">
        <f>IF(H1006="","",IFERROR(VLOOKUP(H1006,Listas!$J$2:$K$1048576,2,FALSE),""))</f>
        <v/>
      </c>
      <c r="K1006" s="5" t="str">
        <f>IF(OR(I1006="",G1006=""),"",IF(G1006="Saída",-I1006,I1006))</f>
        <v/>
      </c>
      <c r="L1006" t="str">
        <f>IF(E1006="","",IFERROR(VLOOKUP(E1006,Listas!$A$2:$C$1048576,3,FALSE),""))</f>
        <v/>
      </c>
    </row>
    <row r="1007" spans="10:12" x14ac:dyDescent="0.25">
      <c r="J1007" t="str">
        <f>IF(H1007="","",IFERROR(VLOOKUP(H1007,Listas!$J$2:$K$1048576,2,FALSE),""))</f>
        <v/>
      </c>
      <c r="K1007" s="5" t="str">
        <f>IF(OR(I1007="",G1007=""),"",IF(G1007="Saída",-I1007,I1007))</f>
        <v/>
      </c>
      <c r="L1007" t="str">
        <f>IF(E1007="","",IFERROR(VLOOKUP(E1007,Listas!$A$2:$C$1048576,3,FALSE),""))</f>
        <v/>
      </c>
    </row>
    <row r="1008" spans="10:12" x14ac:dyDescent="0.25">
      <c r="J1008" t="str">
        <f>IF(H1008="","",IFERROR(VLOOKUP(H1008,Listas!$J$2:$K$1048576,2,FALSE),""))</f>
        <v/>
      </c>
      <c r="K1008" s="5" t="str">
        <f>IF(OR(I1008="",G1008=""),"",IF(G1008="Saída",-I1008,I1008))</f>
        <v/>
      </c>
      <c r="L1008" t="str">
        <f>IF(E1008="","",IFERROR(VLOOKUP(E1008,Listas!$A$2:$C$1048576,3,FALSE),""))</f>
        <v/>
      </c>
    </row>
    <row r="1009" spans="10:12" x14ac:dyDescent="0.25">
      <c r="J1009" t="str">
        <f>IF(H1009="","",IFERROR(VLOOKUP(H1009,Listas!$J$2:$K$1048576,2,FALSE),""))</f>
        <v/>
      </c>
      <c r="K1009" s="5" t="str">
        <f>IF(OR(I1009="",G1009=""),"",IF(G1009="Saída",-I1009,I1009))</f>
        <v/>
      </c>
      <c r="L1009" t="str">
        <f>IF(E1009="","",IFERROR(VLOOKUP(E1009,Listas!$A$2:$C$1048576,3,FALSE),""))</f>
        <v/>
      </c>
    </row>
    <row r="1010" spans="10:12" x14ac:dyDescent="0.25">
      <c r="J1010" t="str">
        <f>IF(H1010="","",IFERROR(VLOOKUP(H1010,Listas!$J$2:$K$1048576,2,FALSE),""))</f>
        <v/>
      </c>
      <c r="K1010" s="5" t="str">
        <f>IF(OR(I1010="",G1010=""),"",IF(G1010="Saída",-I1010,I1010))</f>
        <v/>
      </c>
      <c r="L1010" t="str">
        <f>IF(E1010="","",IFERROR(VLOOKUP(E1010,Listas!$A$2:$C$1048576,3,FALSE),""))</f>
        <v/>
      </c>
    </row>
    <row r="1011" spans="10:12" x14ac:dyDescent="0.25">
      <c r="J1011" t="str">
        <f>IF(H1011="","",IFERROR(VLOOKUP(H1011,Listas!$J$2:$K$1048576,2,FALSE),""))</f>
        <v/>
      </c>
      <c r="K1011" s="5" t="str">
        <f>IF(OR(I1011="",G1011=""),"",IF(G1011="Saída",-I1011,I1011))</f>
        <v/>
      </c>
      <c r="L1011" t="str">
        <f>IF(E1011="","",IFERROR(VLOOKUP(E1011,Listas!$A$2:$C$1048576,3,FALSE),""))</f>
        <v/>
      </c>
    </row>
    <row r="1012" spans="10:12" x14ac:dyDescent="0.25">
      <c r="J1012" t="str">
        <f>IF(H1012="","",IFERROR(VLOOKUP(H1012,Listas!$J$2:$K$1048576,2,FALSE),""))</f>
        <v/>
      </c>
      <c r="K1012" s="5" t="str">
        <f>IF(OR(I1012="",G1012=""),"",IF(G1012="Saída",-I1012,I1012))</f>
        <v/>
      </c>
      <c r="L1012" t="str">
        <f>IF(E1012="","",IFERROR(VLOOKUP(E1012,Listas!$A$2:$C$1048576,3,FALSE),""))</f>
        <v/>
      </c>
    </row>
    <row r="1013" spans="10:12" x14ac:dyDescent="0.25">
      <c r="J1013" t="str">
        <f>IF(H1013="","",IFERROR(VLOOKUP(H1013,Listas!$J$2:$K$1048576,2,FALSE),""))</f>
        <v/>
      </c>
      <c r="K1013" s="5" t="str">
        <f>IF(OR(I1013="",G1013=""),"",IF(G1013="Saída",-I1013,I1013))</f>
        <v/>
      </c>
      <c r="L1013" t="str">
        <f>IF(E1013="","",IFERROR(VLOOKUP(E1013,Listas!$A$2:$C$1048576,3,FALSE),""))</f>
        <v/>
      </c>
    </row>
    <row r="1014" spans="10:12" x14ac:dyDescent="0.25">
      <c r="J1014" t="str">
        <f>IF(H1014="","",IFERROR(VLOOKUP(H1014,Listas!$J$2:$K$1048576,2,FALSE),""))</f>
        <v/>
      </c>
      <c r="K1014" s="5" t="str">
        <f>IF(OR(I1014="",G1014=""),"",IF(G1014="Saída",-I1014,I1014))</f>
        <v/>
      </c>
      <c r="L1014" t="str">
        <f>IF(E1014="","",IFERROR(VLOOKUP(E1014,Listas!$A$2:$C$1048576,3,FALSE),""))</f>
        <v/>
      </c>
    </row>
    <row r="1015" spans="10:12" x14ac:dyDescent="0.25">
      <c r="J1015" t="str">
        <f>IF(H1015="","",IFERROR(VLOOKUP(H1015,Listas!$J$2:$K$1048576,2,FALSE),""))</f>
        <v/>
      </c>
      <c r="K1015" s="5" t="str">
        <f>IF(OR(I1015="",G1015=""),"",IF(G1015="Saída",-I1015,I1015))</f>
        <v/>
      </c>
      <c r="L1015" t="str">
        <f>IF(E1015="","",IFERROR(VLOOKUP(E1015,Listas!$A$2:$C$1048576,3,FALSE),""))</f>
        <v/>
      </c>
    </row>
    <row r="1016" spans="10:12" x14ac:dyDescent="0.25">
      <c r="J1016" t="str">
        <f>IF(H1016="","",IFERROR(VLOOKUP(H1016,Listas!$J$2:$K$1048576,2,FALSE),""))</f>
        <v/>
      </c>
      <c r="K1016" s="5" t="str">
        <f>IF(OR(I1016="",G1016=""),"",IF(G1016="Saída",-I1016,I1016))</f>
        <v/>
      </c>
      <c r="L1016" t="str">
        <f>IF(E1016="","",IFERROR(VLOOKUP(E1016,Listas!$A$2:$C$1048576,3,FALSE),""))</f>
        <v/>
      </c>
    </row>
    <row r="1017" spans="10:12" x14ac:dyDescent="0.25">
      <c r="J1017" t="str">
        <f>IF(H1017="","",IFERROR(VLOOKUP(H1017,Listas!$J$2:$K$1048576,2,FALSE),""))</f>
        <v/>
      </c>
      <c r="K1017" s="5" t="str">
        <f>IF(OR(I1017="",G1017=""),"",IF(G1017="Saída",-I1017,I1017))</f>
        <v/>
      </c>
      <c r="L1017" t="str">
        <f>IF(E1017="","",IFERROR(VLOOKUP(E1017,Listas!$A$2:$C$1048576,3,FALSE),""))</f>
        <v/>
      </c>
    </row>
    <row r="1018" spans="10:12" x14ac:dyDescent="0.25">
      <c r="J1018" t="str">
        <f>IF(H1018="","",IFERROR(VLOOKUP(H1018,Listas!$J$2:$K$1048576,2,FALSE),""))</f>
        <v/>
      </c>
      <c r="K1018" s="5" t="str">
        <f>IF(OR(I1018="",G1018=""),"",IF(G1018="Saída",-I1018,I1018))</f>
        <v/>
      </c>
      <c r="L1018" t="str">
        <f>IF(E1018="","",IFERROR(VLOOKUP(E1018,Listas!$A$2:$C$1048576,3,FALSE),""))</f>
        <v/>
      </c>
    </row>
    <row r="1019" spans="10:12" x14ac:dyDescent="0.25">
      <c r="J1019" t="str">
        <f>IF(H1019="","",IFERROR(VLOOKUP(H1019,Listas!$J$2:$K$1048576,2,FALSE),""))</f>
        <v/>
      </c>
      <c r="K1019" s="5" t="str">
        <f>IF(OR(I1019="",G1019=""),"",IF(G1019="Saída",-I1019,I1019))</f>
        <v/>
      </c>
      <c r="L1019" t="str">
        <f>IF(E1019="","",IFERROR(VLOOKUP(E1019,Listas!$A$2:$C$1048576,3,FALSE),""))</f>
        <v/>
      </c>
    </row>
    <row r="1020" spans="10:12" x14ac:dyDescent="0.25">
      <c r="J1020" t="str">
        <f>IF(H1020="","",IFERROR(VLOOKUP(H1020,Listas!$J$2:$K$1048576,2,FALSE),""))</f>
        <v/>
      </c>
      <c r="K1020" s="5" t="str">
        <f>IF(OR(I1020="",G1020=""),"",IF(G1020="Saída",-I1020,I1020))</f>
        <v/>
      </c>
      <c r="L1020" t="str">
        <f>IF(E1020="","",IFERROR(VLOOKUP(E1020,Listas!$A$2:$C$1048576,3,FALSE),""))</f>
        <v/>
      </c>
    </row>
    <row r="1021" spans="10:12" x14ac:dyDescent="0.25">
      <c r="J1021" t="str">
        <f>IF(H1021="","",IFERROR(VLOOKUP(H1021,Listas!$J$2:$K$1048576,2,FALSE),""))</f>
        <v/>
      </c>
      <c r="K1021" s="5" t="str">
        <f>IF(OR(I1021="",G1021=""),"",IF(G1021="Saída",-I1021,I1021))</f>
        <v/>
      </c>
      <c r="L1021" t="str">
        <f>IF(E1021="","",IFERROR(VLOOKUP(E1021,Listas!$A$2:$C$1048576,3,FALSE),""))</f>
        <v/>
      </c>
    </row>
    <row r="1022" spans="10:12" x14ac:dyDescent="0.25">
      <c r="J1022" t="str">
        <f>IF(H1022="","",IFERROR(VLOOKUP(H1022,Listas!$J$2:$K$1048576,2,FALSE),""))</f>
        <v/>
      </c>
      <c r="K1022" s="5" t="str">
        <f>IF(OR(I1022="",G1022=""),"",IF(G1022="Saída",-I1022,I1022))</f>
        <v/>
      </c>
      <c r="L1022" t="str">
        <f>IF(E1022="","",IFERROR(VLOOKUP(E1022,Listas!$A$2:$C$1048576,3,FALSE),""))</f>
        <v/>
      </c>
    </row>
    <row r="1023" spans="10:12" x14ac:dyDescent="0.25">
      <c r="J1023" t="str">
        <f>IF(H1023="","",IFERROR(VLOOKUP(H1023,Listas!$J$2:$K$1048576,2,FALSE),""))</f>
        <v/>
      </c>
      <c r="K1023" s="5" t="str">
        <f>IF(OR(I1023="",G1023=""),"",IF(G1023="Saída",-I1023,I1023))</f>
        <v/>
      </c>
      <c r="L1023" t="str">
        <f>IF(E1023="","",IFERROR(VLOOKUP(E1023,Listas!$A$2:$C$1048576,3,FALSE),""))</f>
        <v/>
      </c>
    </row>
    <row r="1024" spans="10:12" x14ac:dyDescent="0.25">
      <c r="J1024" t="str">
        <f>IF(H1024="","",IFERROR(VLOOKUP(H1024,Listas!$J$2:$K$1048576,2,FALSE),""))</f>
        <v/>
      </c>
      <c r="K1024" s="5" t="str">
        <f>IF(OR(I1024="",G1024=""),"",IF(G1024="Saída",-I1024,I1024))</f>
        <v/>
      </c>
      <c r="L1024" t="str">
        <f>IF(E1024="","",IFERROR(VLOOKUP(E1024,Listas!$A$2:$C$1048576,3,FALSE),""))</f>
        <v/>
      </c>
    </row>
    <row r="1025" spans="10:12" x14ac:dyDescent="0.25">
      <c r="J1025" t="str">
        <f>IF(H1025="","",IFERROR(VLOOKUP(H1025,Listas!$J$2:$K$1048576,2,FALSE),""))</f>
        <v/>
      </c>
      <c r="K1025" s="5" t="str">
        <f>IF(OR(I1025="",G1025=""),"",IF(G1025="Saída",-I1025,I1025))</f>
        <v/>
      </c>
      <c r="L1025" t="str">
        <f>IF(E1025="","",IFERROR(VLOOKUP(E1025,Listas!$A$2:$C$1048576,3,FALSE),""))</f>
        <v/>
      </c>
    </row>
    <row r="1026" spans="10:12" x14ac:dyDescent="0.25">
      <c r="J1026" t="str">
        <f>IF(H1026="","",IFERROR(VLOOKUP(H1026,Listas!$J$2:$K$1048576,2,FALSE),""))</f>
        <v/>
      </c>
      <c r="K1026" s="5" t="str">
        <f>IF(OR(I1026="",G1026=""),"",IF(G1026="Saída",-I1026,I1026))</f>
        <v/>
      </c>
      <c r="L1026" t="str">
        <f>IF(E1026="","",IFERROR(VLOOKUP(E1026,Listas!$A$2:$C$1048576,3,FALSE),""))</f>
        <v/>
      </c>
    </row>
    <row r="1027" spans="10:12" x14ac:dyDescent="0.25">
      <c r="J1027" t="str">
        <f>IF(H1027="","",IFERROR(VLOOKUP(H1027,Listas!$J$2:$K$1048576,2,FALSE),""))</f>
        <v/>
      </c>
      <c r="K1027" s="5" t="str">
        <f>IF(OR(I1027="",G1027=""),"",IF(G1027="Saída",-I1027,I1027))</f>
        <v/>
      </c>
      <c r="L1027" t="str">
        <f>IF(E1027="","",IFERROR(VLOOKUP(E1027,Listas!$A$2:$C$1048576,3,FALSE),""))</f>
        <v/>
      </c>
    </row>
    <row r="1028" spans="10:12" x14ac:dyDescent="0.25">
      <c r="J1028" t="str">
        <f>IF(H1028="","",IFERROR(VLOOKUP(H1028,Listas!$J$2:$K$1048576,2,FALSE),""))</f>
        <v/>
      </c>
      <c r="K1028" s="5" t="str">
        <f>IF(OR(I1028="",G1028=""),"",IF(G1028="Saída",-I1028,I1028))</f>
        <v/>
      </c>
      <c r="L1028" t="str">
        <f>IF(E1028="","",IFERROR(VLOOKUP(E1028,Listas!$A$2:$C$1048576,3,FALSE),""))</f>
        <v/>
      </c>
    </row>
    <row r="1029" spans="10:12" x14ac:dyDescent="0.25">
      <c r="J1029" t="str">
        <f>IF(H1029="","",IFERROR(VLOOKUP(H1029,Listas!$J$2:$K$1048576,2,FALSE),""))</f>
        <v/>
      </c>
      <c r="K1029" s="5" t="str">
        <f>IF(OR(I1029="",G1029=""),"",IF(G1029="Saída",-I1029,I1029))</f>
        <v/>
      </c>
      <c r="L1029" t="str">
        <f>IF(E1029="","",IFERROR(VLOOKUP(E1029,Listas!$A$2:$C$1048576,3,FALSE),""))</f>
        <v/>
      </c>
    </row>
    <row r="1030" spans="10:12" x14ac:dyDescent="0.25">
      <c r="J1030" t="str">
        <f>IF(H1030="","",IFERROR(VLOOKUP(H1030,Listas!$J$2:$K$1048576,2,FALSE),""))</f>
        <v/>
      </c>
      <c r="K1030" s="5" t="str">
        <f>IF(OR(I1030="",G1030=""),"",IF(G1030="Saída",-I1030,I1030))</f>
        <v/>
      </c>
      <c r="L1030" t="str">
        <f>IF(E1030="","",IFERROR(VLOOKUP(E1030,Listas!$A$2:$C$1048576,3,FALSE),""))</f>
        <v/>
      </c>
    </row>
    <row r="1031" spans="10:12" x14ac:dyDescent="0.25">
      <c r="J1031" t="str">
        <f>IF(H1031="","",IFERROR(VLOOKUP(H1031,Listas!$J$2:$K$1048576,2,FALSE),""))</f>
        <v/>
      </c>
      <c r="K1031" s="5" t="str">
        <f>IF(OR(I1031="",G1031=""),"",IF(G1031="Saída",-I1031,I1031))</f>
        <v/>
      </c>
      <c r="L1031" t="str">
        <f>IF(E1031="","",IFERROR(VLOOKUP(E1031,Listas!$A$2:$C$1048576,3,FALSE),""))</f>
        <v/>
      </c>
    </row>
    <row r="1032" spans="10:12" x14ac:dyDescent="0.25">
      <c r="J1032" t="str">
        <f>IF(H1032="","",IFERROR(VLOOKUP(H1032,Listas!$J$2:$K$1048576,2,FALSE),""))</f>
        <v/>
      </c>
      <c r="K1032" s="5" t="str">
        <f>IF(OR(I1032="",G1032=""),"",IF(G1032="Saída",-I1032,I1032))</f>
        <v/>
      </c>
      <c r="L1032" t="str">
        <f>IF(E1032="","",IFERROR(VLOOKUP(E1032,Listas!$A$2:$C$1048576,3,FALSE),""))</f>
        <v/>
      </c>
    </row>
    <row r="1033" spans="10:12" x14ac:dyDescent="0.25">
      <c r="J1033" t="str">
        <f>IF(H1033="","",IFERROR(VLOOKUP(H1033,Listas!$J$2:$K$1048576,2,FALSE),""))</f>
        <v/>
      </c>
      <c r="K1033" s="5" t="str">
        <f>IF(OR(I1033="",G1033=""),"",IF(G1033="Saída",-I1033,I1033))</f>
        <v/>
      </c>
      <c r="L1033" t="str">
        <f>IF(E1033="","",IFERROR(VLOOKUP(E1033,Listas!$A$2:$C$1048576,3,FALSE),""))</f>
        <v/>
      </c>
    </row>
    <row r="1034" spans="10:12" x14ac:dyDescent="0.25">
      <c r="J1034" t="str">
        <f>IF(H1034="","",IFERROR(VLOOKUP(H1034,Listas!$J$2:$K$1048576,2,FALSE),""))</f>
        <v/>
      </c>
      <c r="K1034" s="5" t="str">
        <f>IF(OR(I1034="",G1034=""),"",IF(G1034="Saída",-I1034,I1034))</f>
        <v/>
      </c>
      <c r="L1034" t="str">
        <f>IF(E1034="","",IFERROR(VLOOKUP(E1034,Listas!$A$2:$C$1048576,3,FALSE),""))</f>
        <v/>
      </c>
    </row>
    <row r="1035" spans="10:12" x14ac:dyDescent="0.25">
      <c r="J1035" t="str">
        <f>IF(H1035="","",IFERROR(VLOOKUP(H1035,Listas!$J$2:$K$1048576,2,FALSE),""))</f>
        <v/>
      </c>
      <c r="K1035" s="5" t="str">
        <f>IF(OR(I1035="",G1035=""),"",IF(G1035="Saída",-I1035,I1035))</f>
        <v/>
      </c>
      <c r="L1035" t="str">
        <f>IF(E1035="","",IFERROR(VLOOKUP(E1035,Listas!$A$2:$C$1048576,3,FALSE),""))</f>
        <v/>
      </c>
    </row>
    <row r="1036" spans="10:12" x14ac:dyDescent="0.25">
      <c r="J1036" t="str">
        <f>IF(H1036="","",IFERROR(VLOOKUP(H1036,Listas!$J$2:$K$1048576,2,FALSE),""))</f>
        <v/>
      </c>
      <c r="K1036" s="5" t="str">
        <f>IF(OR(I1036="",G1036=""),"",IF(G1036="Saída",-I1036,I1036))</f>
        <v/>
      </c>
      <c r="L1036" t="str">
        <f>IF(E1036="","",IFERROR(VLOOKUP(E1036,Listas!$A$2:$C$1048576,3,FALSE),""))</f>
        <v/>
      </c>
    </row>
    <row r="1037" spans="10:12" x14ac:dyDescent="0.25">
      <c r="J1037" t="str">
        <f>IF(H1037="","",IFERROR(VLOOKUP(H1037,Listas!$J$2:$K$1048576,2,FALSE),""))</f>
        <v/>
      </c>
      <c r="K1037" s="5" t="str">
        <f>IF(OR(I1037="",G1037=""),"",IF(G1037="Saída",-I1037,I1037))</f>
        <v/>
      </c>
      <c r="L1037" t="str">
        <f>IF(E1037="","",IFERROR(VLOOKUP(E1037,Listas!$A$2:$C$1048576,3,FALSE),""))</f>
        <v/>
      </c>
    </row>
    <row r="1038" spans="10:12" x14ac:dyDescent="0.25">
      <c r="J1038" t="str">
        <f>IF(H1038="","",IFERROR(VLOOKUP(H1038,Listas!$J$2:$K$1048576,2,FALSE),""))</f>
        <v/>
      </c>
      <c r="K1038" s="5" t="str">
        <f>IF(OR(I1038="",G1038=""),"",IF(G1038="Saída",-I1038,I1038))</f>
        <v/>
      </c>
      <c r="L1038" t="str">
        <f>IF(E1038="","",IFERROR(VLOOKUP(E1038,Listas!$A$2:$C$1048576,3,FALSE),""))</f>
        <v/>
      </c>
    </row>
    <row r="1039" spans="10:12" x14ac:dyDescent="0.25">
      <c r="J1039" t="str">
        <f>IF(H1039="","",IFERROR(VLOOKUP(H1039,Listas!$J$2:$K$1048576,2,FALSE),""))</f>
        <v/>
      </c>
      <c r="K1039" s="5" t="str">
        <f>IF(OR(I1039="",G1039=""),"",IF(G1039="Saída",-I1039,I1039))</f>
        <v/>
      </c>
      <c r="L1039" t="str">
        <f>IF(E1039="","",IFERROR(VLOOKUP(E1039,Listas!$A$2:$C$1048576,3,FALSE),""))</f>
        <v/>
      </c>
    </row>
    <row r="1040" spans="10:12" x14ac:dyDescent="0.25">
      <c r="J1040" t="str">
        <f>IF(H1040="","",IFERROR(VLOOKUP(H1040,Listas!$J$2:$K$1048576,2,FALSE),""))</f>
        <v/>
      </c>
      <c r="K1040" s="5" t="str">
        <f>IF(OR(I1040="",G1040=""),"",IF(G1040="Saída",-I1040,I1040))</f>
        <v/>
      </c>
      <c r="L1040" t="str">
        <f>IF(E1040="","",IFERROR(VLOOKUP(E1040,Listas!$A$2:$C$1048576,3,FALSE),""))</f>
        <v/>
      </c>
    </row>
    <row r="1041" spans="10:12" x14ac:dyDescent="0.25">
      <c r="J1041" t="str">
        <f>IF(H1041="","",IFERROR(VLOOKUP(H1041,Listas!$J$2:$K$1048576,2,FALSE),""))</f>
        <v/>
      </c>
      <c r="K1041" s="5" t="str">
        <f>IF(OR(I1041="",G1041=""),"",IF(G1041="Saída",-I1041,I1041))</f>
        <v/>
      </c>
      <c r="L1041" t="str">
        <f>IF(E1041="","",IFERROR(VLOOKUP(E1041,Listas!$A$2:$C$1048576,3,FALSE),""))</f>
        <v/>
      </c>
    </row>
    <row r="1042" spans="10:12" x14ac:dyDescent="0.25">
      <c r="J1042" t="str">
        <f>IF(H1042="","",IFERROR(VLOOKUP(H1042,Listas!$J$2:$K$1048576,2,FALSE),""))</f>
        <v/>
      </c>
      <c r="K1042" s="5" t="str">
        <f>IF(OR(I1042="",G1042=""),"",IF(G1042="Saída",-I1042,I1042))</f>
        <v/>
      </c>
      <c r="L1042" t="str">
        <f>IF(E1042="","",IFERROR(VLOOKUP(E1042,Listas!$A$2:$C$1048576,3,FALSE),""))</f>
        <v/>
      </c>
    </row>
    <row r="1043" spans="10:12" x14ac:dyDescent="0.25">
      <c r="J1043" t="str">
        <f>IF(H1043="","",IFERROR(VLOOKUP(H1043,Listas!$J$2:$K$1048576,2,FALSE),""))</f>
        <v/>
      </c>
      <c r="K1043" s="5" t="str">
        <f>IF(OR(I1043="",G1043=""),"",IF(G1043="Saída",-I1043,I1043))</f>
        <v/>
      </c>
      <c r="L1043" t="str">
        <f>IF(E1043="","",IFERROR(VLOOKUP(E1043,Listas!$A$2:$C$1048576,3,FALSE),""))</f>
        <v/>
      </c>
    </row>
    <row r="1044" spans="10:12" x14ac:dyDescent="0.25">
      <c r="J1044" t="str">
        <f>IF(H1044="","",IFERROR(VLOOKUP(H1044,Listas!$J$2:$K$1048576,2,FALSE),""))</f>
        <v/>
      </c>
      <c r="K1044" s="5" t="str">
        <f>IF(OR(I1044="",G1044=""),"",IF(G1044="Saída",-I1044,I1044))</f>
        <v/>
      </c>
      <c r="L1044" t="str">
        <f>IF(E1044="","",IFERROR(VLOOKUP(E1044,Listas!$A$2:$C$1048576,3,FALSE),""))</f>
        <v/>
      </c>
    </row>
    <row r="1045" spans="10:12" x14ac:dyDescent="0.25">
      <c r="J1045" t="str">
        <f>IF(H1045="","",IFERROR(VLOOKUP(H1045,Listas!$J$2:$K$1048576,2,FALSE),""))</f>
        <v/>
      </c>
      <c r="K1045" s="5" t="str">
        <f>IF(OR(I1045="",G1045=""),"",IF(G1045="Saída",-I1045,I1045))</f>
        <v/>
      </c>
      <c r="L1045" t="str">
        <f>IF(E1045="","",IFERROR(VLOOKUP(E1045,Listas!$A$2:$C$1048576,3,FALSE),""))</f>
        <v/>
      </c>
    </row>
    <row r="1046" spans="10:12" x14ac:dyDescent="0.25">
      <c r="J1046" t="str">
        <f>IF(H1046="","",IFERROR(VLOOKUP(H1046,Listas!$J$2:$K$1048576,2,FALSE),""))</f>
        <v/>
      </c>
      <c r="K1046" s="5" t="str">
        <f>IF(OR(I1046="",G1046=""),"",IF(G1046="Saída",-I1046,I1046))</f>
        <v/>
      </c>
      <c r="L1046" t="str">
        <f>IF(E1046="","",IFERROR(VLOOKUP(E1046,Listas!$A$2:$C$1048576,3,FALSE),""))</f>
        <v/>
      </c>
    </row>
    <row r="1047" spans="10:12" x14ac:dyDescent="0.25">
      <c r="J1047" t="str">
        <f>IF(H1047="","",IFERROR(VLOOKUP(H1047,Listas!$J$2:$K$1048576,2,FALSE),""))</f>
        <v/>
      </c>
      <c r="K1047" s="5" t="str">
        <f>IF(OR(I1047="",G1047=""),"",IF(G1047="Saída",-I1047,I1047))</f>
        <v/>
      </c>
      <c r="L1047" t="str">
        <f>IF(E1047="","",IFERROR(VLOOKUP(E1047,Listas!$A$2:$C$1048576,3,FALSE),""))</f>
        <v/>
      </c>
    </row>
    <row r="1048" spans="10:12" x14ac:dyDescent="0.25">
      <c r="J1048" t="str">
        <f>IF(H1048="","",IFERROR(VLOOKUP(H1048,Listas!$J$2:$K$1048576,2,FALSE),""))</f>
        <v/>
      </c>
      <c r="K1048" s="5" t="str">
        <f>IF(OR(I1048="",G1048=""),"",IF(G1048="Saída",-I1048,I1048))</f>
        <v/>
      </c>
      <c r="L1048" t="str">
        <f>IF(E1048="","",IFERROR(VLOOKUP(E1048,Listas!$A$2:$C$1048576,3,FALSE),""))</f>
        <v/>
      </c>
    </row>
    <row r="1049" spans="10:12" x14ac:dyDescent="0.25">
      <c r="J1049" t="str">
        <f>IF(H1049="","",IFERROR(VLOOKUP(H1049,Listas!$J$2:$K$1048576,2,FALSE),""))</f>
        <v/>
      </c>
      <c r="K1049" s="5" t="str">
        <f>IF(OR(I1049="",G1049=""),"",IF(G1049="Saída",-I1049,I1049))</f>
        <v/>
      </c>
      <c r="L1049" t="str">
        <f>IF(E1049="","",IFERROR(VLOOKUP(E1049,Listas!$A$2:$C$1048576,3,FALSE),""))</f>
        <v/>
      </c>
    </row>
    <row r="1050" spans="10:12" x14ac:dyDescent="0.25">
      <c r="J1050" t="str">
        <f>IF(H1050="","",IFERROR(VLOOKUP(H1050,Listas!$J$2:$K$1048576,2,FALSE),""))</f>
        <v/>
      </c>
      <c r="K1050" s="5" t="str">
        <f>IF(OR(I1050="",G1050=""),"",IF(G1050="Saída",-I1050,I1050))</f>
        <v/>
      </c>
      <c r="L1050" t="str">
        <f>IF(E1050="","",IFERROR(VLOOKUP(E1050,Listas!$A$2:$C$1048576,3,FALSE),""))</f>
        <v/>
      </c>
    </row>
    <row r="1051" spans="10:12" x14ac:dyDescent="0.25">
      <c r="J1051" t="str">
        <f>IF(H1051="","",IFERROR(VLOOKUP(H1051,Listas!$J$2:$K$1048576,2,FALSE),""))</f>
        <v/>
      </c>
      <c r="K1051" s="5" t="str">
        <f>IF(OR(I1051="",G1051=""),"",IF(G1051="Saída",-I1051,I1051))</f>
        <v/>
      </c>
      <c r="L1051" t="str">
        <f>IF(E1051="","",IFERROR(VLOOKUP(E1051,Listas!$A$2:$C$1048576,3,FALSE),""))</f>
        <v/>
      </c>
    </row>
    <row r="1052" spans="10:12" x14ac:dyDescent="0.25">
      <c r="J1052" t="str">
        <f>IF(H1052="","",IFERROR(VLOOKUP(H1052,Listas!$J$2:$K$1048576,2,FALSE),""))</f>
        <v/>
      </c>
      <c r="K1052" s="5" t="str">
        <f>IF(OR(I1052="",G1052=""),"",IF(G1052="Saída",-I1052,I1052))</f>
        <v/>
      </c>
      <c r="L1052" t="str">
        <f>IF(E1052="","",IFERROR(VLOOKUP(E1052,Listas!$A$2:$C$1048576,3,FALSE),""))</f>
        <v/>
      </c>
    </row>
    <row r="1053" spans="10:12" x14ac:dyDescent="0.25">
      <c r="J1053" t="str">
        <f>IF(H1053="","",IFERROR(VLOOKUP(H1053,Listas!$J$2:$K$1048576,2,FALSE),""))</f>
        <v/>
      </c>
      <c r="K1053" s="5" t="str">
        <f>IF(OR(I1053="",G1053=""),"",IF(G1053="Saída",-I1053,I1053))</f>
        <v/>
      </c>
      <c r="L1053" t="str">
        <f>IF(E1053="","",IFERROR(VLOOKUP(E1053,Listas!$A$2:$C$1048576,3,FALSE),""))</f>
        <v/>
      </c>
    </row>
    <row r="1054" spans="10:12" x14ac:dyDescent="0.25">
      <c r="J1054" t="str">
        <f>IF(H1054="","",IFERROR(VLOOKUP(H1054,Listas!$J$2:$K$1048576,2,FALSE),""))</f>
        <v/>
      </c>
      <c r="K1054" s="5" t="str">
        <f>IF(OR(I1054="",G1054=""),"",IF(G1054="Saída",-I1054,I1054))</f>
        <v/>
      </c>
      <c r="L1054" t="str">
        <f>IF(E1054="","",IFERROR(VLOOKUP(E1054,Listas!$A$2:$C$1048576,3,FALSE),""))</f>
        <v/>
      </c>
    </row>
    <row r="1055" spans="10:12" x14ac:dyDescent="0.25">
      <c r="J1055" t="str">
        <f>IF(H1055="","",IFERROR(VLOOKUP(H1055,Listas!$J$2:$K$1048576,2,FALSE),""))</f>
        <v/>
      </c>
      <c r="K1055" s="5" t="str">
        <f>IF(OR(I1055="",G1055=""),"",IF(G1055="Saída",-I1055,I1055))</f>
        <v/>
      </c>
      <c r="L1055" t="str">
        <f>IF(E1055="","",IFERROR(VLOOKUP(E1055,Listas!$A$2:$C$1048576,3,FALSE),""))</f>
        <v/>
      </c>
    </row>
    <row r="1056" spans="10:12" x14ac:dyDescent="0.25">
      <c r="J1056" t="str">
        <f>IF(H1056="","",IFERROR(VLOOKUP(H1056,Listas!$J$2:$K$1048576,2,FALSE),""))</f>
        <v/>
      </c>
      <c r="K1056" s="5" t="str">
        <f>IF(OR(I1056="",G1056=""),"",IF(G1056="Saída",-I1056,I1056))</f>
        <v/>
      </c>
      <c r="L1056" t="str">
        <f>IF(E1056="","",IFERROR(VLOOKUP(E1056,Listas!$A$2:$C$1048576,3,FALSE),""))</f>
        <v/>
      </c>
    </row>
    <row r="1057" spans="10:12" x14ac:dyDescent="0.25">
      <c r="J1057" t="str">
        <f>IF(H1057="","",IFERROR(VLOOKUP(H1057,Listas!$J$2:$K$1048576,2,FALSE),""))</f>
        <v/>
      </c>
      <c r="K1057" s="5" t="str">
        <f>IF(OR(I1057="",G1057=""),"",IF(G1057="Saída",-I1057,I1057))</f>
        <v/>
      </c>
      <c r="L1057" t="str">
        <f>IF(E1057="","",IFERROR(VLOOKUP(E1057,Listas!$A$2:$C$1048576,3,FALSE),""))</f>
        <v/>
      </c>
    </row>
    <row r="1058" spans="10:12" x14ac:dyDescent="0.25">
      <c r="J1058" t="str">
        <f>IF(H1058="","",IFERROR(VLOOKUP(H1058,Listas!$J$2:$K$1048576,2,FALSE),""))</f>
        <v/>
      </c>
      <c r="K1058" s="5" t="str">
        <f>IF(OR(I1058="",G1058=""),"",IF(G1058="Saída",-I1058,I1058))</f>
        <v/>
      </c>
      <c r="L1058" t="str">
        <f>IF(E1058="","",IFERROR(VLOOKUP(E1058,Listas!$A$2:$C$1048576,3,FALSE),""))</f>
        <v/>
      </c>
    </row>
    <row r="1059" spans="10:12" x14ac:dyDescent="0.25">
      <c r="J1059" t="str">
        <f>IF(H1059="","",IFERROR(VLOOKUP(H1059,Listas!$J$2:$K$1048576,2,FALSE),""))</f>
        <v/>
      </c>
      <c r="K1059" s="5" t="str">
        <f>IF(OR(I1059="",G1059=""),"",IF(G1059="Saída",-I1059,I1059))</f>
        <v/>
      </c>
      <c r="L1059" t="str">
        <f>IF(E1059="","",IFERROR(VLOOKUP(E1059,Listas!$A$2:$C$1048576,3,FALSE),""))</f>
        <v/>
      </c>
    </row>
    <row r="1060" spans="10:12" x14ac:dyDescent="0.25">
      <c r="J1060" t="str">
        <f>IF(H1060="","",IFERROR(VLOOKUP(H1060,Listas!$J$2:$K$1048576,2,FALSE),""))</f>
        <v/>
      </c>
      <c r="K1060" s="5" t="str">
        <f>IF(OR(I1060="",G1060=""),"",IF(G1060="Saída",-I1060,I1060))</f>
        <v/>
      </c>
      <c r="L1060" t="str">
        <f>IF(E1060="","",IFERROR(VLOOKUP(E1060,Listas!$A$2:$C$1048576,3,FALSE),""))</f>
        <v/>
      </c>
    </row>
    <row r="1061" spans="10:12" x14ac:dyDescent="0.25">
      <c r="J1061" t="str">
        <f>IF(H1061="","",IFERROR(VLOOKUP(H1061,Listas!$J$2:$K$1048576,2,FALSE),""))</f>
        <v/>
      </c>
      <c r="K1061" s="5" t="str">
        <f>IF(OR(I1061="",G1061=""),"",IF(G1061="Saída",-I1061,I1061))</f>
        <v/>
      </c>
      <c r="L1061" t="str">
        <f>IF(E1061="","",IFERROR(VLOOKUP(E1061,Listas!$A$2:$C$1048576,3,FALSE),""))</f>
        <v/>
      </c>
    </row>
    <row r="1062" spans="10:12" x14ac:dyDescent="0.25">
      <c r="J1062" t="str">
        <f>IF(H1062="","",IFERROR(VLOOKUP(H1062,Listas!$J$2:$K$1048576,2,FALSE),""))</f>
        <v/>
      </c>
      <c r="K1062" s="5" t="str">
        <f>IF(OR(I1062="",G1062=""),"",IF(G1062="Saída",-I1062,I1062))</f>
        <v/>
      </c>
      <c r="L1062" t="str">
        <f>IF(E1062="","",IFERROR(VLOOKUP(E1062,Listas!$A$2:$C$1048576,3,FALSE),""))</f>
        <v/>
      </c>
    </row>
    <row r="1063" spans="10:12" x14ac:dyDescent="0.25">
      <c r="J1063" t="str">
        <f>IF(H1063="","",IFERROR(VLOOKUP(H1063,Listas!$J$2:$K$1048576,2,FALSE),""))</f>
        <v/>
      </c>
      <c r="K1063" s="5" t="str">
        <f>IF(OR(I1063="",G1063=""),"",IF(G1063="Saída",-I1063,I1063))</f>
        <v/>
      </c>
      <c r="L1063" t="str">
        <f>IF(E1063="","",IFERROR(VLOOKUP(E1063,Listas!$A$2:$C$1048576,3,FALSE),""))</f>
        <v/>
      </c>
    </row>
    <row r="1064" spans="10:12" x14ac:dyDescent="0.25">
      <c r="J1064" t="str">
        <f>IF(H1064="","",IFERROR(VLOOKUP(H1064,Listas!$J$2:$K$1048576,2,FALSE),""))</f>
        <v/>
      </c>
      <c r="K1064" s="5" t="str">
        <f>IF(OR(I1064="",G1064=""),"",IF(G1064="Saída",-I1064,I1064))</f>
        <v/>
      </c>
      <c r="L1064" t="str">
        <f>IF(E1064="","",IFERROR(VLOOKUP(E1064,Listas!$A$2:$C$1048576,3,FALSE),""))</f>
        <v/>
      </c>
    </row>
    <row r="1065" spans="10:12" x14ac:dyDescent="0.25">
      <c r="J1065" t="str">
        <f>IF(H1065="","",IFERROR(VLOOKUP(H1065,Listas!$J$2:$K$1048576,2,FALSE),""))</f>
        <v/>
      </c>
      <c r="K1065" s="5" t="str">
        <f>IF(OR(I1065="",G1065=""),"",IF(G1065="Saída",-I1065,I1065))</f>
        <v/>
      </c>
      <c r="L1065" t="str">
        <f>IF(E1065="","",IFERROR(VLOOKUP(E1065,Listas!$A$2:$C$1048576,3,FALSE),""))</f>
        <v/>
      </c>
    </row>
    <row r="1066" spans="10:12" x14ac:dyDescent="0.25">
      <c r="J1066" t="str">
        <f>IF(H1066="","",IFERROR(VLOOKUP(H1066,Listas!$J$2:$K$1048576,2,FALSE),""))</f>
        <v/>
      </c>
      <c r="K1066" s="5" t="str">
        <f>IF(OR(I1066="",G1066=""),"",IF(G1066="Saída",-I1066,I1066))</f>
        <v/>
      </c>
      <c r="L1066" t="str">
        <f>IF(E1066="","",IFERROR(VLOOKUP(E1066,Listas!$A$2:$C$1048576,3,FALSE),""))</f>
        <v/>
      </c>
    </row>
    <row r="1067" spans="10:12" x14ac:dyDescent="0.25">
      <c r="J1067" t="str">
        <f>IF(H1067="","",IFERROR(VLOOKUP(H1067,Listas!$J$2:$K$1048576,2,FALSE),""))</f>
        <v/>
      </c>
      <c r="K1067" s="5" t="str">
        <f>IF(OR(I1067="",G1067=""),"",IF(G1067="Saída",-I1067,I1067))</f>
        <v/>
      </c>
      <c r="L1067" t="str">
        <f>IF(E1067="","",IFERROR(VLOOKUP(E1067,Listas!$A$2:$C$1048576,3,FALSE),""))</f>
        <v/>
      </c>
    </row>
    <row r="1068" spans="10:12" x14ac:dyDescent="0.25">
      <c r="J1068" t="str">
        <f>IF(H1068="","",IFERROR(VLOOKUP(H1068,Listas!$J$2:$K$1048576,2,FALSE),""))</f>
        <v/>
      </c>
      <c r="K1068" s="5" t="str">
        <f>IF(OR(I1068="",G1068=""),"",IF(G1068="Saída",-I1068,I1068))</f>
        <v/>
      </c>
      <c r="L1068" t="str">
        <f>IF(E1068="","",IFERROR(VLOOKUP(E1068,Listas!$A$2:$C$1048576,3,FALSE),""))</f>
        <v/>
      </c>
    </row>
    <row r="1069" spans="10:12" x14ac:dyDescent="0.25">
      <c r="J1069" t="str">
        <f>IF(H1069="","",IFERROR(VLOOKUP(H1069,Listas!$J$2:$K$1048576,2,FALSE),""))</f>
        <v/>
      </c>
      <c r="K1069" s="5" t="str">
        <f>IF(OR(I1069="",G1069=""),"",IF(G1069="Saída",-I1069,I1069))</f>
        <v/>
      </c>
      <c r="L1069" t="str">
        <f>IF(E1069="","",IFERROR(VLOOKUP(E1069,Listas!$A$2:$C$1048576,3,FALSE),""))</f>
        <v/>
      </c>
    </row>
    <row r="1070" spans="10:12" x14ac:dyDescent="0.25">
      <c r="J1070" t="str">
        <f>IF(H1070="","",IFERROR(VLOOKUP(H1070,Listas!$J$2:$K$1048576,2,FALSE),""))</f>
        <v/>
      </c>
      <c r="K1070" s="5" t="str">
        <f>IF(OR(I1070="",G1070=""),"",IF(G1070="Saída",-I1070,I1070))</f>
        <v/>
      </c>
      <c r="L1070" t="str">
        <f>IF(E1070="","",IFERROR(VLOOKUP(E1070,Listas!$A$2:$C$1048576,3,FALSE),""))</f>
        <v/>
      </c>
    </row>
    <row r="1071" spans="10:12" x14ac:dyDescent="0.25">
      <c r="J1071" t="str">
        <f>IF(H1071="","",IFERROR(VLOOKUP(H1071,Listas!$J$2:$K$1048576,2,FALSE),""))</f>
        <v/>
      </c>
      <c r="K1071" s="5" t="str">
        <f>IF(OR(I1071="",G1071=""),"",IF(G1071="Saída",-I1071,I1071))</f>
        <v/>
      </c>
      <c r="L1071" t="str">
        <f>IF(E1071="","",IFERROR(VLOOKUP(E1071,Listas!$A$2:$C$1048576,3,FALSE),""))</f>
        <v/>
      </c>
    </row>
    <row r="1072" spans="10:12" x14ac:dyDescent="0.25">
      <c r="J1072" t="str">
        <f>IF(H1072="","",IFERROR(VLOOKUP(H1072,Listas!$J$2:$K$1048576,2,FALSE),""))</f>
        <v/>
      </c>
      <c r="K1072" s="5" t="str">
        <f>IF(OR(I1072="",G1072=""),"",IF(G1072="Saída",-I1072,I1072))</f>
        <v/>
      </c>
      <c r="L1072" t="str">
        <f>IF(E1072="","",IFERROR(VLOOKUP(E1072,Listas!$A$2:$C$1048576,3,FALSE),""))</f>
        <v/>
      </c>
    </row>
    <row r="1073" spans="10:12" x14ac:dyDescent="0.25">
      <c r="J1073" t="str">
        <f>IF(H1073="","",IFERROR(VLOOKUP(H1073,Listas!$J$2:$K$1048576,2,FALSE),""))</f>
        <v/>
      </c>
      <c r="K1073" s="5" t="str">
        <f>IF(OR(I1073="",G1073=""),"",IF(G1073="Saída",-I1073,I1073))</f>
        <v/>
      </c>
      <c r="L1073" t="str">
        <f>IF(E1073="","",IFERROR(VLOOKUP(E1073,Listas!$A$2:$C$1048576,3,FALSE),""))</f>
        <v/>
      </c>
    </row>
    <row r="1074" spans="10:12" x14ac:dyDescent="0.25">
      <c r="J1074" t="str">
        <f>IF(H1074="","",IFERROR(VLOOKUP(H1074,Listas!$J$2:$K$1048576,2,FALSE),""))</f>
        <v/>
      </c>
      <c r="K1074" s="5" t="str">
        <f>IF(OR(I1074="",G1074=""),"",IF(G1074="Saída",-I1074,I1074))</f>
        <v/>
      </c>
      <c r="L1074" t="str">
        <f>IF(E1074="","",IFERROR(VLOOKUP(E1074,Listas!$A$2:$C$1048576,3,FALSE),""))</f>
        <v/>
      </c>
    </row>
    <row r="1075" spans="10:12" x14ac:dyDescent="0.25">
      <c r="J1075" t="str">
        <f>IF(H1075="","",IFERROR(VLOOKUP(H1075,Listas!$J$2:$K$1048576,2,FALSE),""))</f>
        <v/>
      </c>
      <c r="K1075" s="5" t="str">
        <f>IF(OR(I1075="",G1075=""),"",IF(G1075="Saída",-I1075,I1075))</f>
        <v/>
      </c>
      <c r="L1075" t="str">
        <f>IF(E1075="","",IFERROR(VLOOKUP(E1075,Listas!$A$2:$C$1048576,3,FALSE),""))</f>
        <v/>
      </c>
    </row>
    <row r="1076" spans="10:12" x14ac:dyDescent="0.25">
      <c r="J1076" t="str">
        <f>IF(H1076="","",IFERROR(VLOOKUP(H1076,Listas!$J$2:$K$1048576,2,FALSE),""))</f>
        <v/>
      </c>
      <c r="K1076" s="5" t="str">
        <f>IF(OR(I1076="",G1076=""),"",IF(G1076="Saída",-I1076,I1076))</f>
        <v/>
      </c>
      <c r="L1076" t="str">
        <f>IF(E1076="","",IFERROR(VLOOKUP(E1076,Listas!$A$2:$C$1048576,3,FALSE),""))</f>
        <v/>
      </c>
    </row>
    <row r="1077" spans="10:12" x14ac:dyDescent="0.25">
      <c r="J1077" t="str">
        <f>IF(H1077="","",IFERROR(VLOOKUP(H1077,Listas!$J$2:$K$1048576,2,FALSE),""))</f>
        <v/>
      </c>
      <c r="K1077" s="5" t="str">
        <f>IF(OR(I1077="",G1077=""),"",IF(G1077="Saída",-I1077,I1077))</f>
        <v/>
      </c>
      <c r="L1077" t="str">
        <f>IF(E1077="","",IFERROR(VLOOKUP(E1077,Listas!$A$2:$C$1048576,3,FALSE),""))</f>
        <v/>
      </c>
    </row>
    <row r="1078" spans="10:12" x14ac:dyDescent="0.25">
      <c r="J1078" t="str">
        <f>IF(H1078="","",IFERROR(VLOOKUP(H1078,Listas!$J$2:$K$1048576,2,FALSE),""))</f>
        <v/>
      </c>
      <c r="K1078" s="5" t="str">
        <f>IF(OR(I1078="",G1078=""),"",IF(G1078="Saída",-I1078,I1078))</f>
        <v/>
      </c>
      <c r="L1078" t="str">
        <f>IF(E1078="","",IFERROR(VLOOKUP(E1078,Listas!$A$2:$C$1048576,3,FALSE),""))</f>
        <v/>
      </c>
    </row>
    <row r="1079" spans="10:12" x14ac:dyDescent="0.25">
      <c r="J1079" t="str">
        <f>IF(H1079="","",IFERROR(VLOOKUP(H1079,Listas!$J$2:$K$1048576,2,FALSE),""))</f>
        <v/>
      </c>
      <c r="K1079" s="5" t="str">
        <f>IF(OR(I1079="",G1079=""),"",IF(G1079="Saída",-I1079,I1079))</f>
        <v/>
      </c>
      <c r="L1079" t="str">
        <f>IF(E1079="","",IFERROR(VLOOKUP(E1079,Listas!$A$2:$C$1048576,3,FALSE),""))</f>
        <v/>
      </c>
    </row>
    <row r="1080" spans="10:12" x14ac:dyDescent="0.25">
      <c r="J1080" t="str">
        <f>IF(H1080="","",IFERROR(VLOOKUP(H1080,Listas!$J$2:$K$1048576,2,FALSE),""))</f>
        <v/>
      </c>
      <c r="K1080" s="5" t="str">
        <f>IF(OR(I1080="",G1080=""),"",IF(G1080="Saída",-I1080,I1080))</f>
        <v/>
      </c>
      <c r="L1080" t="str">
        <f>IF(E1080="","",IFERROR(VLOOKUP(E1080,Listas!$A$2:$C$1048576,3,FALSE),""))</f>
        <v/>
      </c>
    </row>
    <row r="1081" spans="10:12" x14ac:dyDescent="0.25">
      <c r="J1081" t="str">
        <f>IF(H1081="","",IFERROR(VLOOKUP(H1081,Listas!$J$2:$K$1048576,2,FALSE),""))</f>
        <v/>
      </c>
      <c r="K1081" s="5" t="str">
        <f>IF(OR(I1081="",G1081=""),"",IF(G1081="Saída",-I1081,I1081))</f>
        <v/>
      </c>
      <c r="L1081" t="str">
        <f>IF(E1081="","",IFERROR(VLOOKUP(E1081,Listas!$A$2:$C$1048576,3,FALSE),""))</f>
        <v/>
      </c>
    </row>
    <row r="1082" spans="10:12" x14ac:dyDescent="0.25">
      <c r="J1082" t="str">
        <f>IF(H1082="","",IFERROR(VLOOKUP(H1082,Listas!$J$2:$K$1048576,2,FALSE),""))</f>
        <v/>
      </c>
      <c r="K1082" s="5" t="str">
        <f>IF(OR(I1082="",G1082=""),"",IF(G1082="Saída",-I1082,I1082))</f>
        <v/>
      </c>
      <c r="L1082" t="str">
        <f>IF(E1082="","",IFERROR(VLOOKUP(E1082,Listas!$A$2:$C$1048576,3,FALSE),""))</f>
        <v/>
      </c>
    </row>
    <row r="1083" spans="10:12" x14ac:dyDescent="0.25">
      <c r="J1083" t="str">
        <f>IF(H1083="","",IFERROR(VLOOKUP(H1083,Listas!$J$2:$K$1048576,2,FALSE),""))</f>
        <v/>
      </c>
      <c r="K1083" s="5" t="str">
        <f>IF(OR(I1083="",G1083=""),"",IF(G1083="Saída",-I1083,I1083))</f>
        <v/>
      </c>
      <c r="L1083" t="str">
        <f>IF(E1083="","",IFERROR(VLOOKUP(E1083,Listas!$A$2:$C$1048576,3,FALSE),""))</f>
        <v/>
      </c>
    </row>
    <row r="1084" spans="10:12" x14ac:dyDescent="0.25">
      <c r="J1084" t="str">
        <f>IF(H1084="","",IFERROR(VLOOKUP(H1084,Listas!$J$2:$K$1048576,2,FALSE),""))</f>
        <v/>
      </c>
      <c r="K1084" s="5" t="str">
        <f>IF(OR(I1084="",G1084=""),"",IF(G1084="Saída",-I1084,I1084))</f>
        <v/>
      </c>
      <c r="L1084" t="str">
        <f>IF(E1084="","",IFERROR(VLOOKUP(E1084,Listas!$A$2:$C$1048576,3,FALSE),""))</f>
        <v/>
      </c>
    </row>
    <row r="1085" spans="10:12" x14ac:dyDescent="0.25">
      <c r="J1085" t="str">
        <f>IF(H1085="","",IFERROR(VLOOKUP(H1085,Listas!$J$2:$K$1048576,2,FALSE),""))</f>
        <v/>
      </c>
      <c r="K1085" s="5" t="str">
        <f>IF(OR(I1085="",G1085=""),"",IF(G1085="Saída",-I1085,I1085))</f>
        <v/>
      </c>
      <c r="L1085" t="str">
        <f>IF(E1085="","",IFERROR(VLOOKUP(E1085,Listas!$A$2:$C$1048576,3,FALSE),""))</f>
        <v/>
      </c>
    </row>
    <row r="1086" spans="10:12" x14ac:dyDescent="0.25">
      <c r="J1086" t="str">
        <f>IF(H1086="","",IFERROR(VLOOKUP(H1086,Listas!$J$2:$K$1048576,2,FALSE),""))</f>
        <v/>
      </c>
      <c r="K1086" s="5" t="str">
        <f>IF(OR(I1086="",G1086=""),"",IF(G1086="Saída",-I1086,I1086))</f>
        <v/>
      </c>
      <c r="L1086" t="str">
        <f>IF(E1086="","",IFERROR(VLOOKUP(E1086,Listas!$A$2:$C$1048576,3,FALSE),""))</f>
        <v/>
      </c>
    </row>
    <row r="1087" spans="10:12" x14ac:dyDescent="0.25">
      <c r="J1087" t="str">
        <f>IF(H1087="","",IFERROR(VLOOKUP(H1087,Listas!$J$2:$K$1048576,2,FALSE),""))</f>
        <v/>
      </c>
      <c r="K1087" s="5" t="str">
        <f>IF(OR(I1087="",G1087=""),"",IF(G1087="Saída",-I1087,I1087))</f>
        <v/>
      </c>
      <c r="L1087" t="str">
        <f>IF(E1087="","",IFERROR(VLOOKUP(E1087,Listas!$A$2:$C$1048576,3,FALSE),""))</f>
        <v/>
      </c>
    </row>
    <row r="1088" spans="10:12" x14ac:dyDescent="0.25">
      <c r="J1088" t="str">
        <f>IF(H1088="","",IFERROR(VLOOKUP(H1088,Listas!$J$2:$K$1048576,2,FALSE),""))</f>
        <v/>
      </c>
      <c r="K1088" s="5" t="str">
        <f>IF(OR(I1088="",G1088=""),"",IF(G1088="Saída",-I1088,I1088))</f>
        <v/>
      </c>
      <c r="L1088" t="str">
        <f>IF(E1088="","",IFERROR(VLOOKUP(E1088,Listas!$A$2:$C$1048576,3,FALSE),""))</f>
        <v/>
      </c>
    </row>
    <row r="1089" spans="10:12" x14ac:dyDescent="0.25">
      <c r="J1089" t="str">
        <f>IF(H1089="","",IFERROR(VLOOKUP(H1089,Listas!$J$2:$K$1048576,2,FALSE),""))</f>
        <v/>
      </c>
      <c r="K1089" s="5" t="str">
        <f>IF(OR(I1089="",G1089=""),"",IF(G1089="Saída",-I1089,I1089))</f>
        <v/>
      </c>
      <c r="L1089" t="str">
        <f>IF(E1089="","",IFERROR(VLOOKUP(E1089,Listas!$A$2:$C$1048576,3,FALSE),""))</f>
        <v/>
      </c>
    </row>
    <row r="1090" spans="10:12" x14ac:dyDescent="0.25">
      <c r="J1090" t="str">
        <f>IF(H1090="","",IFERROR(VLOOKUP(H1090,Listas!$J$2:$K$1048576,2,FALSE),""))</f>
        <v/>
      </c>
      <c r="K1090" s="5" t="str">
        <f>IF(OR(I1090="",G1090=""),"",IF(G1090="Saída",-I1090,I1090))</f>
        <v/>
      </c>
      <c r="L1090" t="str">
        <f>IF(E1090="","",IFERROR(VLOOKUP(E1090,Listas!$A$2:$C$1048576,3,FALSE),""))</f>
        <v/>
      </c>
    </row>
    <row r="1091" spans="10:12" x14ac:dyDescent="0.25">
      <c r="J1091" t="str">
        <f>IF(H1091="","",IFERROR(VLOOKUP(H1091,Listas!$J$2:$K$1048576,2,FALSE),""))</f>
        <v/>
      </c>
      <c r="K1091" s="5" t="str">
        <f>IF(OR(I1091="",G1091=""),"",IF(G1091="Saída",-I1091,I1091))</f>
        <v/>
      </c>
      <c r="L1091" t="str">
        <f>IF(E1091="","",IFERROR(VLOOKUP(E1091,Listas!$A$2:$C$1048576,3,FALSE),""))</f>
        <v/>
      </c>
    </row>
    <row r="1092" spans="10:12" x14ac:dyDescent="0.25">
      <c r="J1092" t="str">
        <f>IF(H1092="","",IFERROR(VLOOKUP(H1092,Listas!$J$2:$K$1048576,2,FALSE),""))</f>
        <v/>
      </c>
      <c r="K1092" s="5" t="str">
        <f>IF(OR(I1092="",G1092=""),"",IF(G1092="Saída",-I1092,I1092))</f>
        <v/>
      </c>
      <c r="L1092" t="str">
        <f>IF(E1092="","",IFERROR(VLOOKUP(E1092,Listas!$A$2:$C$1048576,3,FALSE),""))</f>
        <v/>
      </c>
    </row>
    <row r="1093" spans="10:12" x14ac:dyDescent="0.25">
      <c r="J1093" t="str">
        <f>IF(H1093="","",IFERROR(VLOOKUP(H1093,Listas!$J$2:$K$1048576,2,FALSE),""))</f>
        <v/>
      </c>
      <c r="K1093" s="5" t="str">
        <f>IF(OR(I1093="",G1093=""),"",IF(G1093="Saída",-I1093,I1093))</f>
        <v/>
      </c>
      <c r="L1093" t="str">
        <f>IF(E1093="","",IFERROR(VLOOKUP(E1093,Listas!$A$2:$C$1048576,3,FALSE),""))</f>
        <v/>
      </c>
    </row>
    <row r="1094" spans="10:12" x14ac:dyDescent="0.25">
      <c r="J1094" t="str">
        <f>IF(H1094="","",IFERROR(VLOOKUP(H1094,Listas!$J$2:$K$1048576,2,FALSE),""))</f>
        <v/>
      </c>
      <c r="K1094" s="5" t="str">
        <f>IF(OR(I1094="",G1094=""),"",IF(G1094="Saída",-I1094,I1094))</f>
        <v/>
      </c>
      <c r="L1094" t="str">
        <f>IF(E1094="","",IFERROR(VLOOKUP(E1094,Listas!$A$2:$C$1048576,3,FALSE),""))</f>
        <v/>
      </c>
    </row>
    <row r="1095" spans="10:12" x14ac:dyDescent="0.25">
      <c r="J1095" t="str">
        <f>IF(H1095="","",IFERROR(VLOOKUP(H1095,Listas!$J$2:$K$1048576,2,FALSE),""))</f>
        <v/>
      </c>
      <c r="K1095" s="5" t="str">
        <f>IF(OR(I1095="",G1095=""),"",IF(G1095="Saída",-I1095,I1095))</f>
        <v/>
      </c>
      <c r="L1095" t="str">
        <f>IF(E1095="","",IFERROR(VLOOKUP(E1095,Listas!$A$2:$C$1048576,3,FALSE),""))</f>
        <v/>
      </c>
    </row>
    <row r="1096" spans="10:12" x14ac:dyDescent="0.25">
      <c r="J1096" t="str">
        <f>IF(H1096="","",IFERROR(VLOOKUP(H1096,Listas!$J$2:$K$1048576,2,FALSE),""))</f>
        <v/>
      </c>
      <c r="K1096" s="5" t="str">
        <f>IF(OR(I1096="",G1096=""),"",IF(G1096="Saída",-I1096,I1096))</f>
        <v/>
      </c>
      <c r="L1096" t="str">
        <f>IF(E1096="","",IFERROR(VLOOKUP(E1096,Listas!$A$2:$C$1048576,3,FALSE),""))</f>
        <v/>
      </c>
    </row>
    <row r="1097" spans="10:12" x14ac:dyDescent="0.25">
      <c r="J1097" t="str">
        <f>IF(H1097="","",IFERROR(VLOOKUP(H1097,Listas!$J$2:$K$1048576,2,FALSE),""))</f>
        <v/>
      </c>
      <c r="K1097" s="5" t="str">
        <f>IF(OR(I1097="",G1097=""),"",IF(G1097="Saída",-I1097,I1097))</f>
        <v/>
      </c>
      <c r="L1097" t="str">
        <f>IF(E1097="","",IFERROR(VLOOKUP(E1097,Listas!$A$2:$C$1048576,3,FALSE),""))</f>
        <v/>
      </c>
    </row>
    <row r="1098" spans="10:12" x14ac:dyDescent="0.25">
      <c r="J1098" t="str">
        <f>IF(H1098="","",IFERROR(VLOOKUP(H1098,Listas!$J$2:$K$1048576,2,FALSE),""))</f>
        <v/>
      </c>
      <c r="K1098" s="5" t="str">
        <f>IF(OR(I1098="",G1098=""),"",IF(G1098="Saída",-I1098,I1098))</f>
        <v/>
      </c>
      <c r="L1098" t="str">
        <f>IF(E1098="","",IFERROR(VLOOKUP(E1098,Listas!$A$2:$C$1048576,3,FALSE),""))</f>
        <v/>
      </c>
    </row>
    <row r="1099" spans="10:12" x14ac:dyDescent="0.25">
      <c r="J1099" t="str">
        <f>IF(H1099="","",IFERROR(VLOOKUP(H1099,Listas!$J$2:$K$1048576,2,FALSE),""))</f>
        <v/>
      </c>
      <c r="K1099" s="5" t="str">
        <f>IF(OR(I1099="",G1099=""),"",IF(G1099="Saída",-I1099,I1099))</f>
        <v/>
      </c>
      <c r="L1099" t="str">
        <f>IF(E1099="","",IFERROR(VLOOKUP(E1099,Listas!$A$2:$C$1048576,3,FALSE),""))</f>
        <v/>
      </c>
    </row>
    <row r="1100" spans="10:12" x14ac:dyDescent="0.25">
      <c r="J1100" t="str">
        <f>IF(H1100="","",IFERROR(VLOOKUP(H1100,Listas!$J$2:$K$1048576,2,FALSE),""))</f>
        <v/>
      </c>
      <c r="K1100" s="5" t="str">
        <f>IF(OR(I1100="",G1100=""),"",IF(G1100="Saída",-I1100,I1100))</f>
        <v/>
      </c>
      <c r="L1100" t="str">
        <f>IF(E1100="","",IFERROR(VLOOKUP(E1100,Listas!$A$2:$C$1048576,3,FALSE),""))</f>
        <v/>
      </c>
    </row>
    <row r="1101" spans="10:12" x14ac:dyDescent="0.25">
      <c r="J1101" t="str">
        <f>IF(H1101="","",IFERROR(VLOOKUP(H1101,Listas!$J$2:$K$1048576,2,FALSE),""))</f>
        <v/>
      </c>
      <c r="K1101" s="5" t="str">
        <f>IF(OR(I1101="",G1101=""),"",IF(G1101="Saída",-I1101,I1101))</f>
        <v/>
      </c>
      <c r="L1101" t="str">
        <f>IF(E1101="","",IFERROR(VLOOKUP(E1101,Listas!$A$2:$C$1048576,3,FALSE),""))</f>
        <v/>
      </c>
    </row>
    <row r="1102" spans="10:12" x14ac:dyDescent="0.25">
      <c r="J1102" t="str">
        <f>IF(H1102="","",IFERROR(VLOOKUP(H1102,Listas!$J$2:$K$1048576,2,FALSE),""))</f>
        <v/>
      </c>
      <c r="K1102" s="5" t="str">
        <f>IF(OR(I1102="",G1102=""),"",IF(G1102="Saída",-I1102,I1102))</f>
        <v/>
      </c>
      <c r="L1102" t="str">
        <f>IF(E1102="","",IFERROR(VLOOKUP(E1102,Listas!$A$2:$C$1048576,3,FALSE),""))</f>
        <v/>
      </c>
    </row>
    <row r="1103" spans="10:12" x14ac:dyDescent="0.25">
      <c r="J1103" t="str">
        <f>IF(H1103="","",IFERROR(VLOOKUP(H1103,Listas!$J$2:$K$1048576,2,FALSE),""))</f>
        <v/>
      </c>
      <c r="K1103" s="5" t="str">
        <f>IF(OR(I1103="",G1103=""),"",IF(G1103="Saída",-I1103,I1103))</f>
        <v/>
      </c>
      <c r="L1103" t="str">
        <f>IF(E1103="","",IFERROR(VLOOKUP(E1103,Listas!$A$2:$C$1048576,3,FALSE),""))</f>
        <v/>
      </c>
    </row>
    <row r="1104" spans="10:12" x14ac:dyDescent="0.25">
      <c r="J1104" t="str">
        <f>IF(H1104="","",IFERROR(VLOOKUP(H1104,Listas!$J$2:$K$1048576,2,FALSE),""))</f>
        <v/>
      </c>
      <c r="K1104" s="5" t="str">
        <f>IF(OR(I1104="",G1104=""),"",IF(G1104="Saída",-I1104,I1104))</f>
        <v/>
      </c>
      <c r="L1104" t="str">
        <f>IF(E1104="","",IFERROR(VLOOKUP(E1104,Listas!$A$2:$C$1048576,3,FALSE),""))</f>
        <v/>
      </c>
    </row>
    <row r="1105" spans="10:12" x14ac:dyDescent="0.25">
      <c r="J1105" t="str">
        <f>IF(H1105="","",IFERROR(VLOOKUP(H1105,Listas!$J$2:$K$1048576,2,FALSE),""))</f>
        <v/>
      </c>
      <c r="K1105" s="5" t="str">
        <f>IF(OR(I1105="",G1105=""),"",IF(G1105="Saída",-I1105,I1105))</f>
        <v/>
      </c>
      <c r="L1105" t="str">
        <f>IF(E1105="","",IFERROR(VLOOKUP(E1105,Listas!$A$2:$C$1048576,3,FALSE),""))</f>
        <v/>
      </c>
    </row>
    <row r="1106" spans="10:12" x14ac:dyDescent="0.25">
      <c r="J1106" t="str">
        <f>IF(H1106="","",IFERROR(VLOOKUP(H1106,Listas!$J$2:$K$1048576,2,FALSE),""))</f>
        <v/>
      </c>
      <c r="K1106" s="5" t="str">
        <f>IF(OR(I1106="",G1106=""),"",IF(G1106="Saída",-I1106,I1106))</f>
        <v/>
      </c>
      <c r="L1106" t="str">
        <f>IF(E1106="","",IFERROR(VLOOKUP(E1106,Listas!$A$2:$C$1048576,3,FALSE),""))</f>
        <v/>
      </c>
    </row>
    <row r="1107" spans="10:12" x14ac:dyDescent="0.25">
      <c r="J1107" t="str">
        <f>IF(H1107="","",IFERROR(VLOOKUP(H1107,Listas!$J$2:$K$1048576,2,FALSE),""))</f>
        <v/>
      </c>
      <c r="K1107" s="5" t="str">
        <f>IF(OR(I1107="",G1107=""),"",IF(G1107="Saída",-I1107,I1107))</f>
        <v/>
      </c>
      <c r="L1107" t="str">
        <f>IF(E1107="","",IFERROR(VLOOKUP(E1107,Listas!$A$2:$C$1048576,3,FALSE),""))</f>
        <v/>
      </c>
    </row>
    <row r="1108" spans="10:12" x14ac:dyDescent="0.25">
      <c r="J1108" t="str">
        <f>IF(H1108="","",IFERROR(VLOOKUP(H1108,Listas!$J$2:$K$1048576,2,FALSE),""))</f>
        <v/>
      </c>
      <c r="K1108" s="5" t="str">
        <f>IF(OR(I1108="",G1108=""),"",IF(G1108="Saída",-I1108,I1108))</f>
        <v/>
      </c>
      <c r="L1108" t="str">
        <f>IF(E1108="","",IFERROR(VLOOKUP(E1108,Listas!$A$2:$C$1048576,3,FALSE),""))</f>
        <v/>
      </c>
    </row>
    <row r="1109" spans="10:12" x14ac:dyDescent="0.25">
      <c r="J1109" t="str">
        <f>IF(H1109="","",IFERROR(VLOOKUP(H1109,Listas!$J$2:$K$1048576,2,FALSE),""))</f>
        <v/>
      </c>
      <c r="K1109" s="5" t="str">
        <f>IF(OR(I1109="",G1109=""),"",IF(G1109="Saída",-I1109,I1109))</f>
        <v/>
      </c>
      <c r="L1109" t="str">
        <f>IF(E1109="","",IFERROR(VLOOKUP(E1109,Listas!$A$2:$C$1048576,3,FALSE),""))</f>
        <v/>
      </c>
    </row>
    <row r="1110" spans="10:12" x14ac:dyDescent="0.25">
      <c r="J1110" t="str">
        <f>IF(H1110="","",IFERROR(VLOOKUP(H1110,Listas!$J$2:$K$1048576,2,FALSE),""))</f>
        <v/>
      </c>
      <c r="K1110" s="5" t="str">
        <f>IF(OR(I1110="",G1110=""),"",IF(G1110="Saída",-I1110,I1110))</f>
        <v/>
      </c>
      <c r="L1110" t="str">
        <f>IF(E1110="","",IFERROR(VLOOKUP(E1110,Listas!$A$2:$C$1048576,3,FALSE),""))</f>
        <v/>
      </c>
    </row>
    <row r="1111" spans="10:12" x14ac:dyDescent="0.25">
      <c r="J1111" t="str">
        <f>IF(H1111="","",IFERROR(VLOOKUP(H1111,Listas!$J$2:$K$1048576,2,FALSE),""))</f>
        <v/>
      </c>
      <c r="K1111" s="5" t="str">
        <f>IF(OR(I1111="",G1111=""),"",IF(G1111="Saída",-I1111,I1111))</f>
        <v/>
      </c>
      <c r="L1111" t="str">
        <f>IF(E1111="","",IFERROR(VLOOKUP(E1111,Listas!$A$2:$C$1048576,3,FALSE),""))</f>
        <v/>
      </c>
    </row>
    <row r="1112" spans="10:12" x14ac:dyDescent="0.25">
      <c r="J1112" t="str">
        <f>IF(H1112="","",IFERROR(VLOOKUP(H1112,Listas!$J$2:$K$1048576,2,FALSE),""))</f>
        <v/>
      </c>
      <c r="K1112" s="5" t="str">
        <f>IF(OR(I1112="",G1112=""),"",IF(G1112="Saída",-I1112,I1112))</f>
        <v/>
      </c>
      <c r="L1112" t="str">
        <f>IF(E1112="","",IFERROR(VLOOKUP(E1112,Listas!$A$2:$C$1048576,3,FALSE),""))</f>
        <v/>
      </c>
    </row>
    <row r="1113" spans="10:12" x14ac:dyDescent="0.25">
      <c r="J1113" t="str">
        <f>IF(H1113="","",IFERROR(VLOOKUP(H1113,Listas!$J$2:$K$1048576,2,FALSE),""))</f>
        <v/>
      </c>
      <c r="K1113" s="5" t="str">
        <f>IF(OR(I1113="",G1113=""),"",IF(G1113="Saída",-I1113,I1113))</f>
        <v/>
      </c>
      <c r="L1113" t="str">
        <f>IF(E1113="","",IFERROR(VLOOKUP(E1113,Listas!$A$2:$C$1048576,3,FALSE),""))</f>
        <v/>
      </c>
    </row>
    <row r="1114" spans="10:12" x14ac:dyDescent="0.25">
      <c r="J1114" t="str">
        <f>IF(H1114="","",IFERROR(VLOOKUP(H1114,Listas!$J$2:$K$1048576,2,FALSE),""))</f>
        <v/>
      </c>
      <c r="K1114" s="5" t="str">
        <f>IF(OR(I1114="",G1114=""),"",IF(G1114="Saída",-I1114,I1114))</f>
        <v/>
      </c>
      <c r="L1114" t="str">
        <f>IF(E1114="","",IFERROR(VLOOKUP(E1114,Listas!$A$2:$C$1048576,3,FALSE),""))</f>
        <v/>
      </c>
    </row>
    <row r="1115" spans="10:12" x14ac:dyDescent="0.25">
      <c r="J1115" t="str">
        <f>IF(H1115="","",IFERROR(VLOOKUP(H1115,Listas!$J$2:$K$1048576,2,FALSE),""))</f>
        <v/>
      </c>
      <c r="K1115" s="5" t="str">
        <f>IF(OR(I1115="",G1115=""),"",IF(G1115="Saída",-I1115,I1115))</f>
        <v/>
      </c>
      <c r="L1115" t="str">
        <f>IF(E1115="","",IFERROR(VLOOKUP(E1115,Listas!$A$2:$C$1048576,3,FALSE),""))</f>
        <v/>
      </c>
    </row>
    <row r="1116" spans="10:12" x14ac:dyDescent="0.25">
      <c r="J1116" t="str">
        <f>IF(H1116="","",IFERROR(VLOOKUP(H1116,Listas!$J$2:$K$1048576,2,FALSE),""))</f>
        <v/>
      </c>
      <c r="K1116" s="5" t="str">
        <f>IF(OR(I1116="",G1116=""),"",IF(G1116="Saída",-I1116,I1116))</f>
        <v/>
      </c>
      <c r="L1116" t="str">
        <f>IF(E1116="","",IFERROR(VLOOKUP(E1116,Listas!$A$2:$C$1048576,3,FALSE),""))</f>
        <v/>
      </c>
    </row>
    <row r="1117" spans="10:12" x14ac:dyDescent="0.25">
      <c r="J1117" t="str">
        <f>IF(H1117="","",IFERROR(VLOOKUP(H1117,Listas!$J$2:$K$1048576,2,FALSE),""))</f>
        <v/>
      </c>
      <c r="K1117" s="5" t="str">
        <f>IF(OR(I1117="",G1117=""),"",IF(G1117="Saída",-I1117,I1117))</f>
        <v/>
      </c>
      <c r="L1117" t="str">
        <f>IF(E1117="","",IFERROR(VLOOKUP(E1117,Listas!$A$2:$C$1048576,3,FALSE),""))</f>
        <v/>
      </c>
    </row>
    <row r="1118" spans="10:12" x14ac:dyDescent="0.25">
      <c r="J1118" t="str">
        <f>IF(H1118="","",IFERROR(VLOOKUP(H1118,Listas!$J$2:$K$1048576,2,FALSE),""))</f>
        <v/>
      </c>
      <c r="K1118" s="5" t="str">
        <f>IF(OR(I1118="",G1118=""),"",IF(G1118="Saída",-I1118,I1118))</f>
        <v/>
      </c>
      <c r="L1118" t="str">
        <f>IF(E1118="","",IFERROR(VLOOKUP(E1118,Listas!$A$2:$C$1048576,3,FALSE),""))</f>
        <v/>
      </c>
    </row>
    <row r="1119" spans="10:12" x14ac:dyDescent="0.25">
      <c r="J1119" t="str">
        <f>IF(H1119="","",IFERROR(VLOOKUP(H1119,Listas!$J$2:$K$1048576,2,FALSE),""))</f>
        <v/>
      </c>
      <c r="K1119" s="5" t="str">
        <f>IF(OR(I1119="",G1119=""),"",IF(G1119="Saída",-I1119,I1119))</f>
        <v/>
      </c>
      <c r="L1119" t="str">
        <f>IF(E1119="","",IFERROR(VLOOKUP(E1119,Listas!$A$2:$C$1048576,3,FALSE),""))</f>
        <v/>
      </c>
    </row>
    <row r="1120" spans="10:12" x14ac:dyDescent="0.25">
      <c r="J1120" t="str">
        <f>IF(H1120="","",IFERROR(VLOOKUP(H1120,Listas!$J$2:$K$1048576,2,FALSE),""))</f>
        <v/>
      </c>
      <c r="K1120" s="5" t="str">
        <f>IF(OR(I1120="",G1120=""),"",IF(G1120="Saída",-I1120,I1120))</f>
        <v/>
      </c>
      <c r="L1120" t="str">
        <f>IF(E1120="","",IFERROR(VLOOKUP(E1120,Listas!$A$2:$C$1048576,3,FALSE),""))</f>
        <v/>
      </c>
    </row>
    <row r="1121" spans="10:12" x14ac:dyDescent="0.25">
      <c r="J1121" t="str">
        <f>IF(H1121="","",IFERROR(VLOOKUP(H1121,Listas!$J$2:$K$1048576,2,FALSE),""))</f>
        <v/>
      </c>
      <c r="K1121" s="5" t="str">
        <f>IF(OR(I1121="",G1121=""),"",IF(G1121="Saída",-I1121,I1121))</f>
        <v/>
      </c>
      <c r="L1121" t="str">
        <f>IF(E1121="","",IFERROR(VLOOKUP(E1121,Listas!$A$2:$C$1048576,3,FALSE),""))</f>
        <v/>
      </c>
    </row>
    <row r="1122" spans="10:12" x14ac:dyDescent="0.25">
      <c r="J1122" t="str">
        <f>IF(H1122="","",IFERROR(VLOOKUP(H1122,Listas!$J$2:$K$1048576,2,FALSE),""))</f>
        <v/>
      </c>
      <c r="K1122" s="5" t="str">
        <f>IF(OR(I1122="",G1122=""),"",IF(G1122="Saída",-I1122,I1122))</f>
        <v/>
      </c>
      <c r="L1122" t="str">
        <f>IF(E1122="","",IFERROR(VLOOKUP(E1122,Listas!$A$2:$C$1048576,3,FALSE),""))</f>
        <v/>
      </c>
    </row>
    <row r="1123" spans="10:12" x14ac:dyDescent="0.25">
      <c r="J1123" t="str">
        <f>IF(H1123="","",IFERROR(VLOOKUP(H1123,Listas!$J$2:$K$1048576,2,FALSE),""))</f>
        <v/>
      </c>
      <c r="K1123" s="5" t="str">
        <f>IF(OR(I1123="",G1123=""),"",IF(G1123="Saída",-I1123,I1123))</f>
        <v/>
      </c>
      <c r="L1123" t="str">
        <f>IF(E1123="","",IFERROR(VLOOKUP(E1123,Listas!$A$2:$C$1048576,3,FALSE),""))</f>
        <v/>
      </c>
    </row>
    <row r="1124" spans="10:12" x14ac:dyDescent="0.25">
      <c r="J1124" t="str">
        <f>IF(H1124="","",IFERROR(VLOOKUP(H1124,Listas!$J$2:$K$1048576,2,FALSE),""))</f>
        <v/>
      </c>
      <c r="K1124" s="5" t="str">
        <f>IF(OR(I1124="",G1124=""),"",IF(G1124="Saída",-I1124,I1124))</f>
        <v/>
      </c>
      <c r="L1124" t="str">
        <f>IF(E1124="","",IFERROR(VLOOKUP(E1124,Listas!$A$2:$C$1048576,3,FALSE),""))</f>
        <v/>
      </c>
    </row>
    <row r="1125" spans="10:12" x14ac:dyDescent="0.25">
      <c r="J1125" t="str">
        <f>IF(H1125="","",IFERROR(VLOOKUP(H1125,Listas!$J$2:$K$1048576,2,FALSE),""))</f>
        <v/>
      </c>
      <c r="K1125" s="5" t="str">
        <f>IF(OR(I1125="",G1125=""),"",IF(G1125="Saída",-I1125,I1125))</f>
        <v/>
      </c>
      <c r="L1125" t="str">
        <f>IF(E1125="","",IFERROR(VLOOKUP(E1125,Listas!$A$2:$C$1048576,3,FALSE),""))</f>
        <v/>
      </c>
    </row>
    <row r="1126" spans="10:12" x14ac:dyDescent="0.25">
      <c r="J1126" t="str">
        <f>IF(H1126="","",IFERROR(VLOOKUP(H1126,Listas!$J$2:$K$1048576,2,FALSE),""))</f>
        <v/>
      </c>
      <c r="K1126" s="5" t="str">
        <f>IF(OR(I1126="",G1126=""),"",IF(G1126="Saída",-I1126,I1126))</f>
        <v/>
      </c>
      <c r="L1126" t="str">
        <f>IF(E1126="","",IFERROR(VLOOKUP(E1126,Listas!$A$2:$C$1048576,3,FALSE),""))</f>
        <v/>
      </c>
    </row>
    <row r="1127" spans="10:12" x14ac:dyDescent="0.25">
      <c r="J1127" t="str">
        <f>IF(H1127="","",IFERROR(VLOOKUP(H1127,Listas!$J$2:$K$1048576,2,FALSE),""))</f>
        <v/>
      </c>
      <c r="K1127" s="5" t="str">
        <f>IF(OR(I1127="",G1127=""),"",IF(G1127="Saída",-I1127,I1127))</f>
        <v/>
      </c>
      <c r="L1127" t="str">
        <f>IF(E1127="","",IFERROR(VLOOKUP(E1127,Listas!$A$2:$C$1048576,3,FALSE),""))</f>
        <v/>
      </c>
    </row>
    <row r="1128" spans="10:12" x14ac:dyDescent="0.25">
      <c r="J1128" t="str">
        <f>IF(H1128="","",IFERROR(VLOOKUP(H1128,Listas!$J$2:$K$1048576,2,FALSE),""))</f>
        <v/>
      </c>
      <c r="K1128" s="5" t="str">
        <f>IF(OR(I1128="",G1128=""),"",IF(G1128="Saída",-I1128,I1128))</f>
        <v/>
      </c>
      <c r="L1128" t="str">
        <f>IF(E1128="","",IFERROR(VLOOKUP(E1128,Listas!$A$2:$C$1048576,3,FALSE),""))</f>
        <v/>
      </c>
    </row>
    <row r="1129" spans="10:12" x14ac:dyDescent="0.25">
      <c r="J1129" t="str">
        <f>IF(H1129="","",IFERROR(VLOOKUP(H1129,Listas!$J$2:$K$1048576,2,FALSE),""))</f>
        <v/>
      </c>
      <c r="K1129" s="5" t="str">
        <f>IF(OR(I1129="",G1129=""),"",IF(G1129="Saída",-I1129,I1129))</f>
        <v/>
      </c>
      <c r="L1129" t="str">
        <f>IF(E1129="","",IFERROR(VLOOKUP(E1129,Listas!$A$2:$C$1048576,3,FALSE),""))</f>
        <v/>
      </c>
    </row>
    <row r="1130" spans="10:12" x14ac:dyDescent="0.25">
      <c r="J1130" t="str">
        <f>IF(H1130="","",IFERROR(VLOOKUP(H1130,Listas!$J$2:$K$1048576,2,FALSE),""))</f>
        <v/>
      </c>
      <c r="K1130" s="5" t="str">
        <f>IF(OR(I1130="",G1130=""),"",IF(G1130="Saída",-I1130,I1130))</f>
        <v/>
      </c>
      <c r="L1130" t="str">
        <f>IF(E1130="","",IFERROR(VLOOKUP(E1130,Listas!$A$2:$C$1048576,3,FALSE),""))</f>
        <v/>
      </c>
    </row>
    <row r="1131" spans="10:12" x14ac:dyDescent="0.25">
      <c r="J1131" t="str">
        <f>IF(H1131="","",IFERROR(VLOOKUP(H1131,Listas!$J$2:$K$1048576,2,FALSE),""))</f>
        <v/>
      </c>
      <c r="K1131" s="5" t="str">
        <f>IF(OR(I1131="",G1131=""),"",IF(G1131="Saída",-I1131,I1131))</f>
        <v/>
      </c>
      <c r="L1131" t="str">
        <f>IF(E1131="","",IFERROR(VLOOKUP(E1131,Listas!$A$2:$C$1048576,3,FALSE),""))</f>
        <v/>
      </c>
    </row>
    <row r="1132" spans="10:12" x14ac:dyDescent="0.25">
      <c r="J1132" t="str">
        <f>IF(H1132="","",IFERROR(VLOOKUP(H1132,Listas!$J$2:$K$1048576,2,FALSE),""))</f>
        <v/>
      </c>
      <c r="K1132" s="5" t="str">
        <f>IF(OR(I1132="",G1132=""),"",IF(G1132="Saída",-I1132,I1132))</f>
        <v/>
      </c>
      <c r="L1132" t="str">
        <f>IF(E1132="","",IFERROR(VLOOKUP(E1132,Listas!$A$2:$C$1048576,3,FALSE),""))</f>
        <v/>
      </c>
    </row>
    <row r="1133" spans="10:12" x14ac:dyDescent="0.25">
      <c r="J1133" t="str">
        <f>IF(H1133="","",IFERROR(VLOOKUP(H1133,Listas!$J$2:$K$1048576,2,FALSE),""))</f>
        <v/>
      </c>
      <c r="K1133" s="5" t="str">
        <f>IF(OR(I1133="",G1133=""),"",IF(G1133="Saída",-I1133,I1133))</f>
        <v/>
      </c>
      <c r="L1133" t="str">
        <f>IF(E1133="","",IFERROR(VLOOKUP(E1133,Listas!$A$2:$C$1048576,3,FALSE),""))</f>
        <v/>
      </c>
    </row>
    <row r="1134" spans="10:12" x14ac:dyDescent="0.25">
      <c r="J1134" t="str">
        <f>IF(H1134="","",IFERROR(VLOOKUP(H1134,Listas!$J$2:$K$1048576,2,FALSE),""))</f>
        <v/>
      </c>
      <c r="K1134" s="5" t="str">
        <f>IF(OR(I1134="",G1134=""),"",IF(G1134="Saída",-I1134,I1134))</f>
        <v/>
      </c>
      <c r="L1134" t="str">
        <f>IF(E1134="","",IFERROR(VLOOKUP(E1134,Listas!$A$2:$C$1048576,3,FALSE),""))</f>
        <v/>
      </c>
    </row>
    <row r="1135" spans="10:12" x14ac:dyDescent="0.25">
      <c r="J1135" t="str">
        <f>IF(H1135="","",IFERROR(VLOOKUP(H1135,Listas!$J$2:$K$1048576,2,FALSE),""))</f>
        <v/>
      </c>
      <c r="K1135" s="5" t="str">
        <f>IF(OR(I1135="",G1135=""),"",IF(G1135="Saída",-I1135,I1135))</f>
        <v/>
      </c>
      <c r="L1135" t="str">
        <f>IF(E1135="","",IFERROR(VLOOKUP(E1135,Listas!$A$2:$C$1048576,3,FALSE),""))</f>
        <v/>
      </c>
    </row>
    <row r="1136" spans="10:12" x14ac:dyDescent="0.25">
      <c r="J1136" t="str">
        <f>IF(H1136="","",IFERROR(VLOOKUP(H1136,Listas!$J$2:$K$1048576,2,FALSE),""))</f>
        <v/>
      </c>
      <c r="K1136" s="5" t="str">
        <f>IF(OR(I1136="",G1136=""),"",IF(G1136="Saída",-I1136,I1136))</f>
        <v/>
      </c>
      <c r="L1136" t="str">
        <f>IF(E1136="","",IFERROR(VLOOKUP(E1136,Listas!$A$2:$C$1048576,3,FALSE),""))</f>
        <v/>
      </c>
    </row>
    <row r="1137" spans="10:12" x14ac:dyDescent="0.25">
      <c r="J1137" t="str">
        <f>IF(H1137="","",IFERROR(VLOOKUP(H1137,Listas!$J$2:$K$1048576,2,FALSE),""))</f>
        <v/>
      </c>
      <c r="K1137" s="5" t="str">
        <f>IF(OR(I1137="",G1137=""),"",IF(G1137="Saída",-I1137,I1137))</f>
        <v/>
      </c>
      <c r="L1137" t="str">
        <f>IF(E1137="","",IFERROR(VLOOKUP(E1137,Listas!$A$2:$C$1048576,3,FALSE),""))</f>
        <v/>
      </c>
    </row>
    <row r="1138" spans="10:12" x14ac:dyDescent="0.25">
      <c r="J1138" t="str">
        <f>IF(H1138="","",IFERROR(VLOOKUP(H1138,Listas!$J$2:$K$1048576,2,FALSE),""))</f>
        <v/>
      </c>
      <c r="K1138" s="5" t="str">
        <f>IF(OR(I1138="",G1138=""),"",IF(G1138="Saída",-I1138,I1138))</f>
        <v/>
      </c>
      <c r="L1138" t="str">
        <f>IF(E1138="","",IFERROR(VLOOKUP(E1138,Listas!$A$2:$C$1048576,3,FALSE),""))</f>
        <v/>
      </c>
    </row>
    <row r="1139" spans="10:12" x14ac:dyDescent="0.25">
      <c r="J1139" t="str">
        <f>IF(H1139="","",IFERROR(VLOOKUP(H1139,Listas!$J$2:$K$1048576,2,FALSE),""))</f>
        <v/>
      </c>
      <c r="K1139" s="5" t="str">
        <f>IF(OR(I1139="",G1139=""),"",IF(G1139="Saída",-I1139,I1139))</f>
        <v/>
      </c>
      <c r="L1139" t="str">
        <f>IF(E1139="","",IFERROR(VLOOKUP(E1139,Listas!$A$2:$C$1048576,3,FALSE),""))</f>
        <v/>
      </c>
    </row>
    <row r="1140" spans="10:12" x14ac:dyDescent="0.25">
      <c r="J1140" t="str">
        <f>IF(H1140="","",IFERROR(VLOOKUP(H1140,Listas!$J$2:$K$1048576,2,FALSE),""))</f>
        <v/>
      </c>
      <c r="K1140" s="5" t="str">
        <f>IF(OR(I1140="",G1140=""),"",IF(G1140="Saída",-I1140,I1140))</f>
        <v/>
      </c>
      <c r="L1140" t="str">
        <f>IF(E1140="","",IFERROR(VLOOKUP(E1140,Listas!$A$2:$C$1048576,3,FALSE),""))</f>
        <v/>
      </c>
    </row>
    <row r="1141" spans="10:12" x14ac:dyDescent="0.25">
      <c r="J1141" t="str">
        <f>IF(H1141="","",IFERROR(VLOOKUP(H1141,Listas!$J$2:$K$1048576,2,FALSE),""))</f>
        <v/>
      </c>
      <c r="K1141" s="5" t="str">
        <f>IF(OR(I1141="",G1141=""),"",IF(G1141="Saída",-I1141,I1141))</f>
        <v/>
      </c>
      <c r="L1141" t="str">
        <f>IF(E1141="","",IFERROR(VLOOKUP(E1141,Listas!$A$2:$C$1048576,3,FALSE),""))</f>
        <v/>
      </c>
    </row>
    <row r="1142" spans="10:12" x14ac:dyDescent="0.25">
      <c r="J1142" t="str">
        <f>IF(H1142="","",IFERROR(VLOOKUP(H1142,Listas!$J$2:$K$1048576,2,FALSE),""))</f>
        <v/>
      </c>
      <c r="K1142" s="5" t="str">
        <f>IF(OR(I1142="",G1142=""),"",IF(G1142="Saída",-I1142,I1142))</f>
        <v/>
      </c>
      <c r="L1142" t="str">
        <f>IF(E1142="","",IFERROR(VLOOKUP(E1142,Listas!$A$2:$C$1048576,3,FALSE),""))</f>
        <v/>
      </c>
    </row>
    <row r="1143" spans="10:12" x14ac:dyDescent="0.25">
      <c r="J1143" t="str">
        <f>IF(H1143="","",IFERROR(VLOOKUP(H1143,Listas!$J$2:$K$1048576,2,FALSE),""))</f>
        <v/>
      </c>
      <c r="K1143" s="5" t="str">
        <f>IF(OR(I1143="",G1143=""),"",IF(G1143="Saída",-I1143,I1143))</f>
        <v/>
      </c>
      <c r="L1143" t="str">
        <f>IF(E1143="","",IFERROR(VLOOKUP(E1143,Listas!$A$2:$C$1048576,3,FALSE),""))</f>
        <v/>
      </c>
    </row>
    <row r="1144" spans="10:12" x14ac:dyDescent="0.25">
      <c r="J1144" t="str">
        <f>IF(H1144="","",IFERROR(VLOOKUP(H1144,Listas!$J$2:$K$1048576,2,FALSE),""))</f>
        <v/>
      </c>
      <c r="K1144" s="5" t="str">
        <f>IF(OR(I1144="",G1144=""),"",IF(G1144="Saída",-I1144,I1144))</f>
        <v/>
      </c>
      <c r="L1144" t="str">
        <f>IF(E1144="","",IFERROR(VLOOKUP(E1144,Listas!$A$2:$C$1048576,3,FALSE),""))</f>
        <v/>
      </c>
    </row>
    <row r="1145" spans="10:12" x14ac:dyDescent="0.25">
      <c r="J1145" t="str">
        <f>IF(H1145="","",IFERROR(VLOOKUP(H1145,Listas!$J$2:$K$1048576,2,FALSE),""))</f>
        <v/>
      </c>
      <c r="K1145" s="5" t="str">
        <f>IF(OR(I1145="",G1145=""),"",IF(G1145="Saída",-I1145,I1145))</f>
        <v/>
      </c>
      <c r="L1145" t="str">
        <f>IF(E1145="","",IFERROR(VLOOKUP(E1145,Listas!$A$2:$C$1048576,3,FALSE),""))</f>
        <v/>
      </c>
    </row>
    <row r="1146" spans="10:12" x14ac:dyDescent="0.25">
      <c r="J1146" t="str">
        <f>IF(H1146="","",IFERROR(VLOOKUP(H1146,Listas!$J$2:$K$1048576,2,FALSE),""))</f>
        <v/>
      </c>
      <c r="K1146" s="5" t="str">
        <f>IF(OR(I1146="",G1146=""),"",IF(G1146="Saída",-I1146,I1146))</f>
        <v/>
      </c>
      <c r="L1146" t="str">
        <f>IF(E1146="","",IFERROR(VLOOKUP(E1146,Listas!$A$2:$C$1048576,3,FALSE),""))</f>
        <v/>
      </c>
    </row>
    <row r="1147" spans="10:12" x14ac:dyDescent="0.25">
      <c r="J1147" t="str">
        <f>IF(H1147="","",IFERROR(VLOOKUP(H1147,Listas!$J$2:$K$1048576,2,FALSE),""))</f>
        <v/>
      </c>
      <c r="K1147" s="5" t="str">
        <f>IF(OR(I1147="",G1147=""),"",IF(G1147="Saída",-I1147,I1147))</f>
        <v/>
      </c>
      <c r="L1147" t="str">
        <f>IF(E1147="","",IFERROR(VLOOKUP(E1147,Listas!$A$2:$C$1048576,3,FALSE),""))</f>
        <v/>
      </c>
    </row>
    <row r="1148" spans="10:12" x14ac:dyDescent="0.25">
      <c r="J1148" t="str">
        <f>IF(H1148="","",IFERROR(VLOOKUP(H1148,Listas!$J$2:$K$1048576,2,FALSE),""))</f>
        <v/>
      </c>
      <c r="K1148" s="5" t="str">
        <f>IF(OR(I1148="",G1148=""),"",IF(G1148="Saída",-I1148,I1148))</f>
        <v/>
      </c>
      <c r="L1148" t="str">
        <f>IF(E1148="","",IFERROR(VLOOKUP(E1148,Listas!$A$2:$C$1048576,3,FALSE),""))</f>
        <v/>
      </c>
    </row>
    <row r="1149" spans="10:12" x14ac:dyDescent="0.25">
      <c r="J1149" t="str">
        <f>IF(H1149="","",IFERROR(VLOOKUP(H1149,Listas!$J$2:$K$1048576,2,FALSE),""))</f>
        <v/>
      </c>
      <c r="K1149" s="5" t="str">
        <f>IF(OR(I1149="",G1149=""),"",IF(G1149="Saída",-I1149,I1149))</f>
        <v/>
      </c>
      <c r="L1149" t="str">
        <f>IF(E1149="","",IFERROR(VLOOKUP(E1149,Listas!$A$2:$C$1048576,3,FALSE),""))</f>
        <v/>
      </c>
    </row>
    <row r="1150" spans="10:12" x14ac:dyDescent="0.25">
      <c r="J1150" t="str">
        <f>IF(H1150="","",IFERROR(VLOOKUP(H1150,Listas!$J$2:$K$1048576,2,FALSE),""))</f>
        <v/>
      </c>
      <c r="K1150" s="5" t="str">
        <f>IF(OR(I1150="",G1150=""),"",IF(G1150="Saída",-I1150,I1150))</f>
        <v/>
      </c>
      <c r="L1150" t="str">
        <f>IF(E1150="","",IFERROR(VLOOKUP(E1150,Listas!$A$2:$C$1048576,3,FALSE),""))</f>
        <v/>
      </c>
    </row>
    <row r="1151" spans="10:12" x14ac:dyDescent="0.25">
      <c r="J1151" t="str">
        <f>IF(H1151="","",IFERROR(VLOOKUP(H1151,Listas!$J$2:$K$1048576,2,FALSE),""))</f>
        <v/>
      </c>
      <c r="K1151" s="5" t="str">
        <f>IF(OR(I1151="",G1151=""),"",IF(G1151="Saída",-I1151,I1151))</f>
        <v/>
      </c>
      <c r="L1151" t="str">
        <f>IF(E1151="","",IFERROR(VLOOKUP(E1151,Listas!$A$2:$C$1048576,3,FALSE),""))</f>
        <v/>
      </c>
    </row>
    <row r="1152" spans="10:12" x14ac:dyDescent="0.25">
      <c r="J1152" t="str">
        <f>IF(H1152="","",IFERROR(VLOOKUP(H1152,Listas!$J$2:$K$1048576,2,FALSE),""))</f>
        <v/>
      </c>
      <c r="K1152" s="5" t="str">
        <f>IF(OR(I1152="",G1152=""),"",IF(G1152="Saída",-I1152,I1152))</f>
        <v/>
      </c>
      <c r="L1152" t="str">
        <f>IF(E1152="","",IFERROR(VLOOKUP(E1152,Listas!$A$2:$C$1048576,3,FALSE),""))</f>
        <v/>
      </c>
    </row>
    <row r="1153" spans="10:12" x14ac:dyDescent="0.25">
      <c r="J1153" t="str">
        <f>IF(H1153="","",IFERROR(VLOOKUP(H1153,Listas!$J$2:$K$1048576,2,FALSE),""))</f>
        <v/>
      </c>
      <c r="K1153" s="5" t="str">
        <f>IF(OR(I1153="",G1153=""),"",IF(G1153="Saída",-I1153,I1153))</f>
        <v/>
      </c>
      <c r="L1153" t="str">
        <f>IF(E1153="","",IFERROR(VLOOKUP(E1153,Listas!$A$2:$C$1048576,3,FALSE),""))</f>
        <v/>
      </c>
    </row>
    <row r="1154" spans="10:12" x14ac:dyDescent="0.25">
      <c r="J1154" t="str">
        <f>IF(H1154="","",IFERROR(VLOOKUP(H1154,Listas!$J$2:$K$1048576,2,FALSE),""))</f>
        <v/>
      </c>
      <c r="K1154" s="5" t="str">
        <f>IF(OR(I1154="",G1154=""),"",IF(G1154="Saída",-I1154,I1154))</f>
        <v/>
      </c>
      <c r="L1154" t="str">
        <f>IF(E1154="","",IFERROR(VLOOKUP(E1154,Listas!$A$2:$C$1048576,3,FALSE),""))</f>
        <v/>
      </c>
    </row>
    <row r="1155" spans="10:12" x14ac:dyDescent="0.25">
      <c r="J1155" t="str">
        <f>IF(H1155="","",IFERROR(VLOOKUP(H1155,Listas!$J$2:$K$1048576,2,FALSE),""))</f>
        <v/>
      </c>
      <c r="K1155" s="5" t="str">
        <f>IF(OR(I1155="",G1155=""),"",IF(G1155="Saída",-I1155,I1155))</f>
        <v/>
      </c>
      <c r="L1155" t="str">
        <f>IF(E1155="","",IFERROR(VLOOKUP(E1155,Listas!$A$2:$C$1048576,3,FALSE),""))</f>
        <v/>
      </c>
    </row>
    <row r="1156" spans="10:12" x14ac:dyDescent="0.25">
      <c r="J1156" t="str">
        <f>IF(H1156="","",IFERROR(VLOOKUP(H1156,Listas!$J$2:$K$1048576,2,FALSE),""))</f>
        <v/>
      </c>
      <c r="K1156" s="5" t="str">
        <f>IF(OR(I1156="",G1156=""),"",IF(G1156="Saída",-I1156,I1156))</f>
        <v/>
      </c>
      <c r="L1156" t="str">
        <f>IF(E1156="","",IFERROR(VLOOKUP(E1156,Listas!$A$2:$C$1048576,3,FALSE),""))</f>
        <v/>
      </c>
    </row>
    <row r="1157" spans="10:12" x14ac:dyDescent="0.25">
      <c r="J1157" t="str">
        <f>IF(H1157="","",IFERROR(VLOOKUP(H1157,Listas!$J$2:$K$1048576,2,FALSE),""))</f>
        <v/>
      </c>
      <c r="K1157" s="5" t="str">
        <f>IF(OR(I1157="",G1157=""),"",IF(G1157="Saída",-I1157,I1157))</f>
        <v/>
      </c>
      <c r="L1157" t="str">
        <f>IF(E1157="","",IFERROR(VLOOKUP(E1157,Listas!$A$2:$C$1048576,3,FALSE),""))</f>
        <v/>
      </c>
    </row>
    <row r="1158" spans="10:12" x14ac:dyDescent="0.25">
      <c r="J1158" t="str">
        <f>IF(H1158="","",IFERROR(VLOOKUP(H1158,Listas!$J$2:$K$1048576,2,FALSE),""))</f>
        <v/>
      </c>
      <c r="K1158" s="5" t="str">
        <f>IF(OR(I1158="",G1158=""),"",IF(G1158="Saída",-I1158,I1158))</f>
        <v/>
      </c>
      <c r="L1158" t="str">
        <f>IF(E1158="","",IFERROR(VLOOKUP(E1158,Listas!$A$2:$C$1048576,3,FALSE),""))</f>
        <v/>
      </c>
    </row>
    <row r="1159" spans="10:12" x14ac:dyDescent="0.25">
      <c r="J1159" t="str">
        <f>IF(H1159="","",IFERROR(VLOOKUP(H1159,Listas!$J$2:$K$1048576,2,FALSE),""))</f>
        <v/>
      </c>
      <c r="K1159" s="5" t="str">
        <f>IF(OR(I1159="",G1159=""),"",IF(G1159="Saída",-I1159,I1159))</f>
        <v/>
      </c>
      <c r="L1159" t="str">
        <f>IF(E1159="","",IFERROR(VLOOKUP(E1159,Listas!$A$2:$C$1048576,3,FALSE),""))</f>
        <v/>
      </c>
    </row>
    <row r="1160" spans="10:12" x14ac:dyDescent="0.25">
      <c r="J1160" t="str">
        <f>IF(H1160="","",IFERROR(VLOOKUP(H1160,Listas!$J$2:$K$1048576,2,FALSE),""))</f>
        <v/>
      </c>
      <c r="K1160" s="5" t="str">
        <f>IF(OR(I1160="",G1160=""),"",IF(G1160="Saída",-I1160,I1160))</f>
        <v/>
      </c>
      <c r="L1160" t="str">
        <f>IF(E1160="","",IFERROR(VLOOKUP(E1160,Listas!$A$2:$C$1048576,3,FALSE),""))</f>
        <v/>
      </c>
    </row>
    <row r="1161" spans="10:12" x14ac:dyDescent="0.25">
      <c r="J1161" t="str">
        <f>IF(H1161="","",IFERROR(VLOOKUP(H1161,Listas!$J$2:$K$1048576,2,FALSE),""))</f>
        <v/>
      </c>
      <c r="K1161" s="5" t="str">
        <f>IF(OR(I1161="",G1161=""),"",IF(G1161="Saída",-I1161,I1161))</f>
        <v/>
      </c>
      <c r="L1161" t="str">
        <f>IF(E1161="","",IFERROR(VLOOKUP(E1161,Listas!$A$2:$C$1048576,3,FALSE),""))</f>
        <v/>
      </c>
    </row>
    <row r="1162" spans="10:12" x14ac:dyDescent="0.25">
      <c r="J1162" t="str">
        <f>IF(H1162="","",IFERROR(VLOOKUP(H1162,Listas!$J$2:$K$1048576,2,FALSE),""))</f>
        <v/>
      </c>
      <c r="K1162" s="5" t="str">
        <f>IF(OR(I1162="",G1162=""),"",IF(G1162="Saída",-I1162,I1162))</f>
        <v/>
      </c>
      <c r="L1162" t="str">
        <f>IF(E1162="","",IFERROR(VLOOKUP(E1162,Listas!$A$2:$C$1048576,3,FALSE),""))</f>
        <v/>
      </c>
    </row>
    <row r="1163" spans="10:12" x14ac:dyDescent="0.25">
      <c r="J1163" t="str">
        <f>IF(H1163="","",IFERROR(VLOOKUP(H1163,Listas!$J$2:$K$1048576,2,FALSE),""))</f>
        <v/>
      </c>
      <c r="K1163" s="5" t="str">
        <f>IF(OR(I1163="",G1163=""),"",IF(G1163="Saída",-I1163,I1163))</f>
        <v/>
      </c>
      <c r="L1163" t="str">
        <f>IF(E1163="","",IFERROR(VLOOKUP(E1163,Listas!$A$2:$C$1048576,3,FALSE),""))</f>
        <v/>
      </c>
    </row>
    <row r="1164" spans="10:12" x14ac:dyDescent="0.25">
      <c r="J1164" t="str">
        <f>IF(H1164="","",IFERROR(VLOOKUP(H1164,Listas!$J$2:$K$1048576,2,FALSE),""))</f>
        <v/>
      </c>
      <c r="K1164" s="5" t="str">
        <f>IF(OR(I1164="",G1164=""),"",IF(G1164="Saída",-I1164,I1164))</f>
        <v/>
      </c>
      <c r="L1164" t="str">
        <f>IF(E1164="","",IFERROR(VLOOKUP(E1164,Listas!$A$2:$C$1048576,3,FALSE),""))</f>
        <v/>
      </c>
    </row>
    <row r="1165" spans="10:12" x14ac:dyDescent="0.25">
      <c r="J1165" t="str">
        <f>IF(H1165="","",IFERROR(VLOOKUP(H1165,Listas!$J$2:$K$1048576,2,FALSE),""))</f>
        <v/>
      </c>
      <c r="K1165" s="5" t="str">
        <f>IF(OR(I1165="",G1165=""),"",IF(G1165="Saída",-I1165,I1165))</f>
        <v/>
      </c>
      <c r="L1165" t="str">
        <f>IF(E1165="","",IFERROR(VLOOKUP(E1165,Listas!$A$2:$C$1048576,3,FALSE),""))</f>
        <v/>
      </c>
    </row>
    <row r="1166" spans="10:12" x14ac:dyDescent="0.25">
      <c r="J1166" t="str">
        <f>IF(H1166="","",IFERROR(VLOOKUP(H1166,Listas!$J$2:$K$1048576,2,FALSE),""))</f>
        <v/>
      </c>
      <c r="K1166" s="5" t="str">
        <f>IF(OR(I1166="",G1166=""),"",IF(G1166="Saída",-I1166,I1166))</f>
        <v/>
      </c>
      <c r="L1166" t="str">
        <f>IF(E1166="","",IFERROR(VLOOKUP(E1166,Listas!$A$2:$C$1048576,3,FALSE),""))</f>
        <v/>
      </c>
    </row>
    <row r="1167" spans="10:12" x14ac:dyDescent="0.25">
      <c r="J1167" t="str">
        <f>IF(H1167="","",IFERROR(VLOOKUP(H1167,Listas!$J$2:$K$1048576,2,FALSE),""))</f>
        <v/>
      </c>
      <c r="K1167" s="5" t="str">
        <f>IF(OR(I1167="",G1167=""),"",IF(G1167="Saída",-I1167,I1167))</f>
        <v/>
      </c>
      <c r="L1167" t="str">
        <f>IF(E1167="","",IFERROR(VLOOKUP(E1167,Listas!$A$2:$C$1048576,3,FALSE),""))</f>
        <v/>
      </c>
    </row>
    <row r="1168" spans="10:12" x14ac:dyDescent="0.25">
      <c r="J1168" t="str">
        <f>IF(H1168="","",IFERROR(VLOOKUP(H1168,Listas!$J$2:$K$1048576,2,FALSE),""))</f>
        <v/>
      </c>
      <c r="K1168" s="5" t="str">
        <f>IF(OR(I1168="",G1168=""),"",IF(G1168="Saída",-I1168,I1168))</f>
        <v/>
      </c>
      <c r="L1168" t="str">
        <f>IF(E1168="","",IFERROR(VLOOKUP(E1168,Listas!$A$2:$C$1048576,3,FALSE),""))</f>
        <v/>
      </c>
    </row>
    <row r="1169" spans="10:12" x14ac:dyDescent="0.25">
      <c r="J1169" t="str">
        <f>IF(H1169="","",IFERROR(VLOOKUP(H1169,Listas!$J$2:$K$1048576,2,FALSE),""))</f>
        <v/>
      </c>
      <c r="K1169" s="5" t="str">
        <f>IF(OR(I1169="",G1169=""),"",IF(G1169="Saída",-I1169,I1169))</f>
        <v/>
      </c>
      <c r="L1169" t="str">
        <f>IF(E1169="","",IFERROR(VLOOKUP(E1169,Listas!$A$2:$C$1048576,3,FALSE),""))</f>
        <v/>
      </c>
    </row>
    <row r="1170" spans="10:12" x14ac:dyDescent="0.25">
      <c r="J1170" t="str">
        <f>IF(H1170="","",IFERROR(VLOOKUP(H1170,Listas!$J$2:$K$1048576,2,FALSE),""))</f>
        <v/>
      </c>
      <c r="K1170" s="5" t="str">
        <f>IF(OR(I1170="",G1170=""),"",IF(G1170="Saída",-I1170,I1170))</f>
        <v/>
      </c>
      <c r="L1170" t="str">
        <f>IF(E1170="","",IFERROR(VLOOKUP(E1170,Listas!$A$2:$C$1048576,3,FALSE),""))</f>
        <v/>
      </c>
    </row>
    <row r="1171" spans="10:12" x14ac:dyDescent="0.25">
      <c r="J1171" t="str">
        <f>IF(H1171="","",IFERROR(VLOOKUP(H1171,Listas!$J$2:$K$1048576,2,FALSE),""))</f>
        <v/>
      </c>
      <c r="K1171" s="5" t="str">
        <f>IF(OR(I1171="",G1171=""),"",IF(G1171="Saída",-I1171,I1171))</f>
        <v/>
      </c>
      <c r="L1171" t="str">
        <f>IF(E1171="","",IFERROR(VLOOKUP(E1171,Listas!$A$2:$C$1048576,3,FALSE),""))</f>
        <v/>
      </c>
    </row>
    <row r="1172" spans="10:12" x14ac:dyDescent="0.25">
      <c r="J1172" t="str">
        <f>IF(H1172="","",IFERROR(VLOOKUP(H1172,Listas!$J$2:$K$1048576,2,FALSE),""))</f>
        <v/>
      </c>
      <c r="K1172" s="5" t="str">
        <f>IF(OR(I1172="",G1172=""),"",IF(G1172="Saída",-I1172,I1172))</f>
        <v/>
      </c>
      <c r="L1172" t="str">
        <f>IF(E1172="","",IFERROR(VLOOKUP(E1172,Listas!$A$2:$C$1048576,3,FALSE),""))</f>
        <v/>
      </c>
    </row>
    <row r="1173" spans="10:12" x14ac:dyDescent="0.25">
      <c r="J1173" t="str">
        <f>IF(H1173="","",IFERROR(VLOOKUP(H1173,Listas!$J$2:$K$1048576,2,FALSE),""))</f>
        <v/>
      </c>
      <c r="K1173" s="5" t="str">
        <f>IF(OR(I1173="",G1173=""),"",IF(G1173="Saída",-I1173,I1173))</f>
        <v/>
      </c>
      <c r="L1173" t="str">
        <f>IF(E1173="","",IFERROR(VLOOKUP(E1173,Listas!$A$2:$C$1048576,3,FALSE),""))</f>
        <v/>
      </c>
    </row>
    <row r="1174" spans="10:12" x14ac:dyDescent="0.25">
      <c r="J1174" t="str">
        <f>IF(H1174="","",IFERROR(VLOOKUP(H1174,Listas!$J$2:$K$1048576,2,FALSE),""))</f>
        <v/>
      </c>
      <c r="K1174" s="5" t="str">
        <f>IF(OR(I1174="",G1174=""),"",IF(G1174="Saída",-I1174,I1174))</f>
        <v/>
      </c>
      <c r="L1174" t="str">
        <f>IF(E1174="","",IFERROR(VLOOKUP(E1174,Listas!$A$2:$C$1048576,3,FALSE),""))</f>
        <v/>
      </c>
    </row>
    <row r="1175" spans="10:12" x14ac:dyDescent="0.25">
      <c r="J1175" t="str">
        <f>IF(H1175="","",IFERROR(VLOOKUP(H1175,Listas!$J$2:$K$1048576,2,FALSE),""))</f>
        <v/>
      </c>
      <c r="K1175" s="5" t="str">
        <f>IF(OR(I1175="",G1175=""),"",IF(G1175="Saída",-I1175,I1175))</f>
        <v/>
      </c>
      <c r="L1175" t="str">
        <f>IF(E1175="","",IFERROR(VLOOKUP(E1175,Listas!$A$2:$C$1048576,3,FALSE),""))</f>
        <v/>
      </c>
    </row>
    <row r="1176" spans="10:12" x14ac:dyDescent="0.25">
      <c r="J1176" t="str">
        <f>IF(H1176="","",IFERROR(VLOOKUP(H1176,Listas!$J$2:$K$1048576,2,FALSE),""))</f>
        <v/>
      </c>
      <c r="K1176" s="5" t="str">
        <f>IF(OR(I1176="",G1176=""),"",IF(G1176="Saída",-I1176,I1176))</f>
        <v/>
      </c>
      <c r="L1176" t="str">
        <f>IF(E1176="","",IFERROR(VLOOKUP(E1176,Listas!$A$2:$C$1048576,3,FALSE),""))</f>
        <v/>
      </c>
    </row>
    <row r="1177" spans="10:12" x14ac:dyDescent="0.25">
      <c r="J1177" t="str">
        <f>IF(H1177="","",IFERROR(VLOOKUP(H1177,Listas!$J$2:$K$1048576,2,FALSE),""))</f>
        <v/>
      </c>
      <c r="K1177" s="5" t="str">
        <f>IF(OR(I1177="",G1177=""),"",IF(G1177="Saída",-I1177,I1177))</f>
        <v/>
      </c>
      <c r="L1177" t="str">
        <f>IF(E1177="","",IFERROR(VLOOKUP(E1177,Listas!$A$2:$C$1048576,3,FALSE),""))</f>
        <v/>
      </c>
    </row>
    <row r="1178" spans="10:12" x14ac:dyDescent="0.25">
      <c r="J1178" t="str">
        <f>IF(H1178="","",IFERROR(VLOOKUP(H1178,Listas!$J$2:$K$1048576,2,FALSE),""))</f>
        <v/>
      </c>
      <c r="K1178" s="5" t="str">
        <f>IF(OR(I1178="",G1178=""),"",IF(G1178="Saída",-I1178,I1178))</f>
        <v/>
      </c>
      <c r="L1178" t="str">
        <f>IF(E1178="","",IFERROR(VLOOKUP(E1178,Listas!$A$2:$C$1048576,3,FALSE),""))</f>
        <v/>
      </c>
    </row>
    <row r="1179" spans="10:12" x14ac:dyDescent="0.25">
      <c r="J1179" t="str">
        <f>IF(H1179="","",IFERROR(VLOOKUP(H1179,Listas!$J$2:$K$1048576,2,FALSE),""))</f>
        <v/>
      </c>
      <c r="K1179" s="5" t="str">
        <f>IF(OR(I1179="",G1179=""),"",IF(G1179="Saída",-I1179,I1179))</f>
        <v/>
      </c>
      <c r="L1179" t="str">
        <f>IF(E1179="","",IFERROR(VLOOKUP(E1179,Listas!$A$2:$C$1048576,3,FALSE),""))</f>
        <v/>
      </c>
    </row>
    <row r="1180" spans="10:12" x14ac:dyDescent="0.25">
      <c r="J1180" t="str">
        <f>IF(H1180="","",IFERROR(VLOOKUP(H1180,Listas!$J$2:$K$1048576,2,FALSE),""))</f>
        <v/>
      </c>
      <c r="K1180" s="5" t="str">
        <f>IF(OR(I1180="",G1180=""),"",IF(G1180="Saída",-I1180,I1180))</f>
        <v/>
      </c>
      <c r="L1180" t="str">
        <f>IF(E1180="","",IFERROR(VLOOKUP(E1180,Listas!$A$2:$C$1048576,3,FALSE),""))</f>
        <v/>
      </c>
    </row>
    <row r="1181" spans="10:12" x14ac:dyDescent="0.25">
      <c r="J1181" t="str">
        <f>IF(H1181="","",IFERROR(VLOOKUP(H1181,Listas!$J$2:$K$1048576,2,FALSE),""))</f>
        <v/>
      </c>
      <c r="K1181" s="5" t="str">
        <f>IF(OR(I1181="",G1181=""),"",IF(G1181="Saída",-I1181,I1181))</f>
        <v/>
      </c>
      <c r="L1181" t="str">
        <f>IF(E1181="","",IFERROR(VLOOKUP(E1181,Listas!$A$2:$C$1048576,3,FALSE),""))</f>
        <v/>
      </c>
    </row>
    <row r="1182" spans="10:12" x14ac:dyDescent="0.25">
      <c r="J1182" t="str">
        <f>IF(H1182="","",IFERROR(VLOOKUP(H1182,Listas!$J$2:$K$1048576,2,FALSE),""))</f>
        <v/>
      </c>
      <c r="K1182" s="5" t="str">
        <f>IF(OR(I1182="",G1182=""),"",IF(G1182="Saída",-I1182,I1182))</f>
        <v/>
      </c>
      <c r="L1182" t="str">
        <f>IF(E1182="","",IFERROR(VLOOKUP(E1182,Listas!$A$2:$C$1048576,3,FALSE),""))</f>
        <v/>
      </c>
    </row>
    <row r="1183" spans="10:12" x14ac:dyDescent="0.25">
      <c r="J1183" t="str">
        <f>IF(H1183="","",IFERROR(VLOOKUP(H1183,Listas!$J$2:$K$1048576,2,FALSE),""))</f>
        <v/>
      </c>
      <c r="K1183" s="5" t="str">
        <f>IF(OR(I1183="",G1183=""),"",IF(G1183="Saída",-I1183,I1183))</f>
        <v/>
      </c>
      <c r="L1183" t="str">
        <f>IF(E1183="","",IFERROR(VLOOKUP(E1183,Listas!$A$2:$C$1048576,3,FALSE),""))</f>
        <v/>
      </c>
    </row>
    <row r="1184" spans="10:12" x14ac:dyDescent="0.25">
      <c r="J1184" t="str">
        <f>IF(H1184="","",IFERROR(VLOOKUP(H1184,Listas!$J$2:$K$1048576,2,FALSE),""))</f>
        <v/>
      </c>
      <c r="K1184" s="5" t="str">
        <f>IF(OR(I1184="",G1184=""),"",IF(G1184="Saída",-I1184,I1184))</f>
        <v/>
      </c>
      <c r="L1184" t="str">
        <f>IF(E1184="","",IFERROR(VLOOKUP(E1184,Listas!$A$2:$C$1048576,3,FALSE),""))</f>
        <v/>
      </c>
    </row>
    <row r="1185" spans="10:12" x14ac:dyDescent="0.25">
      <c r="J1185" t="str">
        <f>IF(H1185="","",IFERROR(VLOOKUP(H1185,Listas!$J$2:$K$1048576,2,FALSE),""))</f>
        <v/>
      </c>
      <c r="K1185" s="5" t="str">
        <f>IF(OR(I1185="",G1185=""),"",IF(G1185="Saída",-I1185,I1185))</f>
        <v/>
      </c>
      <c r="L1185" t="str">
        <f>IF(E1185="","",IFERROR(VLOOKUP(E1185,Listas!$A$2:$C$1048576,3,FALSE),""))</f>
        <v/>
      </c>
    </row>
    <row r="1186" spans="10:12" x14ac:dyDescent="0.25">
      <c r="J1186" t="str">
        <f>IF(H1186="","",IFERROR(VLOOKUP(H1186,Listas!$J$2:$K$1048576,2,FALSE),""))</f>
        <v/>
      </c>
      <c r="K1186" s="5" t="str">
        <f>IF(OR(I1186="",G1186=""),"",IF(G1186="Saída",-I1186,I1186))</f>
        <v/>
      </c>
      <c r="L1186" t="str">
        <f>IF(E1186="","",IFERROR(VLOOKUP(E1186,Listas!$A$2:$C$1048576,3,FALSE),""))</f>
        <v/>
      </c>
    </row>
    <row r="1187" spans="10:12" x14ac:dyDescent="0.25">
      <c r="J1187" t="str">
        <f>IF(H1187="","",IFERROR(VLOOKUP(H1187,Listas!$J$2:$K$1048576,2,FALSE),""))</f>
        <v/>
      </c>
      <c r="K1187" s="5" t="str">
        <f>IF(OR(I1187="",G1187=""),"",IF(G1187="Saída",-I1187,I1187))</f>
        <v/>
      </c>
      <c r="L1187" t="str">
        <f>IF(E1187="","",IFERROR(VLOOKUP(E1187,Listas!$A$2:$C$1048576,3,FALSE),""))</f>
        <v/>
      </c>
    </row>
    <row r="1188" spans="10:12" x14ac:dyDescent="0.25">
      <c r="J1188" t="str">
        <f>IF(H1188="","",IFERROR(VLOOKUP(H1188,Listas!$J$2:$K$1048576,2,FALSE),""))</f>
        <v/>
      </c>
      <c r="K1188" s="5" t="str">
        <f>IF(OR(I1188="",G1188=""),"",IF(G1188="Saída",-I1188,I1188))</f>
        <v/>
      </c>
      <c r="L1188" t="str">
        <f>IF(E1188="","",IFERROR(VLOOKUP(E1188,Listas!$A$2:$C$1048576,3,FALSE),""))</f>
        <v/>
      </c>
    </row>
    <row r="1189" spans="10:12" x14ac:dyDescent="0.25">
      <c r="J1189" t="str">
        <f>IF(H1189="","",IFERROR(VLOOKUP(H1189,Listas!$J$2:$K$1048576,2,FALSE),""))</f>
        <v/>
      </c>
      <c r="K1189" s="5" t="str">
        <f>IF(OR(I1189="",G1189=""),"",IF(G1189="Saída",-I1189,I1189))</f>
        <v/>
      </c>
      <c r="L1189" t="str">
        <f>IF(E1189="","",IFERROR(VLOOKUP(E1189,Listas!$A$2:$C$1048576,3,FALSE),""))</f>
        <v/>
      </c>
    </row>
    <row r="1190" spans="10:12" x14ac:dyDescent="0.25">
      <c r="J1190" t="str">
        <f>IF(H1190="","",IFERROR(VLOOKUP(H1190,Listas!$J$2:$K$1048576,2,FALSE),""))</f>
        <v/>
      </c>
      <c r="K1190" s="5" t="str">
        <f>IF(OR(I1190="",G1190=""),"",IF(G1190="Saída",-I1190,I1190))</f>
        <v/>
      </c>
      <c r="L1190" t="str">
        <f>IF(E1190="","",IFERROR(VLOOKUP(E1190,Listas!$A$2:$C$1048576,3,FALSE),""))</f>
        <v/>
      </c>
    </row>
    <row r="1191" spans="10:12" x14ac:dyDescent="0.25">
      <c r="J1191" t="str">
        <f>IF(H1191="","",IFERROR(VLOOKUP(H1191,Listas!$J$2:$K$1048576,2,FALSE),""))</f>
        <v/>
      </c>
      <c r="K1191" s="5" t="str">
        <f>IF(OR(I1191="",G1191=""),"",IF(G1191="Saída",-I1191,I1191))</f>
        <v/>
      </c>
      <c r="L1191" t="str">
        <f>IF(E1191="","",IFERROR(VLOOKUP(E1191,Listas!$A$2:$C$1048576,3,FALSE),""))</f>
        <v/>
      </c>
    </row>
    <row r="1192" spans="10:12" x14ac:dyDescent="0.25">
      <c r="J1192" t="str">
        <f>IF(H1192="","",IFERROR(VLOOKUP(H1192,Listas!$J$2:$K$1048576,2,FALSE),""))</f>
        <v/>
      </c>
      <c r="K1192" s="5" t="str">
        <f>IF(OR(I1192="",G1192=""),"",IF(G1192="Saída",-I1192,I1192))</f>
        <v/>
      </c>
      <c r="L1192" t="str">
        <f>IF(E1192="","",IFERROR(VLOOKUP(E1192,Listas!$A$2:$C$1048576,3,FALSE),""))</f>
        <v/>
      </c>
    </row>
    <row r="1193" spans="10:12" x14ac:dyDescent="0.25">
      <c r="J1193" t="str">
        <f>IF(H1193="","",IFERROR(VLOOKUP(H1193,Listas!$J$2:$K$1048576,2,FALSE),""))</f>
        <v/>
      </c>
      <c r="K1193" s="5" t="str">
        <f>IF(OR(I1193="",G1193=""),"",IF(G1193="Saída",-I1193,I1193))</f>
        <v/>
      </c>
      <c r="L1193" t="str">
        <f>IF(E1193="","",IFERROR(VLOOKUP(E1193,Listas!$A$2:$C$1048576,3,FALSE),""))</f>
        <v/>
      </c>
    </row>
    <row r="1194" spans="10:12" x14ac:dyDescent="0.25">
      <c r="J1194" t="str">
        <f>IF(H1194="","",IFERROR(VLOOKUP(H1194,Listas!$J$2:$K$1048576,2,FALSE),""))</f>
        <v/>
      </c>
      <c r="K1194" s="5" t="str">
        <f>IF(OR(I1194="",G1194=""),"",IF(G1194="Saída",-I1194,I1194))</f>
        <v/>
      </c>
      <c r="L1194" t="str">
        <f>IF(E1194="","",IFERROR(VLOOKUP(E1194,Listas!$A$2:$C$1048576,3,FALSE),""))</f>
        <v/>
      </c>
    </row>
    <row r="1195" spans="10:12" x14ac:dyDescent="0.25">
      <c r="J1195" t="str">
        <f>IF(H1195="","",IFERROR(VLOOKUP(H1195,Listas!$J$2:$K$1048576,2,FALSE),""))</f>
        <v/>
      </c>
      <c r="K1195" s="5" t="str">
        <f>IF(OR(I1195="",G1195=""),"",IF(G1195="Saída",-I1195,I1195))</f>
        <v/>
      </c>
      <c r="L1195" t="str">
        <f>IF(E1195="","",IFERROR(VLOOKUP(E1195,Listas!$A$2:$C$1048576,3,FALSE),""))</f>
        <v/>
      </c>
    </row>
    <row r="1196" spans="10:12" x14ac:dyDescent="0.25">
      <c r="J1196" t="str">
        <f>IF(H1196="","",IFERROR(VLOOKUP(H1196,Listas!$J$2:$K$1048576,2,FALSE),""))</f>
        <v/>
      </c>
      <c r="K1196" s="5" t="str">
        <f>IF(OR(I1196="",G1196=""),"",IF(G1196="Saída",-I1196,I1196))</f>
        <v/>
      </c>
      <c r="L1196" t="str">
        <f>IF(E1196="","",IFERROR(VLOOKUP(E1196,Listas!$A$2:$C$1048576,3,FALSE),""))</f>
        <v/>
      </c>
    </row>
    <row r="1197" spans="10:12" x14ac:dyDescent="0.25">
      <c r="J1197" t="str">
        <f>IF(H1197="","",IFERROR(VLOOKUP(H1197,Listas!$J$2:$K$1048576,2,FALSE),""))</f>
        <v/>
      </c>
      <c r="K1197" s="5" t="str">
        <f>IF(OR(I1197="",G1197=""),"",IF(G1197="Saída",-I1197,I1197))</f>
        <v/>
      </c>
      <c r="L1197" t="str">
        <f>IF(E1197="","",IFERROR(VLOOKUP(E1197,Listas!$A$2:$C$1048576,3,FALSE),""))</f>
        <v/>
      </c>
    </row>
    <row r="1198" spans="10:12" x14ac:dyDescent="0.25">
      <c r="J1198" t="str">
        <f>IF(H1198="","",IFERROR(VLOOKUP(H1198,Listas!$J$2:$K$1048576,2,FALSE),""))</f>
        <v/>
      </c>
      <c r="K1198" s="5" t="str">
        <f>IF(OR(I1198="",G1198=""),"",IF(G1198="Saída",-I1198,I1198))</f>
        <v/>
      </c>
      <c r="L1198" t="str">
        <f>IF(E1198="","",IFERROR(VLOOKUP(E1198,Listas!$A$2:$C$1048576,3,FALSE),""))</f>
        <v/>
      </c>
    </row>
    <row r="1199" spans="10:12" x14ac:dyDescent="0.25">
      <c r="J1199" t="str">
        <f>IF(H1199="","",IFERROR(VLOOKUP(H1199,Listas!$J$2:$K$1048576,2,FALSE),""))</f>
        <v/>
      </c>
      <c r="K1199" s="5" t="str">
        <f>IF(OR(I1199="",G1199=""),"",IF(G1199="Saída",-I1199,I1199))</f>
        <v/>
      </c>
      <c r="L1199" t="str">
        <f>IF(E1199="","",IFERROR(VLOOKUP(E1199,Listas!$A$2:$C$1048576,3,FALSE),""))</f>
        <v/>
      </c>
    </row>
    <row r="1200" spans="10:12" x14ac:dyDescent="0.25">
      <c r="J1200" t="str">
        <f>IF(H1200="","",IFERROR(VLOOKUP(H1200,Listas!$J$2:$K$1048576,2,FALSE),""))</f>
        <v/>
      </c>
      <c r="K1200" s="5" t="str">
        <f>IF(OR(I1200="",G1200=""),"",IF(G1200="Saída",-I1200,I1200))</f>
        <v/>
      </c>
      <c r="L1200" t="str">
        <f>IF(E1200="","",IFERROR(VLOOKUP(E1200,Listas!$A$2:$C$1048576,3,FALSE),""))</f>
        <v/>
      </c>
    </row>
    <row r="1201" spans="10:12" x14ac:dyDescent="0.25">
      <c r="J1201" t="str">
        <f>IF(H1201="","",IFERROR(VLOOKUP(H1201,Listas!$J$2:$K$1048576,2,FALSE),""))</f>
        <v/>
      </c>
      <c r="K1201" s="5" t="str">
        <f>IF(OR(I1201="",G1201=""),"",IF(G1201="Saída",-I1201,I1201))</f>
        <v/>
      </c>
      <c r="L1201" t="str">
        <f>IF(E1201="","",IFERROR(VLOOKUP(E1201,Listas!$A$2:$C$1048576,3,FALSE),""))</f>
        <v/>
      </c>
    </row>
    <row r="1202" spans="10:12" x14ac:dyDescent="0.25">
      <c r="J1202" t="str">
        <f>IF(H1202="","",IFERROR(VLOOKUP(H1202,Listas!$J$2:$K$1048576,2,FALSE),""))</f>
        <v/>
      </c>
      <c r="K1202" s="5" t="str">
        <f>IF(OR(I1202="",G1202=""),"",IF(G1202="Saída",-I1202,I1202))</f>
        <v/>
      </c>
      <c r="L1202" t="str">
        <f>IF(E1202="","",IFERROR(VLOOKUP(E1202,Listas!$A$2:$C$1048576,3,FALSE),""))</f>
        <v/>
      </c>
    </row>
    <row r="1203" spans="10:12" x14ac:dyDescent="0.25">
      <c r="J1203" t="str">
        <f>IF(H1203="","",IFERROR(VLOOKUP(H1203,Listas!$J$2:$K$1048576,2,FALSE),""))</f>
        <v/>
      </c>
      <c r="K1203" s="5" t="str">
        <f>IF(OR(I1203="",G1203=""),"",IF(G1203="Saída",-I1203,I1203))</f>
        <v/>
      </c>
      <c r="L1203" t="str">
        <f>IF(E1203="","",IFERROR(VLOOKUP(E1203,Listas!$A$2:$C$1048576,3,FALSE),""))</f>
        <v/>
      </c>
    </row>
    <row r="1204" spans="10:12" x14ac:dyDescent="0.25">
      <c r="J1204" t="str">
        <f>IF(H1204="","",IFERROR(VLOOKUP(H1204,Listas!$J$2:$K$1048576,2,FALSE),""))</f>
        <v/>
      </c>
      <c r="K1204" s="5" t="str">
        <f>IF(OR(I1204="",G1204=""),"",IF(G1204="Saída",-I1204,I1204))</f>
        <v/>
      </c>
      <c r="L1204" t="str">
        <f>IF(E1204="","",IFERROR(VLOOKUP(E1204,Listas!$A$2:$C$1048576,3,FALSE),""))</f>
        <v/>
      </c>
    </row>
    <row r="1205" spans="10:12" x14ac:dyDescent="0.25">
      <c r="J1205" t="str">
        <f>IF(H1205="","",IFERROR(VLOOKUP(H1205,Listas!$J$2:$K$1048576,2,FALSE),""))</f>
        <v/>
      </c>
      <c r="K1205" s="5" t="str">
        <f>IF(OR(I1205="",G1205=""),"",IF(G1205="Saída",-I1205,I1205))</f>
        <v/>
      </c>
      <c r="L1205" t="str">
        <f>IF(E1205="","",IFERROR(VLOOKUP(E1205,Listas!$A$2:$C$1048576,3,FALSE),""))</f>
        <v/>
      </c>
    </row>
    <row r="1206" spans="10:12" x14ac:dyDescent="0.25">
      <c r="J1206" t="str">
        <f>IF(H1206="","",IFERROR(VLOOKUP(H1206,Listas!$J$2:$K$1048576,2,FALSE),""))</f>
        <v/>
      </c>
      <c r="K1206" s="5" t="str">
        <f>IF(OR(I1206="",G1206=""),"",IF(G1206="Saída",-I1206,I1206))</f>
        <v/>
      </c>
      <c r="L1206" t="str">
        <f>IF(E1206="","",IFERROR(VLOOKUP(E1206,Listas!$A$2:$C$1048576,3,FALSE),""))</f>
        <v/>
      </c>
    </row>
    <row r="1207" spans="10:12" x14ac:dyDescent="0.25">
      <c r="J1207" t="str">
        <f>IF(H1207="","",IFERROR(VLOOKUP(H1207,Listas!$J$2:$K$1048576,2,FALSE),""))</f>
        <v/>
      </c>
      <c r="K1207" s="5" t="str">
        <f>IF(OR(I1207="",G1207=""),"",IF(G1207="Saída",-I1207,I1207))</f>
        <v/>
      </c>
      <c r="L1207" t="str">
        <f>IF(E1207="","",IFERROR(VLOOKUP(E1207,Listas!$A$2:$C$1048576,3,FALSE),""))</f>
        <v/>
      </c>
    </row>
    <row r="1208" spans="10:12" x14ac:dyDescent="0.25">
      <c r="J1208" t="str">
        <f>IF(H1208="","",IFERROR(VLOOKUP(H1208,Listas!$J$2:$K$1048576,2,FALSE),""))</f>
        <v/>
      </c>
      <c r="K1208" s="5" t="str">
        <f>IF(OR(I1208="",G1208=""),"",IF(G1208="Saída",-I1208,I1208))</f>
        <v/>
      </c>
      <c r="L1208" t="str">
        <f>IF(E1208="","",IFERROR(VLOOKUP(E1208,Listas!$A$2:$C$1048576,3,FALSE),""))</f>
        <v/>
      </c>
    </row>
    <row r="1209" spans="10:12" x14ac:dyDescent="0.25">
      <c r="J1209" t="str">
        <f>IF(H1209="","",IFERROR(VLOOKUP(H1209,Listas!$J$2:$K$1048576,2,FALSE),""))</f>
        <v/>
      </c>
      <c r="K1209" s="5" t="str">
        <f>IF(OR(I1209="",G1209=""),"",IF(G1209="Saída",-I1209,I1209))</f>
        <v/>
      </c>
      <c r="L1209" t="str">
        <f>IF(E1209="","",IFERROR(VLOOKUP(E1209,Listas!$A$2:$C$1048576,3,FALSE),""))</f>
        <v/>
      </c>
    </row>
    <row r="1210" spans="10:12" x14ac:dyDescent="0.25">
      <c r="J1210" t="str">
        <f>IF(H1210="","",IFERROR(VLOOKUP(H1210,Listas!$J$2:$K$1048576,2,FALSE),""))</f>
        <v/>
      </c>
      <c r="K1210" s="5" t="str">
        <f>IF(OR(I1210="",G1210=""),"",IF(G1210="Saída",-I1210,I1210))</f>
        <v/>
      </c>
      <c r="L1210" t="str">
        <f>IF(E1210="","",IFERROR(VLOOKUP(E1210,Listas!$A$2:$C$1048576,3,FALSE),""))</f>
        <v/>
      </c>
    </row>
    <row r="1211" spans="10:12" x14ac:dyDescent="0.25">
      <c r="J1211" t="str">
        <f>IF(H1211="","",IFERROR(VLOOKUP(H1211,Listas!$J$2:$K$1048576,2,FALSE),""))</f>
        <v/>
      </c>
      <c r="K1211" s="5" t="str">
        <f>IF(OR(I1211="",G1211=""),"",IF(G1211="Saída",-I1211,I1211))</f>
        <v/>
      </c>
      <c r="L1211" t="str">
        <f>IF(E1211="","",IFERROR(VLOOKUP(E1211,Listas!$A$2:$C$1048576,3,FALSE),""))</f>
        <v/>
      </c>
    </row>
    <row r="1212" spans="10:12" x14ac:dyDescent="0.25">
      <c r="J1212" t="str">
        <f>IF(H1212="","",IFERROR(VLOOKUP(H1212,Listas!$J$2:$K$1048576,2,FALSE),""))</f>
        <v/>
      </c>
      <c r="K1212" s="5" t="str">
        <f>IF(OR(I1212="",G1212=""),"",IF(G1212="Saída",-I1212,I1212))</f>
        <v/>
      </c>
      <c r="L1212" t="str">
        <f>IF(E1212="","",IFERROR(VLOOKUP(E1212,Listas!$A$2:$C$1048576,3,FALSE),""))</f>
        <v/>
      </c>
    </row>
    <row r="1213" spans="10:12" x14ac:dyDescent="0.25">
      <c r="J1213" t="str">
        <f>IF(H1213="","",IFERROR(VLOOKUP(H1213,Listas!$J$2:$K$1048576,2,FALSE),""))</f>
        <v/>
      </c>
      <c r="K1213" s="5" t="str">
        <f>IF(OR(I1213="",G1213=""),"",IF(G1213="Saída",-I1213,I1213))</f>
        <v/>
      </c>
      <c r="L1213" t="str">
        <f>IF(E1213="","",IFERROR(VLOOKUP(E1213,Listas!$A$2:$C$1048576,3,FALSE),""))</f>
        <v/>
      </c>
    </row>
    <row r="1214" spans="10:12" x14ac:dyDescent="0.25">
      <c r="J1214" t="str">
        <f>IF(H1214="","",IFERROR(VLOOKUP(H1214,Listas!$J$2:$K$1048576,2,FALSE),""))</f>
        <v/>
      </c>
      <c r="K1214" s="5" t="str">
        <f>IF(OR(I1214="",G1214=""),"",IF(G1214="Saída",-I1214,I1214))</f>
        <v/>
      </c>
      <c r="L1214" t="str">
        <f>IF(E1214="","",IFERROR(VLOOKUP(E1214,Listas!$A$2:$C$1048576,3,FALSE),""))</f>
        <v/>
      </c>
    </row>
    <row r="1215" spans="10:12" x14ac:dyDescent="0.25">
      <c r="J1215" t="str">
        <f>IF(H1215="","",IFERROR(VLOOKUP(H1215,Listas!$J$2:$K$1048576,2,FALSE),""))</f>
        <v/>
      </c>
      <c r="K1215" s="5" t="str">
        <f>IF(OR(I1215="",G1215=""),"",IF(G1215="Saída",-I1215,I1215))</f>
        <v/>
      </c>
      <c r="L1215" t="str">
        <f>IF(E1215="","",IFERROR(VLOOKUP(E1215,Listas!$A$2:$C$1048576,3,FALSE),""))</f>
        <v/>
      </c>
    </row>
    <row r="1216" spans="10:12" x14ac:dyDescent="0.25">
      <c r="J1216" t="str">
        <f>IF(H1216="","",IFERROR(VLOOKUP(H1216,Listas!$J$2:$K$1048576,2,FALSE),""))</f>
        <v/>
      </c>
      <c r="K1216" s="5" t="str">
        <f>IF(OR(I1216="",G1216=""),"",IF(G1216="Saída",-I1216,I1216))</f>
        <v/>
      </c>
      <c r="L1216" t="str">
        <f>IF(E1216="","",IFERROR(VLOOKUP(E1216,Listas!$A$2:$C$1048576,3,FALSE),""))</f>
        <v/>
      </c>
    </row>
    <row r="1217" spans="10:12" x14ac:dyDescent="0.25">
      <c r="J1217" t="str">
        <f>IF(H1217="","",IFERROR(VLOOKUP(H1217,Listas!$J$2:$K$1048576,2,FALSE),""))</f>
        <v/>
      </c>
      <c r="K1217" s="5" t="str">
        <f>IF(OR(I1217="",G1217=""),"",IF(G1217="Saída",-I1217,I1217))</f>
        <v/>
      </c>
      <c r="L1217" t="str">
        <f>IF(E1217="","",IFERROR(VLOOKUP(E1217,Listas!$A$2:$C$1048576,3,FALSE),""))</f>
        <v/>
      </c>
    </row>
    <row r="1218" spans="10:12" x14ac:dyDescent="0.25">
      <c r="J1218" t="str">
        <f>IF(H1218="","",IFERROR(VLOOKUP(H1218,Listas!$J$2:$K$1048576,2,FALSE),""))</f>
        <v/>
      </c>
      <c r="K1218" s="5" t="str">
        <f>IF(OR(I1218="",G1218=""),"",IF(G1218="Saída",-I1218,I1218))</f>
        <v/>
      </c>
      <c r="L1218" t="str">
        <f>IF(E1218="","",IFERROR(VLOOKUP(E1218,Listas!$A$2:$C$1048576,3,FALSE),""))</f>
        <v/>
      </c>
    </row>
    <row r="1219" spans="10:12" x14ac:dyDescent="0.25">
      <c r="J1219" t="str">
        <f>IF(H1219="","",IFERROR(VLOOKUP(H1219,Listas!$J$2:$K$1048576,2,FALSE),""))</f>
        <v/>
      </c>
      <c r="K1219" s="5" t="str">
        <f>IF(OR(I1219="",G1219=""),"",IF(G1219="Saída",-I1219,I1219))</f>
        <v/>
      </c>
      <c r="L1219" t="str">
        <f>IF(E1219="","",IFERROR(VLOOKUP(E1219,Listas!$A$2:$C$1048576,3,FALSE),""))</f>
        <v/>
      </c>
    </row>
    <row r="1220" spans="10:12" x14ac:dyDescent="0.25">
      <c r="J1220" t="str">
        <f>IF(H1220="","",IFERROR(VLOOKUP(H1220,Listas!$J$2:$K$1048576,2,FALSE),""))</f>
        <v/>
      </c>
      <c r="K1220" s="5" t="str">
        <f>IF(OR(I1220="",G1220=""),"",IF(G1220="Saída",-I1220,I1220))</f>
        <v/>
      </c>
      <c r="L1220" t="str">
        <f>IF(E1220="","",IFERROR(VLOOKUP(E1220,Listas!$A$2:$C$1048576,3,FALSE),""))</f>
        <v/>
      </c>
    </row>
    <row r="1221" spans="10:12" x14ac:dyDescent="0.25">
      <c r="J1221" t="str">
        <f>IF(H1221="","",IFERROR(VLOOKUP(H1221,Listas!$J$2:$K$1048576,2,FALSE),""))</f>
        <v/>
      </c>
      <c r="K1221" s="5" t="str">
        <f>IF(OR(I1221="",G1221=""),"",IF(G1221="Saída",-I1221,I1221))</f>
        <v/>
      </c>
      <c r="L1221" t="str">
        <f>IF(E1221="","",IFERROR(VLOOKUP(E1221,Listas!$A$2:$C$1048576,3,FALSE),""))</f>
        <v/>
      </c>
    </row>
    <row r="1222" spans="10:12" x14ac:dyDescent="0.25">
      <c r="J1222" t="str">
        <f>IF(H1222="","",IFERROR(VLOOKUP(H1222,Listas!$J$2:$K$1048576,2,FALSE),""))</f>
        <v/>
      </c>
      <c r="K1222" s="5" t="str">
        <f>IF(OR(I1222="",G1222=""),"",IF(G1222="Saída",-I1222,I1222))</f>
        <v/>
      </c>
      <c r="L1222" t="str">
        <f>IF(E1222="","",IFERROR(VLOOKUP(E1222,Listas!$A$2:$C$1048576,3,FALSE),""))</f>
        <v/>
      </c>
    </row>
    <row r="1223" spans="10:12" x14ac:dyDescent="0.25">
      <c r="J1223" t="str">
        <f>IF(H1223="","",IFERROR(VLOOKUP(H1223,Listas!$J$2:$K$1048576,2,FALSE),""))</f>
        <v/>
      </c>
      <c r="K1223" s="5" t="str">
        <f>IF(OR(I1223="",G1223=""),"",IF(G1223="Saída",-I1223,I1223))</f>
        <v/>
      </c>
      <c r="L1223" t="str">
        <f>IF(E1223="","",IFERROR(VLOOKUP(E1223,Listas!$A$2:$C$1048576,3,FALSE),""))</f>
        <v/>
      </c>
    </row>
    <row r="1224" spans="10:12" x14ac:dyDescent="0.25">
      <c r="J1224" t="str">
        <f>IF(H1224="","",IFERROR(VLOOKUP(H1224,Listas!$J$2:$K$1048576,2,FALSE),""))</f>
        <v/>
      </c>
      <c r="K1224" s="5" t="str">
        <f>IF(OR(I1224="",G1224=""),"",IF(G1224="Saída",-I1224,I1224))</f>
        <v/>
      </c>
      <c r="L1224" t="str">
        <f>IF(E1224="","",IFERROR(VLOOKUP(E1224,Listas!$A$2:$C$1048576,3,FALSE),""))</f>
        <v/>
      </c>
    </row>
    <row r="1225" spans="10:12" x14ac:dyDescent="0.25">
      <c r="J1225" t="str">
        <f>IF(H1225="","",IFERROR(VLOOKUP(H1225,Listas!$J$2:$K$1048576,2,FALSE),""))</f>
        <v/>
      </c>
      <c r="K1225" s="5" t="str">
        <f>IF(OR(I1225="",G1225=""),"",IF(G1225="Saída",-I1225,I1225))</f>
        <v/>
      </c>
      <c r="L1225" t="str">
        <f>IF(E1225="","",IFERROR(VLOOKUP(E1225,Listas!$A$2:$C$1048576,3,FALSE),""))</f>
        <v/>
      </c>
    </row>
    <row r="1226" spans="10:12" x14ac:dyDescent="0.25">
      <c r="J1226" t="str">
        <f>IF(H1226="","",IFERROR(VLOOKUP(H1226,Listas!$J$2:$K$1048576,2,FALSE),""))</f>
        <v/>
      </c>
      <c r="K1226" s="5" t="str">
        <f>IF(OR(I1226="",G1226=""),"",IF(G1226="Saída",-I1226,I1226))</f>
        <v/>
      </c>
      <c r="L1226" t="str">
        <f>IF(E1226="","",IFERROR(VLOOKUP(E1226,Listas!$A$2:$C$1048576,3,FALSE),""))</f>
        <v/>
      </c>
    </row>
    <row r="1227" spans="10:12" x14ac:dyDescent="0.25">
      <c r="J1227" t="str">
        <f>IF(H1227="","",IFERROR(VLOOKUP(H1227,Listas!$J$2:$K$1048576,2,FALSE),""))</f>
        <v/>
      </c>
      <c r="K1227" s="5" t="str">
        <f>IF(OR(I1227="",G1227=""),"",IF(G1227="Saída",-I1227,I1227))</f>
        <v/>
      </c>
      <c r="L1227" t="str">
        <f>IF(E1227="","",IFERROR(VLOOKUP(E1227,Listas!$A$2:$C$1048576,3,FALSE),""))</f>
        <v/>
      </c>
    </row>
    <row r="1228" spans="10:12" x14ac:dyDescent="0.25">
      <c r="J1228" t="str">
        <f>IF(H1228="","",IFERROR(VLOOKUP(H1228,Listas!$J$2:$K$1048576,2,FALSE),""))</f>
        <v/>
      </c>
      <c r="K1228" s="5" t="str">
        <f>IF(OR(I1228="",G1228=""),"",IF(G1228="Saída",-I1228,I1228))</f>
        <v/>
      </c>
      <c r="L1228" t="str">
        <f>IF(E1228="","",IFERROR(VLOOKUP(E1228,Listas!$A$2:$C$1048576,3,FALSE),""))</f>
        <v/>
      </c>
    </row>
    <row r="1229" spans="10:12" x14ac:dyDescent="0.25">
      <c r="J1229" t="str">
        <f>IF(H1229="","",IFERROR(VLOOKUP(H1229,Listas!$J$2:$K$1048576,2,FALSE),""))</f>
        <v/>
      </c>
      <c r="K1229" s="5" t="str">
        <f>IF(OR(I1229="",G1229=""),"",IF(G1229="Saída",-I1229,I1229))</f>
        <v/>
      </c>
      <c r="L1229" t="str">
        <f>IF(E1229="","",IFERROR(VLOOKUP(E1229,Listas!$A$2:$C$1048576,3,FALSE),""))</f>
        <v/>
      </c>
    </row>
    <row r="1230" spans="10:12" x14ac:dyDescent="0.25">
      <c r="J1230" t="str">
        <f>IF(H1230="","",IFERROR(VLOOKUP(H1230,Listas!$J$2:$K$1048576,2,FALSE),""))</f>
        <v/>
      </c>
      <c r="K1230" s="5" t="str">
        <f>IF(OR(I1230="",G1230=""),"",IF(G1230="Saída",-I1230,I1230))</f>
        <v/>
      </c>
      <c r="L1230" t="str">
        <f>IF(E1230="","",IFERROR(VLOOKUP(E1230,Listas!$A$2:$C$1048576,3,FALSE),""))</f>
        <v/>
      </c>
    </row>
    <row r="1231" spans="10:12" x14ac:dyDescent="0.25">
      <c r="J1231" t="str">
        <f>IF(H1231="","",IFERROR(VLOOKUP(H1231,Listas!$J$2:$K$1048576,2,FALSE),""))</f>
        <v/>
      </c>
      <c r="K1231" s="5" t="str">
        <f>IF(OR(I1231="",G1231=""),"",IF(G1231="Saída",-I1231,I1231))</f>
        <v/>
      </c>
      <c r="L1231" t="str">
        <f>IF(E1231="","",IFERROR(VLOOKUP(E1231,Listas!$A$2:$C$1048576,3,FALSE),""))</f>
        <v/>
      </c>
    </row>
    <row r="1232" spans="10:12" x14ac:dyDescent="0.25">
      <c r="J1232" t="str">
        <f>IF(H1232="","",IFERROR(VLOOKUP(H1232,Listas!$J$2:$K$1048576,2,FALSE),""))</f>
        <v/>
      </c>
      <c r="K1232" s="5" t="str">
        <f>IF(OR(I1232="",G1232=""),"",IF(G1232="Saída",-I1232,I1232))</f>
        <v/>
      </c>
      <c r="L1232" t="str">
        <f>IF(E1232="","",IFERROR(VLOOKUP(E1232,Listas!$A$2:$C$1048576,3,FALSE),""))</f>
        <v/>
      </c>
    </row>
    <row r="1233" spans="10:12" x14ac:dyDescent="0.25">
      <c r="J1233" t="str">
        <f>IF(H1233="","",IFERROR(VLOOKUP(H1233,Listas!$J$2:$K$1048576,2,FALSE),""))</f>
        <v/>
      </c>
      <c r="K1233" s="5" t="str">
        <f>IF(OR(I1233="",G1233=""),"",IF(G1233="Saída",-I1233,I1233))</f>
        <v/>
      </c>
      <c r="L1233" t="str">
        <f>IF(E1233="","",IFERROR(VLOOKUP(E1233,Listas!$A$2:$C$1048576,3,FALSE),""))</f>
        <v/>
      </c>
    </row>
    <row r="1234" spans="10:12" x14ac:dyDescent="0.25">
      <c r="J1234" t="str">
        <f>IF(H1234="","",IFERROR(VLOOKUP(H1234,Listas!$J$2:$K$1048576,2,FALSE),""))</f>
        <v/>
      </c>
      <c r="K1234" s="5" t="str">
        <f>IF(OR(I1234="",G1234=""),"",IF(G1234="Saída",-I1234,I1234))</f>
        <v/>
      </c>
      <c r="L1234" t="str">
        <f>IF(E1234="","",IFERROR(VLOOKUP(E1234,Listas!$A$2:$C$1048576,3,FALSE),""))</f>
        <v/>
      </c>
    </row>
    <row r="1235" spans="10:12" x14ac:dyDescent="0.25">
      <c r="J1235" t="str">
        <f>IF(H1235="","",IFERROR(VLOOKUP(H1235,Listas!$J$2:$K$1048576,2,FALSE),""))</f>
        <v/>
      </c>
      <c r="K1235" s="5" t="str">
        <f>IF(OR(I1235="",G1235=""),"",IF(G1235="Saída",-I1235,I1235))</f>
        <v/>
      </c>
      <c r="L1235" t="str">
        <f>IF(E1235="","",IFERROR(VLOOKUP(E1235,Listas!$A$2:$C$1048576,3,FALSE),""))</f>
        <v/>
      </c>
    </row>
    <row r="1236" spans="10:12" x14ac:dyDescent="0.25">
      <c r="J1236" t="str">
        <f>IF(H1236="","",IFERROR(VLOOKUP(H1236,Listas!$J$2:$K$1048576,2,FALSE),""))</f>
        <v/>
      </c>
      <c r="K1236" s="5" t="str">
        <f>IF(OR(I1236="",G1236=""),"",IF(G1236="Saída",-I1236,I1236))</f>
        <v/>
      </c>
      <c r="L1236" t="str">
        <f>IF(E1236="","",IFERROR(VLOOKUP(E1236,Listas!$A$2:$C$1048576,3,FALSE),""))</f>
        <v/>
      </c>
    </row>
    <row r="1237" spans="10:12" x14ac:dyDescent="0.25">
      <c r="J1237" t="str">
        <f>IF(H1237="","",IFERROR(VLOOKUP(H1237,Listas!$J$2:$K$1048576,2,FALSE),""))</f>
        <v/>
      </c>
      <c r="K1237" s="5" t="str">
        <f>IF(OR(I1237="",G1237=""),"",IF(G1237="Saída",-I1237,I1237))</f>
        <v/>
      </c>
      <c r="L1237" t="str">
        <f>IF(E1237="","",IFERROR(VLOOKUP(E1237,Listas!$A$2:$C$1048576,3,FALSE),""))</f>
        <v/>
      </c>
    </row>
    <row r="1238" spans="10:12" x14ac:dyDescent="0.25">
      <c r="J1238" t="str">
        <f>IF(H1238="","",IFERROR(VLOOKUP(H1238,Listas!$J$2:$K$1048576,2,FALSE),""))</f>
        <v/>
      </c>
      <c r="K1238" s="5" t="str">
        <f>IF(OR(I1238="",G1238=""),"",IF(G1238="Saída",-I1238,I1238))</f>
        <v/>
      </c>
      <c r="L1238" t="str">
        <f>IF(E1238="","",IFERROR(VLOOKUP(E1238,Listas!$A$2:$C$1048576,3,FALSE),""))</f>
        <v/>
      </c>
    </row>
    <row r="1239" spans="10:12" x14ac:dyDescent="0.25">
      <c r="J1239" t="str">
        <f>IF(H1239="","",IFERROR(VLOOKUP(H1239,Listas!$J$2:$K$1048576,2,FALSE),""))</f>
        <v/>
      </c>
      <c r="K1239" s="5" t="str">
        <f>IF(OR(I1239="",G1239=""),"",IF(G1239="Saída",-I1239,I1239))</f>
        <v/>
      </c>
      <c r="L1239" t="str">
        <f>IF(E1239="","",IFERROR(VLOOKUP(E1239,Listas!$A$2:$C$1048576,3,FALSE),""))</f>
        <v/>
      </c>
    </row>
    <row r="1240" spans="10:12" x14ac:dyDescent="0.25">
      <c r="J1240" t="str">
        <f>IF(H1240="","",IFERROR(VLOOKUP(H1240,Listas!$J$2:$K$1048576,2,FALSE),""))</f>
        <v/>
      </c>
      <c r="K1240" s="5" t="str">
        <f>IF(OR(I1240="",G1240=""),"",IF(G1240="Saída",-I1240,I1240))</f>
        <v/>
      </c>
      <c r="L1240" t="str">
        <f>IF(E1240="","",IFERROR(VLOOKUP(E1240,Listas!$A$2:$C$1048576,3,FALSE),""))</f>
        <v/>
      </c>
    </row>
    <row r="1241" spans="10:12" x14ac:dyDescent="0.25">
      <c r="J1241" t="str">
        <f>IF(H1241="","",IFERROR(VLOOKUP(H1241,Listas!$J$2:$K$1048576,2,FALSE),""))</f>
        <v/>
      </c>
      <c r="K1241" s="5" t="str">
        <f>IF(OR(I1241="",G1241=""),"",IF(G1241="Saída",-I1241,I1241))</f>
        <v/>
      </c>
      <c r="L1241" t="str">
        <f>IF(E1241="","",IFERROR(VLOOKUP(E1241,Listas!$A$2:$C$1048576,3,FALSE),""))</f>
        <v/>
      </c>
    </row>
    <row r="1242" spans="10:12" x14ac:dyDescent="0.25">
      <c r="J1242" t="str">
        <f>IF(H1242="","",IFERROR(VLOOKUP(H1242,Listas!$J$2:$K$1048576,2,FALSE),""))</f>
        <v/>
      </c>
      <c r="K1242" s="5" t="str">
        <f>IF(OR(I1242="",G1242=""),"",IF(G1242="Saída",-I1242,I1242))</f>
        <v/>
      </c>
      <c r="L1242" t="str">
        <f>IF(E1242="","",IFERROR(VLOOKUP(E1242,Listas!$A$2:$C$1048576,3,FALSE),""))</f>
        <v/>
      </c>
    </row>
    <row r="1243" spans="10:12" x14ac:dyDescent="0.25">
      <c r="J1243" t="str">
        <f>IF(H1243="","",IFERROR(VLOOKUP(H1243,Listas!$J$2:$K$1048576,2,FALSE),""))</f>
        <v/>
      </c>
      <c r="K1243" s="5" t="str">
        <f>IF(OR(I1243="",G1243=""),"",IF(G1243="Saída",-I1243,I1243))</f>
        <v/>
      </c>
      <c r="L1243" t="str">
        <f>IF(E1243="","",IFERROR(VLOOKUP(E1243,Listas!$A$2:$C$1048576,3,FALSE),""))</f>
        <v/>
      </c>
    </row>
    <row r="1244" spans="10:12" x14ac:dyDescent="0.25">
      <c r="J1244" t="str">
        <f>IF(H1244="","",IFERROR(VLOOKUP(H1244,Listas!$J$2:$K$1048576,2,FALSE),""))</f>
        <v/>
      </c>
      <c r="K1244" s="5" t="str">
        <f>IF(OR(I1244="",G1244=""),"",IF(G1244="Saída",-I1244,I1244))</f>
        <v/>
      </c>
      <c r="L1244" t="str">
        <f>IF(E1244="","",IFERROR(VLOOKUP(E1244,Listas!$A$2:$C$1048576,3,FALSE),""))</f>
        <v/>
      </c>
    </row>
    <row r="1245" spans="10:12" x14ac:dyDescent="0.25">
      <c r="J1245" t="str">
        <f>IF(H1245="","",IFERROR(VLOOKUP(H1245,Listas!$J$2:$K$1048576,2,FALSE),""))</f>
        <v/>
      </c>
      <c r="K1245" s="5" t="str">
        <f>IF(OR(I1245="",G1245=""),"",IF(G1245="Saída",-I1245,I1245))</f>
        <v/>
      </c>
      <c r="L1245" t="str">
        <f>IF(E1245="","",IFERROR(VLOOKUP(E1245,Listas!$A$2:$C$1048576,3,FALSE),""))</f>
        <v/>
      </c>
    </row>
    <row r="1246" spans="10:12" x14ac:dyDescent="0.25">
      <c r="J1246" t="str">
        <f>IF(H1246="","",IFERROR(VLOOKUP(H1246,Listas!$J$2:$K$1048576,2,FALSE),""))</f>
        <v/>
      </c>
      <c r="K1246" s="5" t="str">
        <f>IF(OR(I1246="",G1246=""),"",IF(G1246="Saída",-I1246,I1246))</f>
        <v/>
      </c>
      <c r="L1246" t="str">
        <f>IF(E1246="","",IFERROR(VLOOKUP(E1246,Listas!$A$2:$C$1048576,3,FALSE),""))</f>
        <v/>
      </c>
    </row>
    <row r="1247" spans="10:12" x14ac:dyDescent="0.25">
      <c r="J1247" t="str">
        <f>IF(H1247="","",IFERROR(VLOOKUP(H1247,Listas!$J$2:$K$1048576,2,FALSE),""))</f>
        <v/>
      </c>
      <c r="K1247" s="5" t="str">
        <f>IF(OR(I1247="",G1247=""),"",IF(G1247="Saída",-I1247,I1247))</f>
        <v/>
      </c>
      <c r="L1247" t="str">
        <f>IF(E1247="","",IFERROR(VLOOKUP(E1247,Listas!$A$2:$C$1048576,3,FALSE),""))</f>
        <v/>
      </c>
    </row>
    <row r="1248" spans="10:12" x14ac:dyDescent="0.25">
      <c r="J1248" t="str">
        <f>IF(H1248="","",IFERROR(VLOOKUP(H1248,Listas!$J$2:$K$1048576,2,FALSE),""))</f>
        <v/>
      </c>
      <c r="K1248" s="5" t="str">
        <f>IF(OR(I1248="",G1248=""),"",IF(G1248="Saída",-I1248,I1248))</f>
        <v/>
      </c>
      <c r="L1248" t="str">
        <f>IF(E1248="","",IFERROR(VLOOKUP(E1248,Listas!$A$2:$C$1048576,3,FALSE),""))</f>
        <v/>
      </c>
    </row>
    <row r="1249" spans="10:12" x14ac:dyDescent="0.25">
      <c r="J1249" t="str">
        <f>IF(H1249="","",IFERROR(VLOOKUP(H1249,Listas!$J$2:$K$1048576,2,FALSE),""))</f>
        <v/>
      </c>
      <c r="K1249" s="5" t="str">
        <f>IF(OR(I1249="",G1249=""),"",IF(G1249="Saída",-I1249,I1249))</f>
        <v/>
      </c>
      <c r="L1249" t="str">
        <f>IF(E1249="","",IFERROR(VLOOKUP(E1249,Listas!$A$2:$C$1048576,3,FALSE),""))</f>
        <v/>
      </c>
    </row>
    <row r="1250" spans="10:12" x14ac:dyDescent="0.25">
      <c r="J1250" t="str">
        <f>IF(H1250="","",IFERROR(VLOOKUP(H1250,Listas!$J$2:$K$1048576,2,FALSE),""))</f>
        <v/>
      </c>
      <c r="K1250" s="5" t="str">
        <f>IF(OR(I1250="",G1250=""),"",IF(G1250="Saída",-I1250,I1250))</f>
        <v/>
      </c>
      <c r="L1250" t="str">
        <f>IF(E1250="","",IFERROR(VLOOKUP(E1250,Listas!$A$2:$C$1048576,3,FALSE),""))</f>
        <v/>
      </c>
    </row>
    <row r="1251" spans="10:12" x14ac:dyDescent="0.25">
      <c r="J1251" t="str">
        <f>IF(H1251="","",IFERROR(VLOOKUP(H1251,Listas!$J$2:$K$1048576,2,FALSE),""))</f>
        <v/>
      </c>
      <c r="K1251" s="5" t="str">
        <f>IF(OR(I1251="",G1251=""),"",IF(G1251="Saída",-I1251,I1251))</f>
        <v/>
      </c>
      <c r="L1251" t="str">
        <f>IF(E1251="","",IFERROR(VLOOKUP(E1251,Listas!$A$2:$C$1048576,3,FALSE),""))</f>
        <v/>
      </c>
    </row>
    <row r="1252" spans="10:12" x14ac:dyDescent="0.25">
      <c r="J1252" t="str">
        <f>IF(H1252="","",IFERROR(VLOOKUP(H1252,Listas!$J$2:$K$1048576,2,FALSE),""))</f>
        <v/>
      </c>
      <c r="K1252" s="5" t="str">
        <f>IF(OR(I1252="",G1252=""),"",IF(G1252="Saída",-I1252,I1252))</f>
        <v/>
      </c>
      <c r="L1252" t="str">
        <f>IF(E1252="","",IFERROR(VLOOKUP(E1252,Listas!$A$2:$C$1048576,3,FALSE),""))</f>
        <v/>
      </c>
    </row>
    <row r="1253" spans="10:12" x14ac:dyDescent="0.25">
      <c r="J1253" t="str">
        <f>IF(H1253="","",IFERROR(VLOOKUP(H1253,Listas!$J$2:$K$1048576,2,FALSE),""))</f>
        <v/>
      </c>
      <c r="K1253" s="5" t="str">
        <f>IF(OR(I1253="",G1253=""),"",IF(G1253="Saída",-I1253,I1253))</f>
        <v/>
      </c>
      <c r="L1253" t="str">
        <f>IF(E1253="","",IFERROR(VLOOKUP(E1253,Listas!$A$2:$C$1048576,3,FALSE),""))</f>
        <v/>
      </c>
    </row>
    <row r="1254" spans="10:12" x14ac:dyDescent="0.25">
      <c r="J1254" t="str">
        <f>IF(H1254="","",IFERROR(VLOOKUP(H1254,Listas!$J$2:$K$1048576,2,FALSE),""))</f>
        <v/>
      </c>
      <c r="K1254" s="5" t="str">
        <f>IF(OR(I1254="",G1254=""),"",IF(G1254="Saída",-I1254,I1254))</f>
        <v/>
      </c>
      <c r="L1254" t="str">
        <f>IF(E1254="","",IFERROR(VLOOKUP(E1254,Listas!$A$2:$C$1048576,3,FALSE),""))</f>
        <v/>
      </c>
    </row>
    <row r="1255" spans="10:12" x14ac:dyDescent="0.25">
      <c r="J1255" t="str">
        <f>IF(H1255="","",IFERROR(VLOOKUP(H1255,Listas!$J$2:$K$1048576,2,FALSE),""))</f>
        <v/>
      </c>
      <c r="K1255" s="5" t="str">
        <f>IF(OR(I1255="",G1255=""),"",IF(G1255="Saída",-I1255,I1255))</f>
        <v/>
      </c>
      <c r="L1255" t="str">
        <f>IF(E1255="","",IFERROR(VLOOKUP(E1255,Listas!$A$2:$C$1048576,3,FALSE),""))</f>
        <v/>
      </c>
    </row>
    <row r="1256" spans="10:12" x14ac:dyDescent="0.25">
      <c r="J1256" t="str">
        <f>IF(H1256="","",IFERROR(VLOOKUP(H1256,Listas!$J$2:$K$1048576,2,FALSE),""))</f>
        <v/>
      </c>
      <c r="K1256" s="5" t="str">
        <f>IF(OR(I1256="",G1256=""),"",IF(G1256="Saída",-I1256,I1256))</f>
        <v/>
      </c>
      <c r="L1256" t="str">
        <f>IF(E1256="","",IFERROR(VLOOKUP(E1256,Listas!$A$2:$C$1048576,3,FALSE),""))</f>
        <v/>
      </c>
    </row>
    <row r="1257" spans="10:12" x14ac:dyDescent="0.25">
      <c r="J1257" t="str">
        <f>IF(H1257="","",IFERROR(VLOOKUP(H1257,Listas!$J$2:$K$1048576,2,FALSE),""))</f>
        <v/>
      </c>
      <c r="K1257" s="5" t="str">
        <f>IF(OR(I1257="",G1257=""),"",IF(G1257="Saída",-I1257,I1257))</f>
        <v/>
      </c>
      <c r="L1257" t="str">
        <f>IF(E1257="","",IFERROR(VLOOKUP(E1257,Listas!$A$2:$C$1048576,3,FALSE),""))</f>
        <v/>
      </c>
    </row>
    <row r="1258" spans="10:12" x14ac:dyDescent="0.25">
      <c r="J1258" t="str">
        <f>IF(H1258="","",IFERROR(VLOOKUP(H1258,Listas!$J$2:$K$1048576,2,FALSE),""))</f>
        <v/>
      </c>
      <c r="K1258" s="5" t="str">
        <f>IF(OR(I1258="",G1258=""),"",IF(G1258="Saída",-I1258,I1258))</f>
        <v/>
      </c>
      <c r="L1258" t="str">
        <f>IF(E1258="","",IFERROR(VLOOKUP(E1258,Listas!$A$2:$C$1048576,3,FALSE),""))</f>
        <v/>
      </c>
    </row>
    <row r="1259" spans="10:12" x14ac:dyDescent="0.25">
      <c r="J1259" t="str">
        <f>IF(H1259="","",IFERROR(VLOOKUP(H1259,Listas!$J$2:$K$1048576,2,FALSE),""))</f>
        <v/>
      </c>
      <c r="K1259" s="5" t="str">
        <f>IF(OR(I1259="",G1259=""),"",IF(G1259="Saída",-I1259,I1259))</f>
        <v/>
      </c>
      <c r="L1259" t="str">
        <f>IF(E1259="","",IFERROR(VLOOKUP(E1259,Listas!$A$2:$C$1048576,3,FALSE),""))</f>
        <v/>
      </c>
    </row>
    <row r="1260" spans="10:12" x14ac:dyDescent="0.25">
      <c r="J1260" t="str">
        <f>IF(H1260="","",IFERROR(VLOOKUP(H1260,Listas!$J$2:$K$1048576,2,FALSE),""))</f>
        <v/>
      </c>
      <c r="K1260" s="5" t="str">
        <f>IF(OR(I1260="",G1260=""),"",IF(G1260="Saída",-I1260,I1260))</f>
        <v/>
      </c>
      <c r="L1260" t="str">
        <f>IF(E1260="","",IFERROR(VLOOKUP(E1260,Listas!$A$2:$C$1048576,3,FALSE),""))</f>
        <v/>
      </c>
    </row>
    <row r="1261" spans="10:12" x14ac:dyDescent="0.25">
      <c r="J1261" t="str">
        <f>IF(H1261="","",IFERROR(VLOOKUP(H1261,Listas!$J$2:$K$1048576,2,FALSE),""))</f>
        <v/>
      </c>
      <c r="K1261" s="5" t="str">
        <f>IF(OR(I1261="",G1261=""),"",IF(G1261="Saída",-I1261,I1261))</f>
        <v/>
      </c>
      <c r="L1261" t="str">
        <f>IF(E1261="","",IFERROR(VLOOKUP(E1261,Listas!$A$2:$C$1048576,3,FALSE),""))</f>
        <v/>
      </c>
    </row>
    <row r="1262" spans="10:12" x14ac:dyDescent="0.25">
      <c r="J1262" t="str">
        <f>IF(H1262="","",IFERROR(VLOOKUP(H1262,Listas!$J$2:$K$1048576,2,FALSE),""))</f>
        <v/>
      </c>
      <c r="K1262" s="5" t="str">
        <f>IF(OR(I1262="",G1262=""),"",IF(G1262="Saída",-I1262,I1262))</f>
        <v/>
      </c>
      <c r="L1262" t="str">
        <f>IF(E1262="","",IFERROR(VLOOKUP(E1262,Listas!$A$2:$C$1048576,3,FALSE),""))</f>
        <v/>
      </c>
    </row>
    <row r="1263" spans="10:12" x14ac:dyDescent="0.25">
      <c r="J1263" t="str">
        <f>IF(H1263="","",IFERROR(VLOOKUP(H1263,Listas!$J$2:$K$1048576,2,FALSE),""))</f>
        <v/>
      </c>
      <c r="K1263" s="5" t="str">
        <f>IF(OR(I1263="",G1263=""),"",IF(G1263="Saída",-I1263,I1263))</f>
        <v/>
      </c>
      <c r="L1263" t="str">
        <f>IF(E1263="","",IFERROR(VLOOKUP(E1263,Listas!$A$2:$C$1048576,3,FALSE),""))</f>
        <v/>
      </c>
    </row>
    <row r="1264" spans="10:12" x14ac:dyDescent="0.25">
      <c r="J1264" t="str">
        <f>IF(H1264="","",IFERROR(VLOOKUP(H1264,Listas!$J$2:$K$1048576,2,FALSE),""))</f>
        <v/>
      </c>
      <c r="K1264" s="5" t="str">
        <f>IF(OR(I1264="",G1264=""),"",IF(G1264="Saída",-I1264,I1264))</f>
        <v/>
      </c>
      <c r="L1264" t="str">
        <f>IF(E1264="","",IFERROR(VLOOKUP(E1264,Listas!$A$2:$C$1048576,3,FALSE),""))</f>
        <v/>
      </c>
    </row>
    <row r="1265" spans="10:12" x14ac:dyDescent="0.25">
      <c r="J1265" t="str">
        <f>IF(H1265="","",IFERROR(VLOOKUP(H1265,Listas!$J$2:$K$1048576,2,FALSE),""))</f>
        <v/>
      </c>
      <c r="K1265" s="5" t="str">
        <f>IF(OR(I1265="",G1265=""),"",IF(G1265="Saída",-I1265,I1265))</f>
        <v/>
      </c>
      <c r="L1265" t="str">
        <f>IF(E1265="","",IFERROR(VLOOKUP(E1265,Listas!$A$2:$C$1048576,3,FALSE),""))</f>
        <v/>
      </c>
    </row>
    <row r="1266" spans="10:12" x14ac:dyDescent="0.25">
      <c r="J1266" t="str">
        <f>IF(H1266="","",IFERROR(VLOOKUP(H1266,Listas!$J$2:$K$1048576,2,FALSE),""))</f>
        <v/>
      </c>
      <c r="K1266" s="5" t="str">
        <f>IF(OR(I1266="",G1266=""),"",IF(G1266="Saída",-I1266,I1266))</f>
        <v/>
      </c>
      <c r="L1266" t="str">
        <f>IF(E1266="","",IFERROR(VLOOKUP(E1266,Listas!$A$2:$C$1048576,3,FALSE),""))</f>
        <v/>
      </c>
    </row>
    <row r="1267" spans="10:12" x14ac:dyDescent="0.25">
      <c r="J1267" t="str">
        <f>IF(H1267="","",IFERROR(VLOOKUP(H1267,Listas!$J$2:$K$1048576,2,FALSE),""))</f>
        <v/>
      </c>
      <c r="K1267" s="5" t="str">
        <f>IF(OR(I1267="",G1267=""),"",IF(G1267="Saída",-I1267,I1267))</f>
        <v/>
      </c>
      <c r="L1267" t="str">
        <f>IF(E1267="","",IFERROR(VLOOKUP(E1267,Listas!$A$2:$C$1048576,3,FALSE),""))</f>
        <v/>
      </c>
    </row>
    <row r="1268" spans="10:12" x14ac:dyDescent="0.25">
      <c r="J1268" t="str">
        <f>IF(H1268="","",IFERROR(VLOOKUP(H1268,Listas!$J$2:$K$1048576,2,FALSE),""))</f>
        <v/>
      </c>
      <c r="K1268" s="5" t="str">
        <f>IF(OR(I1268="",G1268=""),"",IF(G1268="Saída",-I1268,I1268))</f>
        <v/>
      </c>
      <c r="L1268" t="str">
        <f>IF(E1268="","",IFERROR(VLOOKUP(E1268,Listas!$A$2:$C$1048576,3,FALSE),""))</f>
        <v/>
      </c>
    </row>
    <row r="1269" spans="10:12" x14ac:dyDescent="0.25">
      <c r="J1269" t="str">
        <f>IF(H1269="","",IFERROR(VLOOKUP(H1269,Listas!$J$2:$K$1048576,2,FALSE),""))</f>
        <v/>
      </c>
      <c r="K1269" s="5" t="str">
        <f>IF(OR(I1269="",G1269=""),"",IF(G1269="Saída",-I1269,I1269))</f>
        <v/>
      </c>
      <c r="L1269" t="str">
        <f>IF(E1269="","",IFERROR(VLOOKUP(E1269,Listas!$A$2:$C$1048576,3,FALSE),""))</f>
        <v/>
      </c>
    </row>
    <row r="1270" spans="10:12" x14ac:dyDescent="0.25">
      <c r="J1270" t="str">
        <f>IF(H1270="","",IFERROR(VLOOKUP(H1270,Listas!$J$2:$K$1048576,2,FALSE),""))</f>
        <v/>
      </c>
      <c r="K1270" s="5" t="str">
        <f>IF(OR(I1270="",G1270=""),"",IF(G1270="Saída",-I1270,I1270))</f>
        <v/>
      </c>
      <c r="L1270" t="str">
        <f>IF(E1270="","",IFERROR(VLOOKUP(E1270,Listas!$A$2:$C$1048576,3,FALSE),""))</f>
        <v/>
      </c>
    </row>
    <row r="1271" spans="10:12" x14ac:dyDescent="0.25">
      <c r="J1271" t="str">
        <f>IF(H1271="","",IFERROR(VLOOKUP(H1271,Listas!$J$2:$K$1048576,2,FALSE),""))</f>
        <v/>
      </c>
      <c r="K1271" s="5" t="str">
        <f>IF(OR(I1271="",G1271=""),"",IF(G1271="Saída",-I1271,I1271))</f>
        <v/>
      </c>
      <c r="L1271" t="str">
        <f>IF(E1271="","",IFERROR(VLOOKUP(E1271,Listas!$A$2:$C$1048576,3,FALSE),""))</f>
        <v/>
      </c>
    </row>
    <row r="1272" spans="10:12" x14ac:dyDescent="0.25">
      <c r="J1272" t="str">
        <f>IF(H1272="","",IFERROR(VLOOKUP(H1272,Listas!$J$2:$K$1048576,2,FALSE),""))</f>
        <v/>
      </c>
      <c r="K1272" s="5" t="str">
        <f>IF(OR(I1272="",G1272=""),"",IF(G1272="Saída",-I1272,I1272))</f>
        <v/>
      </c>
      <c r="L1272" t="str">
        <f>IF(E1272="","",IFERROR(VLOOKUP(E1272,Listas!$A$2:$C$1048576,3,FALSE),""))</f>
        <v/>
      </c>
    </row>
    <row r="1273" spans="10:12" x14ac:dyDescent="0.25">
      <c r="J1273" t="str">
        <f>IF(H1273="","",IFERROR(VLOOKUP(H1273,Listas!$J$2:$K$1048576,2,FALSE),""))</f>
        <v/>
      </c>
      <c r="K1273" s="5" t="str">
        <f>IF(OR(I1273="",G1273=""),"",IF(G1273="Saída",-I1273,I1273))</f>
        <v/>
      </c>
      <c r="L1273" t="str">
        <f>IF(E1273="","",IFERROR(VLOOKUP(E1273,Listas!$A$2:$C$1048576,3,FALSE),""))</f>
        <v/>
      </c>
    </row>
    <row r="1274" spans="10:12" x14ac:dyDescent="0.25">
      <c r="J1274" t="str">
        <f>IF(H1274="","",IFERROR(VLOOKUP(H1274,Listas!$J$2:$K$1048576,2,FALSE),""))</f>
        <v/>
      </c>
      <c r="K1274" s="5" t="str">
        <f>IF(OR(I1274="",G1274=""),"",IF(G1274="Saída",-I1274,I1274))</f>
        <v/>
      </c>
      <c r="L1274" t="str">
        <f>IF(E1274="","",IFERROR(VLOOKUP(E1274,Listas!$A$2:$C$1048576,3,FALSE),""))</f>
        <v/>
      </c>
    </row>
    <row r="1275" spans="10:12" x14ac:dyDescent="0.25">
      <c r="J1275" t="str">
        <f>IF(H1275="","",IFERROR(VLOOKUP(H1275,Listas!$J$2:$K$1048576,2,FALSE),""))</f>
        <v/>
      </c>
      <c r="K1275" s="5" t="str">
        <f>IF(OR(I1275="",G1275=""),"",IF(G1275="Saída",-I1275,I1275))</f>
        <v/>
      </c>
      <c r="L1275" t="str">
        <f>IF(E1275="","",IFERROR(VLOOKUP(E1275,Listas!$A$2:$C$1048576,3,FALSE),""))</f>
        <v/>
      </c>
    </row>
    <row r="1276" spans="10:12" x14ac:dyDescent="0.25">
      <c r="J1276" t="str">
        <f>IF(H1276="","",IFERROR(VLOOKUP(H1276,Listas!$J$2:$K$1048576,2,FALSE),""))</f>
        <v/>
      </c>
      <c r="K1276" s="5" t="str">
        <f>IF(OR(I1276="",G1276=""),"",IF(G1276="Saída",-I1276,I1276))</f>
        <v/>
      </c>
      <c r="L1276" t="str">
        <f>IF(E1276="","",IFERROR(VLOOKUP(E1276,Listas!$A$2:$C$1048576,3,FALSE),""))</f>
        <v/>
      </c>
    </row>
    <row r="1277" spans="10:12" x14ac:dyDescent="0.25">
      <c r="J1277" t="str">
        <f>IF(H1277="","",IFERROR(VLOOKUP(H1277,Listas!$J$2:$K$1048576,2,FALSE),""))</f>
        <v/>
      </c>
      <c r="K1277" s="5" t="str">
        <f>IF(OR(I1277="",G1277=""),"",IF(G1277="Saída",-I1277,I1277))</f>
        <v/>
      </c>
      <c r="L1277" t="str">
        <f>IF(E1277="","",IFERROR(VLOOKUP(E1277,Listas!$A$2:$C$1048576,3,FALSE),""))</f>
        <v/>
      </c>
    </row>
    <row r="1278" spans="10:12" x14ac:dyDescent="0.25">
      <c r="J1278" t="str">
        <f>IF(H1278="","",IFERROR(VLOOKUP(H1278,Listas!$J$2:$K$1048576,2,FALSE),""))</f>
        <v/>
      </c>
      <c r="K1278" s="5" t="str">
        <f>IF(OR(I1278="",G1278=""),"",IF(G1278="Saída",-I1278,I1278))</f>
        <v/>
      </c>
      <c r="L1278" t="str">
        <f>IF(E1278="","",IFERROR(VLOOKUP(E1278,Listas!$A$2:$C$1048576,3,FALSE),""))</f>
        <v/>
      </c>
    </row>
    <row r="1279" spans="10:12" x14ac:dyDescent="0.25">
      <c r="J1279" t="str">
        <f>IF(H1279="","",IFERROR(VLOOKUP(H1279,Listas!$J$2:$K$1048576,2,FALSE),""))</f>
        <v/>
      </c>
      <c r="K1279" s="5" t="str">
        <f>IF(OR(I1279="",G1279=""),"",IF(G1279="Saída",-I1279,I1279))</f>
        <v/>
      </c>
      <c r="L1279" t="str">
        <f>IF(E1279="","",IFERROR(VLOOKUP(E1279,Listas!$A$2:$C$1048576,3,FALSE),""))</f>
        <v/>
      </c>
    </row>
    <row r="1280" spans="10:12" x14ac:dyDescent="0.25">
      <c r="J1280" t="str">
        <f>IF(H1280="","",IFERROR(VLOOKUP(H1280,Listas!$J$2:$K$1048576,2,FALSE),""))</f>
        <v/>
      </c>
      <c r="K1280" s="5" t="str">
        <f>IF(OR(I1280="",G1280=""),"",IF(G1280="Saída",-I1280,I1280))</f>
        <v/>
      </c>
      <c r="L1280" t="str">
        <f>IF(E1280="","",IFERROR(VLOOKUP(E1280,Listas!$A$2:$C$1048576,3,FALSE),""))</f>
        <v/>
      </c>
    </row>
    <row r="1281" spans="10:12" x14ac:dyDescent="0.25">
      <c r="J1281" t="str">
        <f>IF(H1281="","",IFERROR(VLOOKUP(H1281,Listas!$J$2:$K$1048576,2,FALSE),""))</f>
        <v/>
      </c>
      <c r="K1281" s="5" t="str">
        <f>IF(OR(I1281="",G1281=""),"",IF(G1281="Saída",-I1281,I1281))</f>
        <v/>
      </c>
      <c r="L1281" t="str">
        <f>IF(E1281="","",IFERROR(VLOOKUP(E1281,Listas!$A$2:$C$1048576,3,FALSE),""))</f>
        <v/>
      </c>
    </row>
    <row r="1282" spans="10:12" x14ac:dyDescent="0.25">
      <c r="J1282" t="str">
        <f>IF(H1282="","",IFERROR(VLOOKUP(H1282,Listas!$J$2:$K$1048576,2,FALSE),""))</f>
        <v/>
      </c>
      <c r="K1282" s="5" t="str">
        <f>IF(OR(I1282="",G1282=""),"",IF(G1282="Saída",-I1282,I1282))</f>
        <v/>
      </c>
      <c r="L1282" t="str">
        <f>IF(E1282="","",IFERROR(VLOOKUP(E1282,Listas!$A$2:$C$1048576,3,FALSE),""))</f>
        <v/>
      </c>
    </row>
    <row r="1283" spans="10:12" x14ac:dyDescent="0.25">
      <c r="J1283" t="str">
        <f>IF(H1283="","",IFERROR(VLOOKUP(H1283,Listas!$J$2:$K$1048576,2,FALSE),""))</f>
        <v/>
      </c>
      <c r="K1283" s="5" t="str">
        <f>IF(OR(I1283="",G1283=""),"",IF(G1283="Saída",-I1283,I1283))</f>
        <v/>
      </c>
      <c r="L1283" t="str">
        <f>IF(E1283="","",IFERROR(VLOOKUP(E1283,Listas!$A$2:$C$1048576,3,FALSE),""))</f>
        <v/>
      </c>
    </row>
    <row r="1284" spans="10:12" x14ac:dyDescent="0.25">
      <c r="J1284" t="str">
        <f>IF(H1284="","",IFERROR(VLOOKUP(H1284,Listas!$J$2:$K$1048576,2,FALSE),""))</f>
        <v/>
      </c>
      <c r="K1284" s="5" t="str">
        <f>IF(OR(I1284="",G1284=""),"",IF(G1284="Saída",-I1284,I1284))</f>
        <v/>
      </c>
      <c r="L1284" t="str">
        <f>IF(E1284="","",IFERROR(VLOOKUP(E1284,Listas!$A$2:$C$1048576,3,FALSE),""))</f>
        <v/>
      </c>
    </row>
    <row r="1285" spans="10:12" x14ac:dyDescent="0.25">
      <c r="J1285" t="str">
        <f>IF(H1285="","",IFERROR(VLOOKUP(H1285,Listas!$J$2:$K$1048576,2,FALSE),""))</f>
        <v/>
      </c>
      <c r="K1285" s="5" t="str">
        <f>IF(OR(I1285="",G1285=""),"",IF(G1285="Saída",-I1285,I1285))</f>
        <v/>
      </c>
      <c r="L1285" t="str">
        <f>IF(E1285="","",IFERROR(VLOOKUP(E1285,Listas!$A$2:$C$1048576,3,FALSE),""))</f>
        <v/>
      </c>
    </row>
    <row r="1286" spans="10:12" x14ac:dyDescent="0.25">
      <c r="J1286" t="str">
        <f>IF(H1286="","",IFERROR(VLOOKUP(H1286,Listas!$J$2:$K$1048576,2,FALSE),""))</f>
        <v/>
      </c>
      <c r="K1286" s="5" t="str">
        <f>IF(OR(I1286="",G1286=""),"",IF(G1286="Saída",-I1286,I1286))</f>
        <v/>
      </c>
      <c r="L1286" t="str">
        <f>IF(E1286="","",IFERROR(VLOOKUP(E1286,Listas!$A$2:$C$1048576,3,FALSE),""))</f>
        <v/>
      </c>
    </row>
    <row r="1287" spans="10:12" x14ac:dyDescent="0.25">
      <c r="J1287" t="str">
        <f>IF(H1287="","",IFERROR(VLOOKUP(H1287,Listas!$J$2:$K$1048576,2,FALSE),""))</f>
        <v/>
      </c>
      <c r="K1287" s="5" t="str">
        <f>IF(OR(I1287="",G1287=""),"",IF(G1287="Saída",-I1287,I1287))</f>
        <v/>
      </c>
      <c r="L1287" t="str">
        <f>IF(E1287="","",IFERROR(VLOOKUP(E1287,Listas!$A$2:$C$1048576,3,FALSE),""))</f>
        <v/>
      </c>
    </row>
    <row r="1288" spans="10:12" x14ac:dyDescent="0.25">
      <c r="J1288" t="str">
        <f>IF(H1288="","",IFERROR(VLOOKUP(H1288,Listas!$J$2:$K$1048576,2,FALSE),""))</f>
        <v/>
      </c>
      <c r="K1288" s="5" t="str">
        <f>IF(OR(I1288="",G1288=""),"",IF(G1288="Saída",-I1288,I1288))</f>
        <v/>
      </c>
      <c r="L1288" t="str">
        <f>IF(E1288="","",IFERROR(VLOOKUP(E1288,Listas!$A$2:$C$1048576,3,FALSE),""))</f>
        <v/>
      </c>
    </row>
    <row r="1289" spans="10:12" x14ac:dyDescent="0.25">
      <c r="J1289" t="str">
        <f>IF(H1289="","",IFERROR(VLOOKUP(H1289,Listas!$J$2:$K$1048576,2,FALSE),""))</f>
        <v/>
      </c>
      <c r="K1289" s="5" t="str">
        <f>IF(OR(I1289="",G1289=""),"",IF(G1289="Saída",-I1289,I1289))</f>
        <v/>
      </c>
      <c r="L1289" t="str">
        <f>IF(E1289="","",IFERROR(VLOOKUP(E1289,Listas!$A$2:$C$1048576,3,FALSE),""))</f>
        <v/>
      </c>
    </row>
    <row r="1290" spans="10:12" x14ac:dyDescent="0.25">
      <c r="J1290" t="str">
        <f>IF(H1290="","",IFERROR(VLOOKUP(H1290,Listas!$J$2:$K$1048576,2,FALSE),""))</f>
        <v/>
      </c>
      <c r="K1290" s="5" t="str">
        <f>IF(OR(I1290="",G1290=""),"",IF(G1290="Saída",-I1290,I1290))</f>
        <v/>
      </c>
      <c r="L1290" t="str">
        <f>IF(E1290="","",IFERROR(VLOOKUP(E1290,Listas!$A$2:$C$1048576,3,FALSE),""))</f>
        <v/>
      </c>
    </row>
    <row r="1291" spans="10:12" x14ac:dyDescent="0.25">
      <c r="J1291" t="str">
        <f>IF(H1291="","",IFERROR(VLOOKUP(H1291,Listas!$J$2:$K$1048576,2,FALSE),""))</f>
        <v/>
      </c>
      <c r="K1291" s="5" t="str">
        <f>IF(OR(I1291="",G1291=""),"",IF(G1291="Saída",-I1291,I1291))</f>
        <v/>
      </c>
      <c r="L1291" t="str">
        <f>IF(E1291="","",IFERROR(VLOOKUP(E1291,Listas!$A$2:$C$1048576,3,FALSE),""))</f>
        <v/>
      </c>
    </row>
    <row r="1292" spans="10:12" x14ac:dyDescent="0.25">
      <c r="J1292" t="str">
        <f>IF(H1292="","",IFERROR(VLOOKUP(H1292,Listas!$J$2:$K$1048576,2,FALSE),""))</f>
        <v/>
      </c>
      <c r="K1292" s="5" t="str">
        <f>IF(OR(I1292="",G1292=""),"",IF(G1292="Saída",-I1292,I1292))</f>
        <v/>
      </c>
      <c r="L1292" t="str">
        <f>IF(E1292="","",IFERROR(VLOOKUP(E1292,Listas!$A$2:$C$1048576,3,FALSE),""))</f>
        <v/>
      </c>
    </row>
    <row r="1293" spans="10:12" x14ac:dyDescent="0.25">
      <c r="J1293" t="str">
        <f>IF(H1293="","",IFERROR(VLOOKUP(H1293,Listas!$J$2:$K$1048576,2,FALSE),""))</f>
        <v/>
      </c>
      <c r="K1293" s="5" t="str">
        <f>IF(OR(I1293="",G1293=""),"",IF(G1293="Saída",-I1293,I1293))</f>
        <v/>
      </c>
      <c r="L1293" t="str">
        <f>IF(E1293="","",IFERROR(VLOOKUP(E1293,Listas!$A$2:$C$1048576,3,FALSE),""))</f>
        <v/>
      </c>
    </row>
    <row r="1294" spans="10:12" x14ac:dyDescent="0.25">
      <c r="J1294" t="str">
        <f>IF(H1294="","",IFERROR(VLOOKUP(H1294,Listas!$J$2:$K$1048576,2,FALSE),""))</f>
        <v/>
      </c>
      <c r="K1294" s="5" t="str">
        <f>IF(OR(I1294="",G1294=""),"",IF(G1294="Saída",-I1294,I1294))</f>
        <v/>
      </c>
      <c r="L1294" t="str">
        <f>IF(E1294="","",IFERROR(VLOOKUP(E1294,Listas!$A$2:$C$1048576,3,FALSE),""))</f>
        <v/>
      </c>
    </row>
    <row r="1295" spans="10:12" x14ac:dyDescent="0.25">
      <c r="J1295" t="str">
        <f>IF(H1295="","",IFERROR(VLOOKUP(H1295,Listas!$J$2:$K$1048576,2,FALSE),""))</f>
        <v/>
      </c>
      <c r="K1295" s="5" t="str">
        <f>IF(OR(I1295="",G1295=""),"",IF(G1295="Saída",-I1295,I1295))</f>
        <v/>
      </c>
      <c r="L1295" t="str">
        <f>IF(E1295="","",IFERROR(VLOOKUP(E1295,Listas!$A$2:$C$1048576,3,FALSE),""))</f>
        <v/>
      </c>
    </row>
    <row r="1296" spans="10:12" x14ac:dyDescent="0.25">
      <c r="J1296" t="str">
        <f>IF(H1296="","",IFERROR(VLOOKUP(H1296,Listas!$J$2:$K$1048576,2,FALSE),""))</f>
        <v/>
      </c>
      <c r="K1296" s="5" t="str">
        <f>IF(OR(I1296="",G1296=""),"",IF(G1296="Saída",-I1296,I1296))</f>
        <v/>
      </c>
      <c r="L1296" t="str">
        <f>IF(E1296="","",IFERROR(VLOOKUP(E1296,Listas!$A$2:$C$1048576,3,FALSE),""))</f>
        <v/>
      </c>
    </row>
    <row r="1297" spans="10:12" x14ac:dyDescent="0.25">
      <c r="J1297" t="str">
        <f>IF(H1297="","",IFERROR(VLOOKUP(H1297,Listas!$J$2:$K$1048576,2,FALSE),""))</f>
        <v/>
      </c>
      <c r="K1297" s="5" t="str">
        <f>IF(OR(I1297="",G1297=""),"",IF(G1297="Saída",-I1297,I1297))</f>
        <v/>
      </c>
      <c r="L1297" t="str">
        <f>IF(E1297="","",IFERROR(VLOOKUP(E1297,Listas!$A$2:$C$1048576,3,FALSE),""))</f>
        <v/>
      </c>
    </row>
    <row r="1298" spans="10:12" x14ac:dyDescent="0.25">
      <c r="J1298" t="str">
        <f>IF(H1298="","",IFERROR(VLOOKUP(H1298,Listas!$J$2:$K$1048576,2,FALSE),""))</f>
        <v/>
      </c>
      <c r="K1298" s="5" t="str">
        <f>IF(OR(I1298="",G1298=""),"",IF(G1298="Saída",-I1298,I1298))</f>
        <v/>
      </c>
      <c r="L1298" t="str">
        <f>IF(E1298="","",IFERROR(VLOOKUP(E1298,Listas!$A$2:$C$1048576,3,FALSE),""))</f>
        <v/>
      </c>
    </row>
    <row r="1299" spans="10:12" x14ac:dyDescent="0.25">
      <c r="J1299" t="str">
        <f>IF(H1299="","",IFERROR(VLOOKUP(H1299,Listas!$J$2:$K$1048576,2,FALSE),""))</f>
        <v/>
      </c>
      <c r="K1299" s="5" t="str">
        <f>IF(OR(I1299="",G1299=""),"",IF(G1299="Saída",-I1299,I1299))</f>
        <v/>
      </c>
      <c r="L1299" t="str">
        <f>IF(E1299="","",IFERROR(VLOOKUP(E1299,Listas!$A$2:$C$1048576,3,FALSE),""))</f>
        <v/>
      </c>
    </row>
    <row r="1300" spans="10:12" x14ac:dyDescent="0.25">
      <c r="J1300" t="str">
        <f>IF(H1300="","",IFERROR(VLOOKUP(H1300,Listas!$J$2:$K$1048576,2,FALSE),""))</f>
        <v/>
      </c>
      <c r="K1300" s="5" t="str">
        <f>IF(OR(I1300="",G1300=""),"",IF(G1300="Saída",-I1300,I1300))</f>
        <v/>
      </c>
      <c r="L1300" t="str">
        <f>IF(E1300="","",IFERROR(VLOOKUP(E1300,Listas!$A$2:$C$1048576,3,FALSE),""))</f>
        <v/>
      </c>
    </row>
    <row r="1301" spans="10:12" x14ac:dyDescent="0.25">
      <c r="J1301" t="str">
        <f>IF(H1301="","",IFERROR(VLOOKUP(H1301,Listas!$J$2:$K$1048576,2,FALSE),""))</f>
        <v/>
      </c>
      <c r="K1301" s="5" t="str">
        <f>IF(OR(I1301="",G1301=""),"",IF(G1301="Saída",-I1301,I1301))</f>
        <v/>
      </c>
      <c r="L1301" t="str">
        <f>IF(E1301="","",IFERROR(VLOOKUP(E1301,Listas!$A$2:$C$1048576,3,FALSE),""))</f>
        <v/>
      </c>
    </row>
    <row r="1302" spans="10:12" x14ac:dyDescent="0.25">
      <c r="J1302" t="str">
        <f>IF(H1302="","",IFERROR(VLOOKUP(H1302,Listas!$J$2:$K$1048576,2,FALSE),""))</f>
        <v/>
      </c>
      <c r="K1302" s="5" t="str">
        <f>IF(OR(I1302="",G1302=""),"",IF(G1302="Saída",-I1302,I1302))</f>
        <v/>
      </c>
      <c r="L1302" t="str">
        <f>IF(E1302="","",IFERROR(VLOOKUP(E1302,Listas!$A$2:$C$1048576,3,FALSE),""))</f>
        <v/>
      </c>
    </row>
    <row r="1303" spans="10:12" x14ac:dyDescent="0.25">
      <c r="J1303" t="str">
        <f>IF(H1303="","",IFERROR(VLOOKUP(H1303,Listas!$J$2:$K$1048576,2,FALSE),""))</f>
        <v/>
      </c>
      <c r="K1303" s="5" t="str">
        <f>IF(OR(I1303="",G1303=""),"",IF(G1303="Saída",-I1303,I1303))</f>
        <v/>
      </c>
      <c r="L1303" t="str">
        <f>IF(E1303="","",IFERROR(VLOOKUP(E1303,Listas!$A$2:$C$1048576,3,FALSE),""))</f>
        <v/>
      </c>
    </row>
    <row r="1304" spans="10:12" x14ac:dyDescent="0.25">
      <c r="J1304" t="str">
        <f>IF(H1304="","",IFERROR(VLOOKUP(H1304,Listas!$J$2:$K$1048576,2,FALSE),""))</f>
        <v/>
      </c>
      <c r="K1304" s="5" t="str">
        <f>IF(OR(I1304="",G1304=""),"",IF(G1304="Saída",-I1304,I1304))</f>
        <v/>
      </c>
      <c r="L1304" t="str">
        <f>IF(E1304="","",IFERROR(VLOOKUP(E1304,Listas!$A$2:$C$1048576,3,FALSE),""))</f>
        <v/>
      </c>
    </row>
    <row r="1305" spans="10:12" x14ac:dyDescent="0.25">
      <c r="J1305" t="str">
        <f>IF(H1305="","",IFERROR(VLOOKUP(H1305,Listas!$J$2:$K$1048576,2,FALSE),""))</f>
        <v/>
      </c>
      <c r="K1305" s="5" t="str">
        <f>IF(OR(I1305="",G1305=""),"",IF(G1305="Saída",-I1305,I1305))</f>
        <v/>
      </c>
      <c r="L1305" t="str">
        <f>IF(E1305="","",IFERROR(VLOOKUP(E1305,Listas!$A$2:$C$1048576,3,FALSE),""))</f>
        <v/>
      </c>
    </row>
    <row r="1306" spans="10:12" x14ac:dyDescent="0.25">
      <c r="J1306" t="str">
        <f>IF(H1306="","",IFERROR(VLOOKUP(H1306,Listas!$J$2:$K$1048576,2,FALSE),""))</f>
        <v/>
      </c>
      <c r="K1306" s="5" t="str">
        <f>IF(OR(I1306="",G1306=""),"",IF(G1306="Saída",-I1306,I1306))</f>
        <v/>
      </c>
      <c r="L1306" t="str">
        <f>IF(E1306="","",IFERROR(VLOOKUP(E1306,Listas!$A$2:$C$1048576,3,FALSE),""))</f>
        <v/>
      </c>
    </row>
    <row r="1307" spans="10:12" x14ac:dyDescent="0.25">
      <c r="J1307" t="str">
        <f>IF(H1307="","",IFERROR(VLOOKUP(H1307,Listas!$J$2:$K$1048576,2,FALSE),""))</f>
        <v/>
      </c>
      <c r="K1307" s="5" t="str">
        <f>IF(OR(I1307="",G1307=""),"",IF(G1307="Saída",-I1307,I1307))</f>
        <v/>
      </c>
      <c r="L1307" t="str">
        <f>IF(E1307="","",IFERROR(VLOOKUP(E1307,Listas!$A$2:$C$1048576,3,FALSE),""))</f>
        <v/>
      </c>
    </row>
    <row r="1308" spans="10:12" x14ac:dyDescent="0.25">
      <c r="J1308" t="str">
        <f>IF(H1308="","",IFERROR(VLOOKUP(H1308,Listas!$J$2:$K$1048576,2,FALSE),""))</f>
        <v/>
      </c>
      <c r="K1308" s="5" t="str">
        <f>IF(OR(I1308="",G1308=""),"",IF(G1308="Saída",-I1308,I1308))</f>
        <v/>
      </c>
      <c r="L1308" t="str">
        <f>IF(E1308="","",IFERROR(VLOOKUP(E1308,Listas!$A$2:$C$1048576,3,FALSE),""))</f>
        <v/>
      </c>
    </row>
    <row r="1309" spans="10:12" x14ac:dyDescent="0.25">
      <c r="J1309" t="str">
        <f>IF(H1309="","",IFERROR(VLOOKUP(H1309,Listas!$J$2:$K$1048576,2,FALSE),""))</f>
        <v/>
      </c>
      <c r="K1309" s="5" t="str">
        <f>IF(OR(I1309="",G1309=""),"",IF(G1309="Saída",-I1309,I1309))</f>
        <v/>
      </c>
      <c r="L1309" t="str">
        <f>IF(E1309="","",IFERROR(VLOOKUP(E1309,Listas!$A$2:$C$1048576,3,FALSE),""))</f>
        <v/>
      </c>
    </row>
    <row r="1310" spans="10:12" x14ac:dyDescent="0.25">
      <c r="J1310" t="str">
        <f>IF(H1310="","",IFERROR(VLOOKUP(H1310,Listas!$J$2:$K$1048576,2,FALSE),""))</f>
        <v/>
      </c>
      <c r="K1310" s="5" t="str">
        <f>IF(OR(I1310="",G1310=""),"",IF(G1310="Saída",-I1310,I1310))</f>
        <v/>
      </c>
      <c r="L1310" t="str">
        <f>IF(E1310="","",IFERROR(VLOOKUP(E1310,Listas!$A$2:$C$1048576,3,FALSE),""))</f>
        <v/>
      </c>
    </row>
    <row r="1311" spans="10:12" x14ac:dyDescent="0.25">
      <c r="J1311" t="str">
        <f>IF(H1311="","",IFERROR(VLOOKUP(H1311,Listas!$J$2:$K$1048576,2,FALSE),""))</f>
        <v/>
      </c>
      <c r="K1311" s="5" t="str">
        <f>IF(OR(I1311="",G1311=""),"",IF(G1311="Saída",-I1311,I1311))</f>
        <v/>
      </c>
      <c r="L1311" t="str">
        <f>IF(E1311="","",IFERROR(VLOOKUP(E1311,Listas!$A$2:$C$1048576,3,FALSE),""))</f>
        <v/>
      </c>
    </row>
    <row r="1312" spans="10:12" x14ac:dyDescent="0.25">
      <c r="J1312" t="str">
        <f>IF(H1312="","",IFERROR(VLOOKUP(H1312,Listas!$J$2:$K$1048576,2,FALSE),""))</f>
        <v/>
      </c>
      <c r="K1312" s="5" t="str">
        <f>IF(OR(I1312="",G1312=""),"",IF(G1312="Saída",-I1312,I1312))</f>
        <v/>
      </c>
      <c r="L1312" t="str">
        <f>IF(E1312="","",IFERROR(VLOOKUP(E1312,Listas!$A$2:$C$1048576,3,FALSE),""))</f>
        <v/>
      </c>
    </row>
    <row r="1313" spans="10:12" x14ac:dyDescent="0.25">
      <c r="J1313" t="str">
        <f>IF(H1313="","",IFERROR(VLOOKUP(H1313,Listas!$J$2:$K$1048576,2,FALSE),""))</f>
        <v/>
      </c>
      <c r="K1313" s="5" t="str">
        <f>IF(OR(I1313="",G1313=""),"",IF(G1313="Saída",-I1313,I1313))</f>
        <v/>
      </c>
      <c r="L1313" t="str">
        <f>IF(E1313="","",IFERROR(VLOOKUP(E1313,Listas!$A$2:$C$1048576,3,FALSE),""))</f>
        <v/>
      </c>
    </row>
    <row r="1314" spans="10:12" x14ac:dyDescent="0.25">
      <c r="J1314" t="str">
        <f>IF(H1314="","",IFERROR(VLOOKUP(H1314,Listas!$J$2:$K$1048576,2,FALSE),""))</f>
        <v/>
      </c>
      <c r="K1314" s="5" t="str">
        <f>IF(OR(I1314="",G1314=""),"",IF(G1314="Saída",-I1314,I1314))</f>
        <v/>
      </c>
      <c r="L1314" t="str">
        <f>IF(E1314="","",IFERROR(VLOOKUP(E1314,Listas!$A$2:$C$1048576,3,FALSE),""))</f>
        <v/>
      </c>
    </row>
    <row r="1315" spans="10:12" x14ac:dyDescent="0.25">
      <c r="J1315" t="str">
        <f>IF(H1315="","",IFERROR(VLOOKUP(H1315,Listas!$J$2:$K$1048576,2,FALSE),""))</f>
        <v/>
      </c>
      <c r="K1315" s="5" t="str">
        <f>IF(OR(I1315="",G1315=""),"",IF(G1315="Saída",-I1315,I1315))</f>
        <v/>
      </c>
      <c r="L1315" t="str">
        <f>IF(E1315="","",IFERROR(VLOOKUP(E1315,Listas!$A$2:$C$1048576,3,FALSE),""))</f>
        <v/>
      </c>
    </row>
    <row r="1316" spans="10:12" x14ac:dyDescent="0.25">
      <c r="J1316" t="str">
        <f>IF(H1316="","",IFERROR(VLOOKUP(H1316,Listas!$J$2:$K$1048576,2,FALSE),""))</f>
        <v/>
      </c>
      <c r="K1316" s="5" t="str">
        <f>IF(OR(I1316="",G1316=""),"",IF(G1316="Saída",-I1316,I1316))</f>
        <v/>
      </c>
      <c r="L1316" t="str">
        <f>IF(E1316="","",IFERROR(VLOOKUP(E1316,Listas!$A$2:$C$1048576,3,FALSE),""))</f>
        <v/>
      </c>
    </row>
    <row r="1317" spans="10:12" x14ac:dyDescent="0.25">
      <c r="J1317" t="str">
        <f>IF(H1317="","",IFERROR(VLOOKUP(H1317,Listas!$J$2:$K$1048576,2,FALSE),""))</f>
        <v/>
      </c>
      <c r="K1317" s="5" t="str">
        <f>IF(OR(I1317="",G1317=""),"",IF(G1317="Saída",-I1317,I1317))</f>
        <v/>
      </c>
      <c r="L1317" t="str">
        <f>IF(E1317="","",IFERROR(VLOOKUP(E1317,Listas!$A$2:$C$1048576,3,FALSE),""))</f>
        <v/>
      </c>
    </row>
    <row r="1318" spans="10:12" x14ac:dyDescent="0.25">
      <c r="J1318" t="str">
        <f>IF(H1318="","",IFERROR(VLOOKUP(H1318,Listas!$J$2:$K$1048576,2,FALSE),""))</f>
        <v/>
      </c>
      <c r="K1318" s="5" t="str">
        <f>IF(OR(I1318="",G1318=""),"",IF(G1318="Saída",-I1318,I1318))</f>
        <v/>
      </c>
      <c r="L1318" t="str">
        <f>IF(E1318="","",IFERROR(VLOOKUP(E1318,Listas!$A$2:$C$1048576,3,FALSE),""))</f>
        <v/>
      </c>
    </row>
    <row r="1319" spans="10:12" x14ac:dyDescent="0.25">
      <c r="J1319" t="str">
        <f>IF(H1319="","",IFERROR(VLOOKUP(H1319,Listas!$J$2:$K$1048576,2,FALSE),""))</f>
        <v/>
      </c>
      <c r="K1319" s="5" t="str">
        <f>IF(OR(I1319="",G1319=""),"",IF(G1319="Saída",-I1319,I1319))</f>
        <v/>
      </c>
      <c r="L1319" t="str">
        <f>IF(E1319="","",IFERROR(VLOOKUP(E1319,Listas!$A$2:$C$1048576,3,FALSE),""))</f>
        <v/>
      </c>
    </row>
    <row r="1320" spans="10:12" x14ac:dyDescent="0.25">
      <c r="J1320" t="str">
        <f>IF(H1320="","",IFERROR(VLOOKUP(H1320,Listas!$J$2:$K$1048576,2,FALSE),""))</f>
        <v/>
      </c>
      <c r="K1320" s="5" t="str">
        <f>IF(OR(I1320="",G1320=""),"",IF(G1320="Saída",-I1320,I1320))</f>
        <v/>
      </c>
      <c r="L1320" t="str">
        <f>IF(E1320="","",IFERROR(VLOOKUP(E1320,Listas!$A$2:$C$1048576,3,FALSE),""))</f>
        <v/>
      </c>
    </row>
    <row r="1321" spans="10:12" x14ac:dyDescent="0.25">
      <c r="J1321" t="str">
        <f>IF(H1321="","",IFERROR(VLOOKUP(H1321,Listas!$J$2:$K$1048576,2,FALSE),""))</f>
        <v/>
      </c>
      <c r="K1321" s="5" t="str">
        <f>IF(OR(I1321="",G1321=""),"",IF(G1321="Saída",-I1321,I1321))</f>
        <v/>
      </c>
      <c r="L1321" t="str">
        <f>IF(E1321="","",IFERROR(VLOOKUP(E1321,Listas!$A$2:$C$1048576,3,FALSE),""))</f>
        <v/>
      </c>
    </row>
    <row r="1322" spans="10:12" x14ac:dyDescent="0.25">
      <c r="J1322" t="str">
        <f>IF(H1322="","",IFERROR(VLOOKUP(H1322,Listas!$J$2:$K$1048576,2,FALSE),""))</f>
        <v/>
      </c>
      <c r="K1322" s="5" t="str">
        <f>IF(OR(I1322="",G1322=""),"",IF(G1322="Saída",-I1322,I1322))</f>
        <v/>
      </c>
      <c r="L1322" t="str">
        <f>IF(E1322="","",IFERROR(VLOOKUP(E1322,Listas!$A$2:$C$1048576,3,FALSE),""))</f>
        <v/>
      </c>
    </row>
    <row r="1323" spans="10:12" x14ac:dyDescent="0.25">
      <c r="J1323" t="str">
        <f>IF(H1323="","",IFERROR(VLOOKUP(H1323,Listas!$J$2:$K$1048576,2,FALSE),""))</f>
        <v/>
      </c>
      <c r="K1323" s="5" t="str">
        <f>IF(OR(I1323="",G1323=""),"",IF(G1323="Saída",-I1323,I1323))</f>
        <v/>
      </c>
      <c r="L1323" t="str">
        <f>IF(E1323="","",IFERROR(VLOOKUP(E1323,Listas!$A$2:$C$1048576,3,FALSE),""))</f>
        <v/>
      </c>
    </row>
    <row r="1324" spans="10:12" x14ac:dyDescent="0.25">
      <c r="J1324" t="str">
        <f>IF(H1324="","",IFERROR(VLOOKUP(H1324,Listas!$J$2:$K$1048576,2,FALSE),""))</f>
        <v/>
      </c>
      <c r="K1324" s="5" t="str">
        <f>IF(OR(I1324="",G1324=""),"",IF(G1324="Saída",-I1324,I1324))</f>
        <v/>
      </c>
      <c r="L1324" t="str">
        <f>IF(E1324="","",IFERROR(VLOOKUP(E1324,Listas!$A$2:$C$1048576,3,FALSE),""))</f>
        <v/>
      </c>
    </row>
    <row r="1325" spans="10:12" x14ac:dyDescent="0.25">
      <c r="J1325" t="str">
        <f>IF(H1325="","",IFERROR(VLOOKUP(H1325,Listas!$J$2:$K$1048576,2,FALSE),""))</f>
        <v/>
      </c>
      <c r="K1325" s="5" t="str">
        <f>IF(OR(I1325="",G1325=""),"",IF(G1325="Saída",-I1325,I1325))</f>
        <v/>
      </c>
      <c r="L1325" t="str">
        <f>IF(E1325="","",IFERROR(VLOOKUP(E1325,Listas!$A$2:$C$1048576,3,FALSE),""))</f>
        <v/>
      </c>
    </row>
    <row r="1326" spans="10:12" x14ac:dyDescent="0.25">
      <c r="J1326" t="str">
        <f>IF(H1326="","",IFERROR(VLOOKUP(H1326,Listas!$J$2:$K$1048576,2,FALSE),""))</f>
        <v/>
      </c>
      <c r="K1326" s="5" t="str">
        <f>IF(OR(I1326="",G1326=""),"",IF(G1326="Saída",-I1326,I1326))</f>
        <v/>
      </c>
      <c r="L1326" t="str">
        <f>IF(E1326="","",IFERROR(VLOOKUP(E1326,Listas!$A$2:$C$1048576,3,FALSE),""))</f>
        <v/>
      </c>
    </row>
    <row r="1327" spans="10:12" x14ac:dyDescent="0.25">
      <c r="J1327" t="str">
        <f>IF(H1327="","",IFERROR(VLOOKUP(H1327,Listas!$J$2:$K$1048576,2,FALSE),""))</f>
        <v/>
      </c>
      <c r="K1327" s="5" t="str">
        <f>IF(OR(I1327="",G1327=""),"",IF(G1327="Saída",-I1327,I1327))</f>
        <v/>
      </c>
      <c r="L1327" t="str">
        <f>IF(E1327="","",IFERROR(VLOOKUP(E1327,Listas!$A$2:$C$1048576,3,FALSE),""))</f>
        <v/>
      </c>
    </row>
    <row r="1328" spans="10:12" x14ac:dyDescent="0.25">
      <c r="J1328" t="str">
        <f>IF(H1328="","",IFERROR(VLOOKUP(H1328,Listas!$J$2:$K$1048576,2,FALSE),""))</f>
        <v/>
      </c>
      <c r="K1328" s="5" t="str">
        <f>IF(OR(I1328="",G1328=""),"",IF(G1328="Saída",-I1328,I1328))</f>
        <v/>
      </c>
      <c r="L1328" t="str">
        <f>IF(E1328="","",IFERROR(VLOOKUP(E1328,Listas!$A$2:$C$1048576,3,FALSE),""))</f>
        <v/>
      </c>
    </row>
    <row r="1329" spans="10:12" x14ac:dyDescent="0.25">
      <c r="J1329" t="str">
        <f>IF(H1329="","",IFERROR(VLOOKUP(H1329,Listas!$J$2:$K$1048576,2,FALSE),""))</f>
        <v/>
      </c>
      <c r="K1329" s="5" t="str">
        <f>IF(OR(I1329="",G1329=""),"",IF(G1329="Saída",-I1329,I1329))</f>
        <v/>
      </c>
      <c r="L1329" t="str">
        <f>IF(E1329="","",IFERROR(VLOOKUP(E1329,Listas!$A$2:$C$1048576,3,FALSE),""))</f>
        <v/>
      </c>
    </row>
    <row r="1330" spans="10:12" x14ac:dyDescent="0.25">
      <c r="J1330" t="str">
        <f>IF(H1330="","",IFERROR(VLOOKUP(H1330,Listas!$J$2:$K$1048576,2,FALSE),""))</f>
        <v/>
      </c>
      <c r="K1330" s="5" t="str">
        <f>IF(OR(I1330="",G1330=""),"",IF(G1330="Saída",-I1330,I1330))</f>
        <v/>
      </c>
      <c r="L1330" t="str">
        <f>IF(E1330="","",IFERROR(VLOOKUP(E1330,Listas!$A$2:$C$1048576,3,FALSE),""))</f>
        <v/>
      </c>
    </row>
    <row r="1331" spans="10:12" x14ac:dyDescent="0.25">
      <c r="J1331" t="str">
        <f>IF(H1331="","",IFERROR(VLOOKUP(H1331,Listas!$J$2:$K$1048576,2,FALSE),""))</f>
        <v/>
      </c>
      <c r="K1331" s="5" t="str">
        <f>IF(OR(I1331="",G1331=""),"",IF(G1331="Saída",-I1331,I1331))</f>
        <v/>
      </c>
      <c r="L1331" t="str">
        <f>IF(E1331="","",IFERROR(VLOOKUP(E1331,Listas!$A$2:$C$1048576,3,FALSE),""))</f>
        <v/>
      </c>
    </row>
    <row r="1332" spans="10:12" x14ac:dyDescent="0.25">
      <c r="J1332" t="str">
        <f>IF(H1332="","",IFERROR(VLOOKUP(H1332,Listas!$J$2:$K$1048576,2,FALSE),""))</f>
        <v/>
      </c>
      <c r="K1332" s="5" t="str">
        <f>IF(OR(I1332="",G1332=""),"",IF(G1332="Saída",-I1332,I1332))</f>
        <v/>
      </c>
      <c r="L1332" t="str">
        <f>IF(E1332="","",IFERROR(VLOOKUP(E1332,Listas!$A$2:$C$1048576,3,FALSE),""))</f>
        <v/>
      </c>
    </row>
    <row r="1333" spans="10:12" x14ac:dyDescent="0.25">
      <c r="J1333" t="str">
        <f>IF(H1333="","",IFERROR(VLOOKUP(H1333,Listas!$J$2:$K$1048576,2,FALSE),""))</f>
        <v/>
      </c>
      <c r="K1333" s="5" t="str">
        <f>IF(OR(I1333="",G1333=""),"",IF(G1333="Saída",-I1333,I1333))</f>
        <v/>
      </c>
      <c r="L1333" t="str">
        <f>IF(E1333="","",IFERROR(VLOOKUP(E1333,Listas!$A$2:$C$1048576,3,FALSE),""))</f>
        <v/>
      </c>
    </row>
    <row r="1334" spans="10:12" x14ac:dyDescent="0.25">
      <c r="J1334" t="str">
        <f>IF(H1334="","",IFERROR(VLOOKUP(H1334,Listas!$J$2:$K$1048576,2,FALSE),""))</f>
        <v/>
      </c>
      <c r="K1334" s="5" t="str">
        <f>IF(OR(I1334="",G1334=""),"",IF(G1334="Saída",-I1334,I1334))</f>
        <v/>
      </c>
      <c r="L1334" t="str">
        <f>IF(E1334="","",IFERROR(VLOOKUP(E1334,Listas!$A$2:$C$1048576,3,FALSE),""))</f>
        <v/>
      </c>
    </row>
    <row r="1335" spans="10:12" x14ac:dyDescent="0.25">
      <c r="J1335" t="str">
        <f>IF(H1335="","",IFERROR(VLOOKUP(H1335,Listas!$J$2:$K$1048576,2,FALSE),""))</f>
        <v/>
      </c>
      <c r="K1335" s="5" t="str">
        <f>IF(OR(I1335="",G1335=""),"",IF(G1335="Saída",-I1335,I1335))</f>
        <v/>
      </c>
      <c r="L1335" t="str">
        <f>IF(E1335="","",IFERROR(VLOOKUP(E1335,Listas!$A$2:$C$1048576,3,FALSE),""))</f>
        <v/>
      </c>
    </row>
    <row r="1336" spans="10:12" x14ac:dyDescent="0.25">
      <c r="J1336" t="str">
        <f>IF(H1336="","",IFERROR(VLOOKUP(H1336,Listas!$J$2:$K$1048576,2,FALSE),""))</f>
        <v/>
      </c>
      <c r="K1336" s="5" t="str">
        <f>IF(OR(I1336="",G1336=""),"",IF(G1336="Saída",-I1336,I1336))</f>
        <v/>
      </c>
      <c r="L1336" t="str">
        <f>IF(E1336="","",IFERROR(VLOOKUP(E1336,Listas!$A$2:$C$1048576,3,FALSE),""))</f>
        <v/>
      </c>
    </row>
    <row r="1337" spans="10:12" x14ac:dyDescent="0.25">
      <c r="J1337" t="str">
        <f>IF(H1337="","",IFERROR(VLOOKUP(H1337,Listas!$J$2:$K$1048576,2,FALSE),""))</f>
        <v/>
      </c>
      <c r="K1337" s="5" t="str">
        <f>IF(OR(I1337="",G1337=""),"",IF(G1337="Saída",-I1337,I1337))</f>
        <v/>
      </c>
      <c r="L1337" t="str">
        <f>IF(E1337="","",IFERROR(VLOOKUP(E1337,Listas!$A$2:$C$1048576,3,FALSE),""))</f>
        <v/>
      </c>
    </row>
    <row r="1338" spans="10:12" x14ac:dyDescent="0.25">
      <c r="J1338" t="str">
        <f>IF(H1338="","",IFERROR(VLOOKUP(H1338,Listas!$J$2:$K$1048576,2,FALSE),""))</f>
        <v/>
      </c>
      <c r="K1338" s="5" t="str">
        <f>IF(OR(I1338="",G1338=""),"",IF(G1338="Saída",-I1338,I1338))</f>
        <v/>
      </c>
      <c r="L1338" t="str">
        <f>IF(E1338="","",IFERROR(VLOOKUP(E1338,Listas!$A$2:$C$1048576,3,FALSE),""))</f>
        <v/>
      </c>
    </row>
    <row r="1339" spans="10:12" x14ac:dyDescent="0.25">
      <c r="J1339" t="str">
        <f>IF(H1339="","",IFERROR(VLOOKUP(H1339,Listas!$J$2:$K$1048576,2,FALSE),""))</f>
        <v/>
      </c>
      <c r="K1339" s="5" t="str">
        <f>IF(OR(I1339="",G1339=""),"",IF(G1339="Saída",-I1339,I1339))</f>
        <v/>
      </c>
      <c r="L1339" t="str">
        <f>IF(E1339="","",IFERROR(VLOOKUP(E1339,Listas!$A$2:$C$1048576,3,FALSE),""))</f>
        <v/>
      </c>
    </row>
    <row r="1340" spans="10:12" x14ac:dyDescent="0.25">
      <c r="J1340" t="str">
        <f>IF(H1340="","",IFERROR(VLOOKUP(H1340,Listas!$J$2:$K$1048576,2,FALSE),""))</f>
        <v/>
      </c>
      <c r="K1340" s="5" t="str">
        <f>IF(OR(I1340="",G1340=""),"",IF(G1340="Saída",-I1340,I1340))</f>
        <v/>
      </c>
      <c r="L1340" t="str">
        <f>IF(E1340="","",IFERROR(VLOOKUP(E1340,Listas!$A$2:$C$1048576,3,FALSE),""))</f>
        <v/>
      </c>
    </row>
    <row r="1341" spans="10:12" x14ac:dyDescent="0.25">
      <c r="J1341" t="str">
        <f>IF(H1341="","",IFERROR(VLOOKUP(H1341,Listas!$J$2:$K$1048576,2,FALSE),""))</f>
        <v/>
      </c>
      <c r="K1341" s="5" t="str">
        <f>IF(OR(I1341="",G1341=""),"",IF(G1341="Saída",-I1341,I1341))</f>
        <v/>
      </c>
      <c r="L1341" t="str">
        <f>IF(E1341="","",IFERROR(VLOOKUP(E1341,Listas!$A$2:$C$1048576,3,FALSE),""))</f>
        <v/>
      </c>
    </row>
    <row r="1342" spans="10:12" x14ac:dyDescent="0.25">
      <c r="J1342" t="str">
        <f>IF(H1342="","",IFERROR(VLOOKUP(H1342,Listas!$J$2:$K$1048576,2,FALSE),""))</f>
        <v/>
      </c>
      <c r="K1342" s="5" t="str">
        <f>IF(OR(I1342="",G1342=""),"",IF(G1342="Saída",-I1342,I1342))</f>
        <v/>
      </c>
      <c r="L1342" t="str">
        <f>IF(E1342="","",IFERROR(VLOOKUP(E1342,Listas!$A$2:$C$1048576,3,FALSE),""))</f>
        <v/>
      </c>
    </row>
    <row r="1343" spans="10:12" x14ac:dyDescent="0.25">
      <c r="J1343" t="str">
        <f>IF(H1343="","",IFERROR(VLOOKUP(H1343,Listas!$J$2:$K$1048576,2,FALSE),""))</f>
        <v/>
      </c>
      <c r="K1343" s="5" t="str">
        <f>IF(OR(I1343="",G1343=""),"",IF(G1343="Saída",-I1343,I1343))</f>
        <v/>
      </c>
      <c r="L1343" t="str">
        <f>IF(E1343="","",IFERROR(VLOOKUP(E1343,Listas!$A$2:$C$1048576,3,FALSE),""))</f>
        <v/>
      </c>
    </row>
    <row r="1344" spans="10:12" x14ac:dyDescent="0.25">
      <c r="J1344" t="str">
        <f>IF(H1344="","",IFERROR(VLOOKUP(H1344,Listas!$J$2:$K$1048576,2,FALSE),""))</f>
        <v/>
      </c>
      <c r="K1344" s="5" t="str">
        <f>IF(OR(I1344="",G1344=""),"",IF(G1344="Saída",-I1344,I1344))</f>
        <v/>
      </c>
      <c r="L1344" t="str">
        <f>IF(E1344="","",IFERROR(VLOOKUP(E1344,Listas!$A$2:$C$1048576,3,FALSE),""))</f>
        <v/>
      </c>
    </row>
    <row r="1345" spans="10:12" x14ac:dyDescent="0.25">
      <c r="J1345" t="str">
        <f>IF(H1345="","",IFERROR(VLOOKUP(H1345,Listas!$J$2:$K$1048576,2,FALSE),""))</f>
        <v/>
      </c>
      <c r="K1345" s="5" t="str">
        <f>IF(OR(I1345="",G1345=""),"",IF(G1345="Saída",-I1345,I1345))</f>
        <v/>
      </c>
      <c r="L1345" t="str">
        <f>IF(E1345="","",IFERROR(VLOOKUP(E1345,Listas!$A$2:$C$1048576,3,FALSE),""))</f>
        <v/>
      </c>
    </row>
    <row r="1346" spans="10:12" x14ac:dyDescent="0.25">
      <c r="J1346" t="str">
        <f>IF(H1346="","",IFERROR(VLOOKUP(H1346,Listas!$J$2:$K$1048576,2,FALSE),""))</f>
        <v/>
      </c>
      <c r="K1346" s="5" t="str">
        <f>IF(OR(I1346="",G1346=""),"",IF(G1346="Saída",-I1346,I1346))</f>
        <v/>
      </c>
      <c r="L1346" t="str">
        <f>IF(E1346="","",IFERROR(VLOOKUP(E1346,Listas!$A$2:$C$1048576,3,FALSE),""))</f>
        <v/>
      </c>
    </row>
    <row r="1347" spans="10:12" x14ac:dyDescent="0.25">
      <c r="J1347" t="str">
        <f>IF(H1347="","",IFERROR(VLOOKUP(H1347,Listas!$J$2:$K$1048576,2,FALSE),""))</f>
        <v/>
      </c>
      <c r="K1347" s="5" t="str">
        <f>IF(OR(I1347="",G1347=""),"",IF(G1347="Saída",-I1347,I1347))</f>
        <v/>
      </c>
      <c r="L1347" t="str">
        <f>IF(E1347="","",IFERROR(VLOOKUP(E1347,Listas!$A$2:$C$1048576,3,FALSE),""))</f>
        <v/>
      </c>
    </row>
    <row r="1348" spans="10:12" x14ac:dyDescent="0.25">
      <c r="J1348" t="str">
        <f>IF(H1348="","",IFERROR(VLOOKUP(H1348,Listas!$J$2:$K$1048576,2,FALSE),""))</f>
        <v/>
      </c>
      <c r="K1348" s="5" t="str">
        <f>IF(OR(I1348="",G1348=""),"",IF(G1348="Saída",-I1348,I1348))</f>
        <v/>
      </c>
      <c r="L1348" t="str">
        <f>IF(E1348="","",IFERROR(VLOOKUP(E1348,Listas!$A$2:$C$1048576,3,FALSE),""))</f>
        <v/>
      </c>
    </row>
    <row r="1349" spans="10:12" x14ac:dyDescent="0.25">
      <c r="J1349" t="str">
        <f>IF(H1349="","",IFERROR(VLOOKUP(H1349,Listas!$J$2:$K$1048576,2,FALSE),""))</f>
        <v/>
      </c>
      <c r="K1349" s="5" t="str">
        <f>IF(OR(I1349="",G1349=""),"",IF(G1349="Saída",-I1349,I1349))</f>
        <v/>
      </c>
      <c r="L1349" t="str">
        <f>IF(E1349="","",IFERROR(VLOOKUP(E1349,Listas!$A$2:$C$1048576,3,FALSE),""))</f>
        <v/>
      </c>
    </row>
    <row r="1350" spans="10:12" x14ac:dyDescent="0.25">
      <c r="J1350" t="str">
        <f>IF(H1350="","",IFERROR(VLOOKUP(H1350,Listas!$J$2:$K$1048576,2,FALSE),""))</f>
        <v/>
      </c>
      <c r="K1350" s="5" t="str">
        <f>IF(OR(I1350="",G1350=""),"",IF(G1350="Saída",-I1350,I1350))</f>
        <v/>
      </c>
      <c r="L1350" t="str">
        <f>IF(E1350="","",IFERROR(VLOOKUP(E1350,Listas!$A$2:$C$1048576,3,FALSE),""))</f>
        <v/>
      </c>
    </row>
    <row r="1351" spans="10:12" x14ac:dyDescent="0.25">
      <c r="J1351" t="str">
        <f>IF(H1351="","",IFERROR(VLOOKUP(H1351,Listas!$J$2:$K$1048576,2,FALSE),""))</f>
        <v/>
      </c>
      <c r="K1351" s="5" t="str">
        <f>IF(OR(I1351="",G1351=""),"",IF(G1351="Saída",-I1351,I1351))</f>
        <v/>
      </c>
      <c r="L1351" t="str">
        <f>IF(E1351="","",IFERROR(VLOOKUP(E1351,Listas!$A$2:$C$1048576,3,FALSE),""))</f>
        <v/>
      </c>
    </row>
    <row r="1352" spans="10:12" x14ac:dyDescent="0.25">
      <c r="J1352" t="str">
        <f>IF(H1352="","",IFERROR(VLOOKUP(H1352,Listas!$J$2:$K$1048576,2,FALSE),""))</f>
        <v/>
      </c>
      <c r="K1352" s="5" t="str">
        <f>IF(OR(I1352="",G1352=""),"",IF(G1352="Saída",-I1352,I1352))</f>
        <v/>
      </c>
      <c r="L1352" t="str">
        <f>IF(E1352="","",IFERROR(VLOOKUP(E1352,Listas!$A$2:$C$1048576,3,FALSE),""))</f>
        <v/>
      </c>
    </row>
    <row r="1353" spans="10:12" x14ac:dyDescent="0.25">
      <c r="J1353" t="str">
        <f>IF(H1353="","",IFERROR(VLOOKUP(H1353,Listas!$J$2:$K$1048576,2,FALSE),""))</f>
        <v/>
      </c>
      <c r="K1353" s="5" t="str">
        <f>IF(OR(I1353="",G1353=""),"",IF(G1353="Saída",-I1353,I1353))</f>
        <v/>
      </c>
      <c r="L1353" t="str">
        <f>IF(E1353="","",IFERROR(VLOOKUP(E1353,Listas!$A$2:$C$1048576,3,FALSE),""))</f>
        <v/>
      </c>
    </row>
    <row r="1354" spans="10:12" x14ac:dyDescent="0.25">
      <c r="J1354" t="str">
        <f>IF(H1354="","",IFERROR(VLOOKUP(H1354,Listas!$J$2:$K$1048576,2,FALSE),""))</f>
        <v/>
      </c>
      <c r="K1354" s="5" t="str">
        <f>IF(OR(I1354="",G1354=""),"",IF(G1354="Saída",-I1354,I1354))</f>
        <v/>
      </c>
      <c r="L1354" t="str">
        <f>IF(E1354="","",IFERROR(VLOOKUP(E1354,Listas!$A$2:$C$1048576,3,FALSE),""))</f>
        <v/>
      </c>
    </row>
    <row r="1355" spans="10:12" x14ac:dyDescent="0.25">
      <c r="J1355" t="str">
        <f>IF(H1355="","",IFERROR(VLOOKUP(H1355,Listas!$J$2:$K$1048576,2,FALSE),""))</f>
        <v/>
      </c>
      <c r="K1355" s="5" t="str">
        <f>IF(OR(I1355="",G1355=""),"",IF(G1355="Saída",-I1355,I1355))</f>
        <v/>
      </c>
      <c r="L1355" t="str">
        <f>IF(E1355="","",IFERROR(VLOOKUP(E1355,Listas!$A$2:$C$1048576,3,FALSE),""))</f>
        <v/>
      </c>
    </row>
    <row r="1356" spans="10:12" x14ac:dyDescent="0.25">
      <c r="J1356" t="str">
        <f>IF(H1356="","",IFERROR(VLOOKUP(H1356,Listas!$J$2:$K$1048576,2,FALSE),""))</f>
        <v/>
      </c>
      <c r="K1356" s="5" t="str">
        <f>IF(OR(I1356="",G1356=""),"",IF(G1356="Saída",-I1356,I1356))</f>
        <v/>
      </c>
      <c r="L1356" t="str">
        <f>IF(E1356="","",IFERROR(VLOOKUP(E1356,Listas!$A$2:$C$1048576,3,FALSE),""))</f>
        <v/>
      </c>
    </row>
    <row r="1357" spans="10:12" x14ac:dyDescent="0.25">
      <c r="J1357" t="str">
        <f>IF(H1357="","",IFERROR(VLOOKUP(H1357,Listas!$J$2:$K$1048576,2,FALSE),""))</f>
        <v/>
      </c>
      <c r="K1357" s="5" t="str">
        <f>IF(OR(I1357="",G1357=""),"",IF(G1357="Saída",-I1357,I1357))</f>
        <v/>
      </c>
      <c r="L1357" t="str">
        <f>IF(E1357="","",IFERROR(VLOOKUP(E1357,Listas!$A$2:$C$1048576,3,FALSE),""))</f>
        <v/>
      </c>
    </row>
    <row r="1358" spans="10:12" x14ac:dyDescent="0.25">
      <c r="J1358" t="str">
        <f>IF(H1358="","",IFERROR(VLOOKUP(H1358,Listas!$J$2:$K$1048576,2,FALSE),""))</f>
        <v/>
      </c>
      <c r="K1358" s="5" t="str">
        <f>IF(OR(I1358="",G1358=""),"",IF(G1358="Saída",-I1358,I1358))</f>
        <v/>
      </c>
      <c r="L1358" t="str">
        <f>IF(E1358="","",IFERROR(VLOOKUP(E1358,Listas!$A$2:$C$1048576,3,FALSE),""))</f>
        <v/>
      </c>
    </row>
    <row r="1359" spans="10:12" x14ac:dyDescent="0.25">
      <c r="J1359" t="str">
        <f>IF(H1359="","",IFERROR(VLOOKUP(H1359,Listas!$J$2:$K$1048576,2,FALSE),""))</f>
        <v/>
      </c>
      <c r="K1359" s="5" t="str">
        <f>IF(OR(I1359="",G1359=""),"",IF(G1359="Saída",-I1359,I1359))</f>
        <v/>
      </c>
      <c r="L1359" t="str">
        <f>IF(E1359="","",IFERROR(VLOOKUP(E1359,Listas!$A$2:$C$1048576,3,FALSE),""))</f>
        <v/>
      </c>
    </row>
    <row r="1360" spans="10:12" x14ac:dyDescent="0.25">
      <c r="J1360" t="str">
        <f>IF(H1360="","",IFERROR(VLOOKUP(H1360,Listas!$J$2:$K$1048576,2,FALSE),""))</f>
        <v/>
      </c>
      <c r="K1360" s="5" t="str">
        <f>IF(OR(I1360="",G1360=""),"",IF(G1360="Saída",-I1360,I1360))</f>
        <v/>
      </c>
      <c r="L1360" t="str">
        <f>IF(E1360="","",IFERROR(VLOOKUP(E1360,Listas!$A$2:$C$1048576,3,FALSE),""))</f>
        <v/>
      </c>
    </row>
    <row r="1361" spans="10:12" x14ac:dyDescent="0.25">
      <c r="J1361" t="str">
        <f>IF(H1361="","",IFERROR(VLOOKUP(H1361,Listas!$J$2:$K$1048576,2,FALSE),""))</f>
        <v/>
      </c>
      <c r="K1361" s="5" t="str">
        <f>IF(OR(I1361="",G1361=""),"",IF(G1361="Saída",-I1361,I1361))</f>
        <v/>
      </c>
      <c r="L1361" t="str">
        <f>IF(E1361="","",IFERROR(VLOOKUP(E1361,Listas!$A$2:$C$1048576,3,FALSE),""))</f>
        <v/>
      </c>
    </row>
    <row r="1362" spans="10:12" x14ac:dyDescent="0.25">
      <c r="J1362" t="str">
        <f>IF(H1362="","",IFERROR(VLOOKUP(H1362,Listas!$J$2:$K$1048576,2,FALSE),""))</f>
        <v/>
      </c>
      <c r="K1362" s="5" t="str">
        <f>IF(OR(I1362="",G1362=""),"",IF(G1362="Saída",-I1362,I1362))</f>
        <v/>
      </c>
      <c r="L1362" t="str">
        <f>IF(E1362="","",IFERROR(VLOOKUP(E1362,Listas!$A$2:$C$1048576,3,FALSE),""))</f>
        <v/>
      </c>
    </row>
    <row r="1363" spans="10:12" x14ac:dyDescent="0.25">
      <c r="J1363" t="str">
        <f>IF(H1363="","",IFERROR(VLOOKUP(H1363,Listas!$J$2:$K$1048576,2,FALSE),""))</f>
        <v/>
      </c>
      <c r="K1363" s="5" t="str">
        <f>IF(OR(I1363="",G1363=""),"",IF(G1363="Saída",-I1363,I1363))</f>
        <v/>
      </c>
      <c r="L1363" t="str">
        <f>IF(E1363="","",IFERROR(VLOOKUP(E1363,Listas!$A$2:$C$1048576,3,FALSE),""))</f>
        <v/>
      </c>
    </row>
    <row r="1364" spans="10:12" x14ac:dyDescent="0.25">
      <c r="J1364" t="str">
        <f>IF(H1364="","",IFERROR(VLOOKUP(H1364,Listas!$J$2:$K$1048576,2,FALSE),""))</f>
        <v/>
      </c>
      <c r="K1364" s="5" t="str">
        <f>IF(OR(I1364="",G1364=""),"",IF(G1364="Saída",-I1364,I1364))</f>
        <v/>
      </c>
      <c r="L1364" t="str">
        <f>IF(E1364="","",IFERROR(VLOOKUP(E1364,Listas!$A$2:$C$1048576,3,FALSE),""))</f>
        <v/>
      </c>
    </row>
    <row r="1365" spans="10:12" x14ac:dyDescent="0.25">
      <c r="J1365" t="str">
        <f>IF(H1365="","",IFERROR(VLOOKUP(H1365,Listas!$J$2:$K$1048576,2,FALSE),""))</f>
        <v/>
      </c>
      <c r="K1365" s="5" t="str">
        <f>IF(OR(I1365="",G1365=""),"",IF(G1365="Saída",-I1365,I1365))</f>
        <v/>
      </c>
      <c r="L1365" t="str">
        <f>IF(E1365="","",IFERROR(VLOOKUP(E1365,Listas!$A$2:$C$1048576,3,FALSE),""))</f>
        <v/>
      </c>
    </row>
    <row r="1366" spans="10:12" x14ac:dyDescent="0.25">
      <c r="J1366" t="str">
        <f>IF(H1366="","",IFERROR(VLOOKUP(H1366,Listas!$J$2:$K$1048576,2,FALSE),""))</f>
        <v/>
      </c>
      <c r="K1366" s="5" t="str">
        <f>IF(OR(I1366="",G1366=""),"",IF(G1366="Saída",-I1366,I1366))</f>
        <v/>
      </c>
      <c r="L1366" t="str">
        <f>IF(E1366="","",IFERROR(VLOOKUP(E1366,Listas!$A$2:$C$1048576,3,FALSE),""))</f>
        <v/>
      </c>
    </row>
    <row r="1367" spans="10:12" x14ac:dyDescent="0.25">
      <c r="J1367" t="str">
        <f>IF(H1367="","",IFERROR(VLOOKUP(H1367,Listas!$J$2:$K$1048576,2,FALSE),""))</f>
        <v/>
      </c>
      <c r="K1367" s="5" t="str">
        <f>IF(OR(I1367="",G1367=""),"",IF(G1367="Saída",-I1367,I1367))</f>
        <v/>
      </c>
      <c r="L1367" t="str">
        <f>IF(E1367="","",IFERROR(VLOOKUP(E1367,Listas!$A$2:$C$1048576,3,FALSE),""))</f>
        <v/>
      </c>
    </row>
    <row r="1368" spans="10:12" x14ac:dyDescent="0.25">
      <c r="J1368" t="str">
        <f>IF(H1368="","",IFERROR(VLOOKUP(H1368,Listas!$J$2:$K$1048576,2,FALSE),""))</f>
        <v/>
      </c>
      <c r="K1368" s="5" t="str">
        <f>IF(OR(I1368="",G1368=""),"",IF(G1368="Saída",-I1368,I1368))</f>
        <v/>
      </c>
      <c r="L1368" t="str">
        <f>IF(E1368="","",IFERROR(VLOOKUP(E1368,Listas!$A$2:$C$1048576,3,FALSE),""))</f>
        <v/>
      </c>
    </row>
    <row r="1369" spans="10:12" x14ac:dyDescent="0.25">
      <c r="J1369" t="str">
        <f>IF(H1369="","",IFERROR(VLOOKUP(H1369,Listas!$J$2:$K$1048576,2,FALSE),""))</f>
        <v/>
      </c>
      <c r="K1369" s="5" t="str">
        <f>IF(OR(I1369="",G1369=""),"",IF(G1369="Saída",-I1369,I1369))</f>
        <v/>
      </c>
      <c r="L1369" t="str">
        <f>IF(E1369="","",IFERROR(VLOOKUP(E1369,Listas!$A$2:$C$1048576,3,FALSE),""))</f>
        <v/>
      </c>
    </row>
    <row r="1370" spans="10:12" x14ac:dyDescent="0.25">
      <c r="J1370" t="str">
        <f>IF(H1370="","",IFERROR(VLOOKUP(H1370,Listas!$J$2:$K$1048576,2,FALSE),""))</f>
        <v/>
      </c>
      <c r="K1370" s="5" t="str">
        <f>IF(OR(I1370="",G1370=""),"",IF(G1370="Saída",-I1370,I1370))</f>
        <v/>
      </c>
      <c r="L1370" t="str">
        <f>IF(E1370="","",IFERROR(VLOOKUP(E1370,Listas!$A$2:$C$1048576,3,FALSE),""))</f>
        <v/>
      </c>
    </row>
    <row r="1371" spans="10:12" x14ac:dyDescent="0.25">
      <c r="J1371" t="str">
        <f>IF(H1371="","",IFERROR(VLOOKUP(H1371,Listas!$J$2:$K$1048576,2,FALSE),""))</f>
        <v/>
      </c>
      <c r="K1371" s="5" t="str">
        <f>IF(OR(I1371="",G1371=""),"",IF(G1371="Saída",-I1371,I1371))</f>
        <v/>
      </c>
      <c r="L1371" t="str">
        <f>IF(E1371="","",IFERROR(VLOOKUP(E1371,Listas!$A$2:$C$1048576,3,FALSE),""))</f>
        <v/>
      </c>
    </row>
    <row r="1372" spans="10:12" x14ac:dyDescent="0.25">
      <c r="J1372" t="str">
        <f>IF(H1372="","",IFERROR(VLOOKUP(H1372,Listas!$J$2:$K$1048576,2,FALSE),""))</f>
        <v/>
      </c>
      <c r="K1372" s="5" t="str">
        <f>IF(OR(I1372="",G1372=""),"",IF(G1372="Saída",-I1372,I1372))</f>
        <v/>
      </c>
      <c r="L1372" t="str">
        <f>IF(E1372="","",IFERROR(VLOOKUP(E1372,Listas!$A$2:$C$1048576,3,FALSE),""))</f>
        <v/>
      </c>
    </row>
    <row r="1373" spans="10:12" x14ac:dyDescent="0.25">
      <c r="J1373" t="str">
        <f>IF(H1373="","",IFERROR(VLOOKUP(H1373,Listas!$J$2:$K$1048576,2,FALSE),""))</f>
        <v/>
      </c>
      <c r="K1373" s="5" t="str">
        <f>IF(OR(I1373="",G1373=""),"",IF(G1373="Saída",-I1373,I1373))</f>
        <v/>
      </c>
      <c r="L1373" t="str">
        <f>IF(E1373="","",IFERROR(VLOOKUP(E1373,Listas!$A$2:$C$1048576,3,FALSE),""))</f>
        <v/>
      </c>
    </row>
    <row r="1374" spans="10:12" x14ac:dyDescent="0.25">
      <c r="J1374" t="str">
        <f>IF(H1374="","",IFERROR(VLOOKUP(H1374,Listas!$J$2:$K$1048576,2,FALSE),""))</f>
        <v/>
      </c>
      <c r="K1374" s="5" t="str">
        <f>IF(OR(I1374="",G1374=""),"",IF(G1374="Saída",-I1374,I1374))</f>
        <v/>
      </c>
      <c r="L1374" t="str">
        <f>IF(E1374="","",IFERROR(VLOOKUP(E1374,Listas!$A$2:$C$1048576,3,FALSE),""))</f>
        <v/>
      </c>
    </row>
    <row r="1375" spans="10:12" x14ac:dyDescent="0.25">
      <c r="J1375" t="str">
        <f>IF(H1375="","",IFERROR(VLOOKUP(H1375,Listas!$J$2:$K$1048576,2,FALSE),""))</f>
        <v/>
      </c>
      <c r="K1375" s="5" t="str">
        <f>IF(OR(I1375="",G1375=""),"",IF(G1375="Saída",-I1375,I1375))</f>
        <v/>
      </c>
      <c r="L1375" t="str">
        <f>IF(E1375="","",IFERROR(VLOOKUP(E1375,Listas!$A$2:$C$1048576,3,FALSE),""))</f>
        <v/>
      </c>
    </row>
    <row r="1376" spans="10:12" x14ac:dyDescent="0.25">
      <c r="J1376" t="str">
        <f>IF(H1376="","",IFERROR(VLOOKUP(H1376,Listas!$J$2:$K$1048576,2,FALSE),""))</f>
        <v/>
      </c>
      <c r="K1376" s="5" t="str">
        <f>IF(OR(I1376="",G1376=""),"",IF(G1376="Saída",-I1376,I1376))</f>
        <v/>
      </c>
      <c r="L1376" t="str">
        <f>IF(E1376="","",IFERROR(VLOOKUP(E1376,Listas!$A$2:$C$1048576,3,FALSE),""))</f>
        <v/>
      </c>
    </row>
    <row r="1377" spans="10:12" x14ac:dyDescent="0.25">
      <c r="J1377" t="str">
        <f>IF(H1377="","",IFERROR(VLOOKUP(H1377,Listas!$J$2:$K$1048576,2,FALSE),""))</f>
        <v/>
      </c>
      <c r="K1377" s="5" t="str">
        <f>IF(OR(I1377="",G1377=""),"",IF(G1377="Saída",-I1377,I1377))</f>
        <v/>
      </c>
      <c r="L1377" t="str">
        <f>IF(E1377="","",IFERROR(VLOOKUP(E1377,Listas!$A$2:$C$1048576,3,FALSE),""))</f>
        <v/>
      </c>
    </row>
    <row r="1378" spans="10:12" x14ac:dyDescent="0.25">
      <c r="J1378" t="str">
        <f>IF(H1378="","",IFERROR(VLOOKUP(H1378,Listas!$J$2:$K$1048576,2,FALSE),""))</f>
        <v/>
      </c>
      <c r="K1378" s="5" t="str">
        <f>IF(OR(I1378="",G1378=""),"",IF(G1378="Saída",-I1378,I1378))</f>
        <v/>
      </c>
      <c r="L1378" t="str">
        <f>IF(E1378="","",IFERROR(VLOOKUP(E1378,Listas!$A$2:$C$1048576,3,FALSE),""))</f>
        <v/>
      </c>
    </row>
    <row r="1379" spans="10:12" x14ac:dyDescent="0.25">
      <c r="J1379" t="str">
        <f>IF(H1379="","",IFERROR(VLOOKUP(H1379,Listas!$J$2:$K$1048576,2,FALSE),""))</f>
        <v/>
      </c>
      <c r="K1379" s="5" t="str">
        <f>IF(OR(I1379="",G1379=""),"",IF(G1379="Saída",-I1379,I1379))</f>
        <v/>
      </c>
      <c r="L1379" t="str">
        <f>IF(E1379="","",IFERROR(VLOOKUP(E1379,Listas!$A$2:$C$1048576,3,FALSE),""))</f>
        <v/>
      </c>
    </row>
    <row r="1380" spans="10:12" x14ac:dyDescent="0.25">
      <c r="J1380" t="str">
        <f>IF(H1380="","",IFERROR(VLOOKUP(H1380,Listas!$J$2:$K$1048576,2,FALSE),""))</f>
        <v/>
      </c>
      <c r="K1380" s="5" t="str">
        <f>IF(OR(I1380="",G1380=""),"",IF(G1380="Saída",-I1380,I1380))</f>
        <v/>
      </c>
      <c r="L1380" t="str">
        <f>IF(E1380="","",IFERROR(VLOOKUP(E1380,Listas!$A$2:$C$1048576,3,FALSE),""))</f>
        <v/>
      </c>
    </row>
    <row r="1381" spans="10:12" x14ac:dyDescent="0.25">
      <c r="J1381" t="str">
        <f>IF(H1381="","",IFERROR(VLOOKUP(H1381,Listas!$J$2:$K$1048576,2,FALSE),""))</f>
        <v/>
      </c>
      <c r="K1381" s="5" t="str">
        <f>IF(OR(I1381="",G1381=""),"",IF(G1381="Saída",-I1381,I1381))</f>
        <v/>
      </c>
      <c r="L1381" t="str">
        <f>IF(E1381="","",IFERROR(VLOOKUP(E1381,Listas!$A$2:$C$1048576,3,FALSE),""))</f>
        <v/>
      </c>
    </row>
    <row r="1382" spans="10:12" x14ac:dyDescent="0.25">
      <c r="J1382" t="str">
        <f>IF(H1382="","",IFERROR(VLOOKUP(H1382,Listas!$J$2:$K$1048576,2,FALSE),""))</f>
        <v/>
      </c>
      <c r="K1382" s="5" t="str">
        <f>IF(OR(I1382="",G1382=""),"",IF(G1382="Saída",-I1382,I1382))</f>
        <v/>
      </c>
      <c r="L1382" t="str">
        <f>IF(E1382="","",IFERROR(VLOOKUP(E1382,Listas!$A$2:$C$1048576,3,FALSE),""))</f>
        <v/>
      </c>
    </row>
    <row r="1383" spans="10:12" x14ac:dyDescent="0.25">
      <c r="J1383" t="str">
        <f>IF(H1383="","",IFERROR(VLOOKUP(H1383,Listas!$J$2:$K$1048576,2,FALSE),""))</f>
        <v/>
      </c>
      <c r="K1383" s="5" t="str">
        <f>IF(OR(I1383="",G1383=""),"",IF(G1383="Saída",-I1383,I1383))</f>
        <v/>
      </c>
      <c r="L1383" t="str">
        <f>IF(E1383="","",IFERROR(VLOOKUP(E1383,Listas!$A$2:$C$1048576,3,FALSE),""))</f>
        <v/>
      </c>
    </row>
    <row r="1384" spans="10:12" x14ac:dyDescent="0.25">
      <c r="J1384" t="str">
        <f>IF(H1384="","",IFERROR(VLOOKUP(H1384,Listas!$J$2:$K$1048576,2,FALSE),""))</f>
        <v/>
      </c>
      <c r="K1384" s="5" t="str">
        <f>IF(OR(I1384="",G1384=""),"",IF(G1384="Saída",-I1384,I1384))</f>
        <v/>
      </c>
      <c r="L1384" t="str">
        <f>IF(E1384="","",IFERROR(VLOOKUP(E1384,Listas!$A$2:$C$1048576,3,FALSE),""))</f>
        <v/>
      </c>
    </row>
    <row r="1385" spans="10:12" x14ac:dyDescent="0.25">
      <c r="J1385" t="str">
        <f>IF(H1385="","",IFERROR(VLOOKUP(H1385,Listas!$J$2:$K$1048576,2,FALSE),""))</f>
        <v/>
      </c>
      <c r="K1385" s="5" t="str">
        <f>IF(OR(I1385="",G1385=""),"",IF(G1385="Saída",-I1385,I1385))</f>
        <v/>
      </c>
      <c r="L1385" t="str">
        <f>IF(E1385="","",IFERROR(VLOOKUP(E1385,Listas!$A$2:$C$1048576,3,FALSE),""))</f>
        <v/>
      </c>
    </row>
    <row r="1386" spans="10:12" x14ac:dyDescent="0.25">
      <c r="J1386" t="str">
        <f>IF(H1386="","",IFERROR(VLOOKUP(H1386,Listas!$J$2:$K$1048576,2,FALSE),""))</f>
        <v/>
      </c>
      <c r="K1386" s="5" t="str">
        <f>IF(OR(I1386="",G1386=""),"",IF(G1386="Saída",-I1386,I1386))</f>
        <v/>
      </c>
      <c r="L1386" t="str">
        <f>IF(E1386="","",IFERROR(VLOOKUP(E1386,Listas!$A$2:$C$1048576,3,FALSE),""))</f>
        <v/>
      </c>
    </row>
    <row r="1387" spans="10:12" x14ac:dyDescent="0.25">
      <c r="J1387" t="str">
        <f>IF(H1387="","",IFERROR(VLOOKUP(H1387,Listas!$J$2:$K$1048576,2,FALSE),""))</f>
        <v/>
      </c>
      <c r="K1387" s="5" t="str">
        <f>IF(OR(I1387="",G1387=""),"",IF(G1387="Saída",-I1387,I1387))</f>
        <v/>
      </c>
      <c r="L1387" t="str">
        <f>IF(E1387="","",IFERROR(VLOOKUP(E1387,Listas!$A$2:$C$1048576,3,FALSE),""))</f>
        <v/>
      </c>
    </row>
    <row r="1388" spans="10:12" x14ac:dyDescent="0.25">
      <c r="J1388" t="str">
        <f>IF(H1388="","",IFERROR(VLOOKUP(H1388,Listas!$J$2:$K$1048576,2,FALSE),""))</f>
        <v/>
      </c>
      <c r="K1388" s="5" t="str">
        <f>IF(OR(I1388="",G1388=""),"",IF(G1388="Saída",-I1388,I1388))</f>
        <v/>
      </c>
      <c r="L1388" t="str">
        <f>IF(E1388="","",IFERROR(VLOOKUP(E1388,Listas!$A$2:$C$1048576,3,FALSE),""))</f>
        <v/>
      </c>
    </row>
    <row r="1389" spans="10:12" x14ac:dyDescent="0.25">
      <c r="J1389" t="str">
        <f>IF(H1389="","",IFERROR(VLOOKUP(H1389,Listas!$J$2:$K$1048576,2,FALSE),""))</f>
        <v/>
      </c>
      <c r="K1389" s="5" t="str">
        <f>IF(OR(I1389="",G1389=""),"",IF(G1389="Saída",-I1389,I1389))</f>
        <v/>
      </c>
      <c r="L1389" t="str">
        <f>IF(E1389="","",IFERROR(VLOOKUP(E1389,Listas!$A$2:$C$1048576,3,FALSE),""))</f>
        <v/>
      </c>
    </row>
    <row r="1390" spans="10:12" x14ac:dyDescent="0.25">
      <c r="J1390" t="str">
        <f>IF(H1390="","",IFERROR(VLOOKUP(H1390,Listas!$J$2:$K$1048576,2,FALSE),""))</f>
        <v/>
      </c>
      <c r="K1390" s="5" t="str">
        <f>IF(OR(I1390="",G1390=""),"",IF(G1390="Saída",-I1390,I1390))</f>
        <v/>
      </c>
      <c r="L1390" t="str">
        <f>IF(E1390="","",IFERROR(VLOOKUP(E1390,Listas!$A$2:$C$1048576,3,FALSE),""))</f>
        <v/>
      </c>
    </row>
    <row r="1391" spans="10:12" x14ac:dyDescent="0.25">
      <c r="J1391" t="str">
        <f>IF(H1391="","",IFERROR(VLOOKUP(H1391,Listas!$J$2:$K$1048576,2,FALSE),""))</f>
        <v/>
      </c>
      <c r="K1391" s="5" t="str">
        <f>IF(OR(I1391="",G1391=""),"",IF(G1391="Saída",-I1391,I1391))</f>
        <v/>
      </c>
      <c r="L1391" t="str">
        <f>IF(E1391="","",IFERROR(VLOOKUP(E1391,Listas!$A$2:$C$1048576,3,FALSE),""))</f>
        <v/>
      </c>
    </row>
    <row r="1392" spans="10:12" x14ac:dyDescent="0.25">
      <c r="J1392" t="str">
        <f>IF(H1392="","",IFERROR(VLOOKUP(H1392,Listas!$J$2:$K$1048576,2,FALSE),""))</f>
        <v/>
      </c>
      <c r="K1392" s="5" t="str">
        <f>IF(OR(I1392="",G1392=""),"",IF(G1392="Saída",-I1392,I1392))</f>
        <v/>
      </c>
      <c r="L1392" t="str">
        <f>IF(E1392="","",IFERROR(VLOOKUP(E1392,Listas!$A$2:$C$1048576,3,FALSE),""))</f>
        <v/>
      </c>
    </row>
    <row r="1393" spans="10:12" x14ac:dyDescent="0.25">
      <c r="J1393" t="str">
        <f>IF(H1393="","",IFERROR(VLOOKUP(H1393,Listas!$J$2:$K$1048576,2,FALSE),""))</f>
        <v/>
      </c>
      <c r="K1393" s="5" t="str">
        <f>IF(OR(I1393="",G1393=""),"",IF(G1393="Saída",-I1393,I1393))</f>
        <v/>
      </c>
      <c r="L1393" t="str">
        <f>IF(E1393="","",IFERROR(VLOOKUP(E1393,Listas!$A$2:$C$1048576,3,FALSE),""))</f>
        <v/>
      </c>
    </row>
    <row r="1394" spans="10:12" x14ac:dyDescent="0.25">
      <c r="J1394" t="str">
        <f>IF(H1394="","",IFERROR(VLOOKUP(H1394,Listas!$J$2:$K$1048576,2,FALSE),""))</f>
        <v/>
      </c>
      <c r="K1394" s="5" t="str">
        <f>IF(OR(I1394="",G1394=""),"",IF(G1394="Saída",-I1394,I1394))</f>
        <v/>
      </c>
      <c r="L1394" t="str">
        <f>IF(E1394="","",IFERROR(VLOOKUP(E1394,Listas!$A$2:$C$1048576,3,FALSE),""))</f>
        <v/>
      </c>
    </row>
    <row r="1395" spans="10:12" x14ac:dyDescent="0.25">
      <c r="J1395" t="str">
        <f>IF(H1395="","",IFERROR(VLOOKUP(H1395,Listas!$J$2:$K$1048576,2,FALSE),""))</f>
        <v/>
      </c>
      <c r="K1395" s="5" t="str">
        <f>IF(OR(I1395="",G1395=""),"",IF(G1395="Saída",-I1395,I1395))</f>
        <v/>
      </c>
      <c r="L1395" t="str">
        <f>IF(E1395="","",IFERROR(VLOOKUP(E1395,Listas!$A$2:$C$1048576,3,FALSE),""))</f>
        <v/>
      </c>
    </row>
    <row r="1396" spans="10:12" x14ac:dyDescent="0.25">
      <c r="J1396" t="str">
        <f>IF(H1396="","",IFERROR(VLOOKUP(H1396,Listas!$J$2:$K$1048576,2,FALSE),""))</f>
        <v/>
      </c>
      <c r="K1396" s="5" t="str">
        <f>IF(OR(I1396="",G1396=""),"",IF(G1396="Saída",-I1396,I1396))</f>
        <v/>
      </c>
      <c r="L1396" t="str">
        <f>IF(E1396="","",IFERROR(VLOOKUP(E1396,Listas!$A$2:$C$1048576,3,FALSE),""))</f>
        <v/>
      </c>
    </row>
    <row r="1397" spans="10:12" x14ac:dyDescent="0.25">
      <c r="J1397" t="str">
        <f>IF(H1397="","",IFERROR(VLOOKUP(H1397,Listas!$J$2:$K$1048576,2,FALSE),""))</f>
        <v/>
      </c>
      <c r="K1397" s="5" t="str">
        <f>IF(OR(I1397="",G1397=""),"",IF(G1397="Saída",-I1397,I1397))</f>
        <v/>
      </c>
      <c r="L1397" t="str">
        <f>IF(E1397="","",IFERROR(VLOOKUP(E1397,Listas!$A$2:$C$1048576,3,FALSE),""))</f>
        <v/>
      </c>
    </row>
    <row r="1398" spans="10:12" x14ac:dyDescent="0.25">
      <c r="J1398" t="str">
        <f>IF(H1398="","",IFERROR(VLOOKUP(H1398,Listas!$J$2:$K$1048576,2,FALSE),""))</f>
        <v/>
      </c>
      <c r="K1398" s="5" t="str">
        <f>IF(OR(I1398="",G1398=""),"",IF(G1398="Saída",-I1398,I1398))</f>
        <v/>
      </c>
      <c r="L1398" t="str">
        <f>IF(E1398="","",IFERROR(VLOOKUP(E1398,Listas!$A$2:$C$1048576,3,FALSE),""))</f>
        <v/>
      </c>
    </row>
    <row r="1399" spans="10:12" x14ac:dyDescent="0.25">
      <c r="J1399" t="str">
        <f>IF(H1399="","",IFERROR(VLOOKUP(H1399,Listas!$J$2:$K$1048576,2,FALSE),""))</f>
        <v/>
      </c>
      <c r="K1399" s="5" t="str">
        <f>IF(OR(I1399="",G1399=""),"",IF(G1399="Saída",-I1399,I1399))</f>
        <v/>
      </c>
      <c r="L1399" t="str">
        <f>IF(E1399="","",IFERROR(VLOOKUP(E1399,Listas!$A$2:$C$1048576,3,FALSE),""))</f>
        <v/>
      </c>
    </row>
    <row r="1400" spans="10:12" x14ac:dyDescent="0.25">
      <c r="J1400" t="str">
        <f>IF(H1400="","",IFERROR(VLOOKUP(H1400,Listas!$J$2:$K$1048576,2,FALSE),""))</f>
        <v/>
      </c>
      <c r="K1400" s="5" t="str">
        <f>IF(OR(I1400="",G1400=""),"",IF(G1400="Saída",-I1400,I1400))</f>
        <v/>
      </c>
      <c r="L1400" t="str">
        <f>IF(E1400="","",IFERROR(VLOOKUP(E1400,Listas!$A$2:$C$1048576,3,FALSE),""))</f>
        <v/>
      </c>
    </row>
    <row r="1401" spans="10:12" x14ac:dyDescent="0.25">
      <c r="J1401" t="str">
        <f>IF(H1401="","",IFERROR(VLOOKUP(H1401,Listas!$J$2:$K$1048576,2,FALSE),""))</f>
        <v/>
      </c>
      <c r="K1401" s="5" t="str">
        <f>IF(OR(I1401="",G1401=""),"",IF(G1401="Saída",-I1401,I1401))</f>
        <v/>
      </c>
      <c r="L1401" t="str">
        <f>IF(E1401="","",IFERROR(VLOOKUP(E1401,Listas!$A$2:$C$1048576,3,FALSE),""))</f>
        <v/>
      </c>
    </row>
    <row r="1402" spans="10:12" x14ac:dyDescent="0.25">
      <c r="J1402" t="str">
        <f>IF(H1402="","",IFERROR(VLOOKUP(H1402,Listas!$J$2:$K$1048576,2,FALSE),""))</f>
        <v/>
      </c>
      <c r="K1402" s="5" t="str">
        <f>IF(OR(I1402="",G1402=""),"",IF(G1402="Saída",-I1402,I1402))</f>
        <v/>
      </c>
      <c r="L1402" t="str">
        <f>IF(E1402="","",IFERROR(VLOOKUP(E1402,Listas!$A$2:$C$1048576,3,FALSE),""))</f>
        <v/>
      </c>
    </row>
    <row r="1403" spans="10:12" x14ac:dyDescent="0.25">
      <c r="J1403" t="str">
        <f>IF(H1403="","",IFERROR(VLOOKUP(H1403,Listas!$J$2:$K$1048576,2,FALSE),""))</f>
        <v/>
      </c>
      <c r="K1403" s="5" t="str">
        <f>IF(OR(I1403="",G1403=""),"",IF(G1403="Saída",-I1403,I1403))</f>
        <v/>
      </c>
      <c r="L1403" t="str">
        <f>IF(E1403="","",IFERROR(VLOOKUP(E1403,Listas!$A$2:$C$1048576,3,FALSE),""))</f>
        <v/>
      </c>
    </row>
    <row r="1404" spans="10:12" x14ac:dyDescent="0.25">
      <c r="J1404" t="str">
        <f>IF(H1404="","",IFERROR(VLOOKUP(H1404,Listas!$J$2:$K$1048576,2,FALSE),""))</f>
        <v/>
      </c>
      <c r="K1404" s="5" t="str">
        <f>IF(OR(I1404="",G1404=""),"",IF(G1404="Saída",-I1404,I1404))</f>
        <v/>
      </c>
      <c r="L1404" t="str">
        <f>IF(E1404="","",IFERROR(VLOOKUP(E1404,Listas!$A$2:$C$1048576,3,FALSE),""))</f>
        <v/>
      </c>
    </row>
    <row r="1405" spans="10:12" x14ac:dyDescent="0.25">
      <c r="J1405" t="str">
        <f>IF(H1405="","",IFERROR(VLOOKUP(H1405,Listas!$J$2:$K$1048576,2,FALSE),""))</f>
        <v/>
      </c>
      <c r="K1405" s="5" t="str">
        <f>IF(OR(I1405="",G1405=""),"",IF(G1405="Saída",-I1405,I1405))</f>
        <v/>
      </c>
      <c r="L1405" t="str">
        <f>IF(E1405="","",IFERROR(VLOOKUP(E1405,Listas!$A$2:$C$1048576,3,FALSE),""))</f>
        <v/>
      </c>
    </row>
    <row r="1406" spans="10:12" x14ac:dyDescent="0.25">
      <c r="J1406" t="str">
        <f>IF(H1406="","",IFERROR(VLOOKUP(H1406,Listas!$J$2:$K$1048576,2,FALSE),""))</f>
        <v/>
      </c>
      <c r="K1406" s="5" t="str">
        <f>IF(OR(I1406="",G1406=""),"",IF(G1406="Saída",-I1406,I1406))</f>
        <v/>
      </c>
      <c r="L1406" t="str">
        <f>IF(E1406="","",IFERROR(VLOOKUP(E1406,Listas!$A$2:$C$1048576,3,FALSE),""))</f>
        <v/>
      </c>
    </row>
    <row r="1407" spans="10:12" x14ac:dyDescent="0.25">
      <c r="J1407" t="str">
        <f>IF(H1407="","",IFERROR(VLOOKUP(H1407,Listas!$J$2:$K$1048576,2,FALSE),""))</f>
        <v/>
      </c>
      <c r="K1407" s="5" t="str">
        <f>IF(OR(I1407="",G1407=""),"",IF(G1407="Saída",-I1407,I1407))</f>
        <v/>
      </c>
      <c r="L1407" t="str">
        <f>IF(E1407="","",IFERROR(VLOOKUP(E1407,Listas!$A$2:$C$1048576,3,FALSE),""))</f>
        <v/>
      </c>
    </row>
    <row r="1408" spans="10:12" x14ac:dyDescent="0.25">
      <c r="J1408" t="str">
        <f>IF(H1408="","",IFERROR(VLOOKUP(H1408,Listas!$J$2:$K$1048576,2,FALSE),""))</f>
        <v/>
      </c>
      <c r="K1408" s="5" t="str">
        <f>IF(OR(I1408="",G1408=""),"",IF(G1408="Saída",-I1408,I1408))</f>
        <v/>
      </c>
      <c r="L1408" t="str">
        <f>IF(E1408="","",IFERROR(VLOOKUP(E1408,Listas!$A$2:$C$1048576,3,FALSE),""))</f>
        <v/>
      </c>
    </row>
    <row r="1409" spans="10:12" x14ac:dyDescent="0.25">
      <c r="J1409" t="str">
        <f>IF(H1409="","",IFERROR(VLOOKUP(H1409,Listas!$J$2:$K$1048576,2,FALSE),""))</f>
        <v/>
      </c>
      <c r="K1409" s="5" t="str">
        <f>IF(OR(I1409="",G1409=""),"",IF(G1409="Saída",-I1409,I1409))</f>
        <v/>
      </c>
      <c r="L1409" t="str">
        <f>IF(E1409="","",IFERROR(VLOOKUP(E1409,Listas!$A$2:$C$1048576,3,FALSE),""))</f>
        <v/>
      </c>
    </row>
    <row r="1410" spans="10:12" x14ac:dyDescent="0.25">
      <c r="J1410" t="str">
        <f>IF(H1410="","",IFERROR(VLOOKUP(H1410,Listas!$J$2:$K$1048576,2,FALSE),""))</f>
        <v/>
      </c>
      <c r="K1410" s="5" t="str">
        <f>IF(OR(I1410="",G1410=""),"",IF(G1410="Saída",-I1410,I1410))</f>
        <v/>
      </c>
      <c r="L1410" t="str">
        <f>IF(E1410="","",IFERROR(VLOOKUP(E1410,Listas!$A$2:$C$1048576,3,FALSE),""))</f>
        <v/>
      </c>
    </row>
    <row r="1411" spans="10:12" x14ac:dyDescent="0.25">
      <c r="J1411" t="str">
        <f>IF(H1411="","",IFERROR(VLOOKUP(H1411,Listas!$J$2:$K$1048576,2,FALSE),""))</f>
        <v/>
      </c>
      <c r="K1411" s="5" t="str">
        <f>IF(OR(I1411="",G1411=""),"",IF(G1411="Saída",-I1411,I1411))</f>
        <v/>
      </c>
      <c r="L1411" t="str">
        <f>IF(E1411="","",IFERROR(VLOOKUP(E1411,Listas!$A$2:$C$1048576,3,FALSE),""))</f>
        <v/>
      </c>
    </row>
    <row r="1412" spans="10:12" x14ac:dyDescent="0.25">
      <c r="J1412" t="str">
        <f>IF(H1412="","",IFERROR(VLOOKUP(H1412,Listas!$J$2:$K$1048576,2,FALSE),""))</f>
        <v/>
      </c>
      <c r="K1412" s="5" t="str">
        <f>IF(OR(I1412="",G1412=""),"",IF(G1412="Saída",-I1412,I1412))</f>
        <v/>
      </c>
      <c r="L1412" t="str">
        <f>IF(E1412="","",IFERROR(VLOOKUP(E1412,Listas!$A$2:$C$1048576,3,FALSE),""))</f>
        <v/>
      </c>
    </row>
    <row r="1413" spans="10:12" x14ac:dyDescent="0.25">
      <c r="J1413" t="str">
        <f>IF(H1413="","",IFERROR(VLOOKUP(H1413,Listas!$J$2:$K$1048576,2,FALSE),""))</f>
        <v/>
      </c>
      <c r="K1413" s="5" t="str">
        <f>IF(OR(I1413="",G1413=""),"",IF(G1413="Saída",-I1413,I1413))</f>
        <v/>
      </c>
      <c r="L1413" t="str">
        <f>IF(E1413="","",IFERROR(VLOOKUP(E1413,Listas!$A$2:$C$1048576,3,FALSE),""))</f>
        <v/>
      </c>
    </row>
    <row r="1414" spans="10:12" x14ac:dyDescent="0.25">
      <c r="J1414" t="str">
        <f>IF(H1414="","",IFERROR(VLOOKUP(H1414,Listas!$J$2:$K$1048576,2,FALSE),""))</f>
        <v/>
      </c>
      <c r="K1414" s="5" t="str">
        <f>IF(OR(I1414="",G1414=""),"",IF(G1414="Saída",-I1414,I1414))</f>
        <v/>
      </c>
      <c r="L1414" t="str">
        <f>IF(E1414="","",IFERROR(VLOOKUP(E1414,Listas!$A$2:$C$1048576,3,FALSE),""))</f>
        <v/>
      </c>
    </row>
    <row r="1415" spans="10:12" x14ac:dyDescent="0.25">
      <c r="J1415" t="str">
        <f>IF(H1415="","",IFERROR(VLOOKUP(H1415,Listas!$J$2:$K$1048576,2,FALSE),""))</f>
        <v/>
      </c>
      <c r="K1415" s="5" t="str">
        <f>IF(OR(I1415="",G1415=""),"",IF(G1415="Saída",-I1415,I1415))</f>
        <v/>
      </c>
      <c r="L1415" t="str">
        <f>IF(E1415="","",IFERROR(VLOOKUP(E1415,Listas!$A$2:$C$1048576,3,FALSE),""))</f>
        <v/>
      </c>
    </row>
    <row r="1416" spans="10:12" x14ac:dyDescent="0.25">
      <c r="J1416" t="str">
        <f>IF(H1416="","",IFERROR(VLOOKUP(H1416,Listas!$J$2:$K$1048576,2,FALSE),""))</f>
        <v/>
      </c>
      <c r="K1416" s="5" t="str">
        <f>IF(OR(I1416="",G1416=""),"",IF(G1416="Saída",-I1416,I1416))</f>
        <v/>
      </c>
      <c r="L1416" t="str">
        <f>IF(E1416="","",IFERROR(VLOOKUP(E1416,Listas!$A$2:$C$1048576,3,FALSE),""))</f>
        <v/>
      </c>
    </row>
    <row r="1417" spans="10:12" x14ac:dyDescent="0.25">
      <c r="J1417" t="str">
        <f>IF(H1417="","",IFERROR(VLOOKUP(H1417,Listas!$J$2:$K$1048576,2,FALSE),""))</f>
        <v/>
      </c>
      <c r="K1417" s="5" t="str">
        <f>IF(OR(I1417="",G1417=""),"",IF(G1417="Saída",-I1417,I1417))</f>
        <v/>
      </c>
      <c r="L1417" t="str">
        <f>IF(E1417="","",IFERROR(VLOOKUP(E1417,Listas!$A$2:$C$1048576,3,FALSE),""))</f>
        <v/>
      </c>
    </row>
    <row r="1418" spans="10:12" x14ac:dyDescent="0.25">
      <c r="J1418" t="str">
        <f>IF(H1418="","",IFERROR(VLOOKUP(H1418,Listas!$J$2:$K$1048576,2,FALSE),""))</f>
        <v/>
      </c>
      <c r="K1418" s="5" t="str">
        <f>IF(OR(I1418="",G1418=""),"",IF(G1418="Saída",-I1418,I1418))</f>
        <v/>
      </c>
      <c r="L1418" t="str">
        <f>IF(E1418="","",IFERROR(VLOOKUP(E1418,Listas!$A$2:$C$1048576,3,FALSE),""))</f>
        <v/>
      </c>
    </row>
    <row r="1419" spans="10:12" x14ac:dyDescent="0.25">
      <c r="J1419" t="str">
        <f>IF(H1419="","",IFERROR(VLOOKUP(H1419,Listas!$J$2:$K$1048576,2,FALSE),""))</f>
        <v/>
      </c>
      <c r="K1419" s="5" t="str">
        <f>IF(OR(I1419="",G1419=""),"",IF(G1419="Saída",-I1419,I1419))</f>
        <v/>
      </c>
      <c r="L1419" t="str">
        <f>IF(E1419="","",IFERROR(VLOOKUP(E1419,Listas!$A$2:$C$1048576,3,FALSE),""))</f>
        <v/>
      </c>
    </row>
    <row r="1420" spans="10:12" x14ac:dyDescent="0.25">
      <c r="J1420" t="str">
        <f>IF(H1420="","",IFERROR(VLOOKUP(H1420,Listas!$J$2:$K$1048576,2,FALSE),""))</f>
        <v/>
      </c>
      <c r="K1420" s="5" t="str">
        <f>IF(OR(I1420="",G1420=""),"",IF(G1420="Saída",-I1420,I1420))</f>
        <v/>
      </c>
      <c r="L1420" t="str">
        <f>IF(E1420="","",IFERROR(VLOOKUP(E1420,Listas!$A$2:$C$1048576,3,FALSE),""))</f>
        <v/>
      </c>
    </row>
    <row r="1421" spans="10:12" x14ac:dyDescent="0.25">
      <c r="J1421" t="str">
        <f>IF(H1421="","",IFERROR(VLOOKUP(H1421,Listas!$J$2:$K$1048576,2,FALSE),""))</f>
        <v/>
      </c>
      <c r="K1421" s="5" t="str">
        <f>IF(OR(I1421="",G1421=""),"",IF(G1421="Saída",-I1421,I1421))</f>
        <v/>
      </c>
      <c r="L1421" t="str">
        <f>IF(E1421="","",IFERROR(VLOOKUP(E1421,Listas!$A$2:$C$1048576,3,FALSE),""))</f>
        <v/>
      </c>
    </row>
    <row r="1422" spans="10:12" x14ac:dyDescent="0.25">
      <c r="J1422" t="str">
        <f>IF(H1422="","",IFERROR(VLOOKUP(H1422,Listas!$J$2:$K$1048576,2,FALSE),""))</f>
        <v/>
      </c>
      <c r="K1422" s="5" t="str">
        <f>IF(OR(I1422="",G1422=""),"",IF(G1422="Saída",-I1422,I1422))</f>
        <v/>
      </c>
      <c r="L1422" t="str">
        <f>IF(E1422="","",IFERROR(VLOOKUP(E1422,Listas!$A$2:$C$1048576,3,FALSE),""))</f>
        <v/>
      </c>
    </row>
    <row r="1423" spans="10:12" x14ac:dyDescent="0.25">
      <c r="J1423" t="str">
        <f>IF(H1423="","",IFERROR(VLOOKUP(H1423,Listas!$J$2:$K$1048576,2,FALSE),""))</f>
        <v/>
      </c>
      <c r="K1423" s="5" t="str">
        <f>IF(OR(I1423="",G1423=""),"",IF(G1423="Saída",-I1423,I1423))</f>
        <v/>
      </c>
      <c r="L1423" t="str">
        <f>IF(E1423="","",IFERROR(VLOOKUP(E1423,Listas!$A$2:$C$1048576,3,FALSE),""))</f>
        <v/>
      </c>
    </row>
    <row r="1424" spans="10:12" x14ac:dyDescent="0.25">
      <c r="J1424" t="str">
        <f>IF(H1424="","",IFERROR(VLOOKUP(H1424,Listas!$J$2:$K$1048576,2,FALSE),""))</f>
        <v/>
      </c>
      <c r="K1424" s="5" t="str">
        <f>IF(OR(I1424="",G1424=""),"",IF(G1424="Saída",-I1424,I1424))</f>
        <v/>
      </c>
      <c r="L1424" t="str">
        <f>IF(E1424="","",IFERROR(VLOOKUP(E1424,Listas!$A$2:$C$1048576,3,FALSE),""))</f>
        <v/>
      </c>
    </row>
    <row r="1425" spans="10:12" x14ac:dyDescent="0.25">
      <c r="J1425" t="str">
        <f>IF(H1425="","",IFERROR(VLOOKUP(H1425,Listas!$J$2:$K$1048576,2,FALSE),""))</f>
        <v/>
      </c>
      <c r="K1425" s="5" t="str">
        <f>IF(OR(I1425="",G1425=""),"",IF(G1425="Saída",-I1425,I1425))</f>
        <v/>
      </c>
      <c r="L1425" t="str">
        <f>IF(E1425="","",IFERROR(VLOOKUP(E1425,Listas!$A$2:$C$1048576,3,FALSE),""))</f>
        <v/>
      </c>
    </row>
    <row r="1426" spans="10:12" x14ac:dyDescent="0.25">
      <c r="J1426" t="str">
        <f>IF(H1426="","",IFERROR(VLOOKUP(H1426,Listas!$J$2:$K$1048576,2,FALSE),""))</f>
        <v/>
      </c>
      <c r="K1426" s="5" t="str">
        <f>IF(OR(I1426="",G1426=""),"",IF(G1426="Saída",-I1426,I1426))</f>
        <v/>
      </c>
      <c r="L1426" t="str">
        <f>IF(E1426="","",IFERROR(VLOOKUP(E1426,Listas!$A$2:$C$1048576,3,FALSE),""))</f>
        <v/>
      </c>
    </row>
    <row r="1427" spans="10:12" x14ac:dyDescent="0.25">
      <c r="J1427" t="str">
        <f>IF(H1427="","",IFERROR(VLOOKUP(H1427,Listas!$J$2:$K$1048576,2,FALSE),""))</f>
        <v/>
      </c>
      <c r="K1427" s="5" t="str">
        <f>IF(OR(I1427="",G1427=""),"",IF(G1427="Saída",-I1427,I1427))</f>
        <v/>
      </c>
      <c r="L1427" t="str">
        <f>IF(E1427="","",IFERROR(VLOOKUP(E1427,Listas!$A$2:$C$1048576,3,FALSE),""))</f>
        <v/>
      </c>
    </row>
    <row r="1428" spans="10:12" x14ac:dyDescent="0.25">
      <c r="J1428" t="str">
        <f>IF(H1428="","",IFERROR(VLOOKUP(H1428,Listas!$J$2:$K$1048576,2,FALSE),""))</f>
        <v/>
      </c>
      <c r="K1428" s="5" t="str">
        <f>IF(OR(I1428="",G1428=""),"",IF(G1428="Saída",-I1428,I1428))</f>
        <v/>
      </c>
      <c r="L1428" t="str">
        <f>IF(E1428="","",IFERROR(VLOOKUP(E1428,Listas!$A$2:$C$1048576,3,FALSE),""))</f>
        <v/>
      </c>
    </row>
    <row r="1429" spans="10:12" x14ac:dyDescent="0.25">
      <c r="J1429" t="str">
        <f>IF(H1429="","",IFERROR(VLOOKUP(H1429,Listas!$J$2:$K$1048576,2,FALSE),""))</f>
        <v/>
      </c>
      <c r="K1429" s="5" t="str">
        <f>IF(OR(I1429="",G1429=""),"",IF(G1429="Saída",-I1429,I1429))</f>
        <v/>
      </c>
      <c r="L1429" t="str">
        <f>IF(E1429="","",IFERROR(VLOOKUP(E1429,Listas!$A$2:$C$1048576,3,FALSE),""))</f>
        <v/>
      </c>
    </row>
    <row r="1430" spans="10:12" x14ac:dyDescent="0.25">
      <c r="J1430" t="str">
        <f>IF(H1430="","",IFERROR(VLOOKUP(H1430,Listas!$J$2:$K$1048576,2,FALSE),""))</f>
        <v/>
      </c>
      <c r="K1430" s="5" t="str">
        <f>IF(OR(I1430="",G1430=""),"",IF(G1430="Saída",-I1430,I1430))</f>
        <v/>
      </c>
      <c r="L1430" t="str">
        <f>IF(E1430="","",IFERROR(VLOOKUP(E1430,Listas!$A$2:$C$1048576,3,FALSE),""))</f>
        <v/>
      </c>
    </row>
    <row r="1431" spans="10:12" x14ac:dyDescent="0.25">
      <c r="J1431" t="str">
        <f>IF(H1431="","",IFERROR(VLOOKUP(H1431,Listas!$J$2:$K$1048576,2,FALSE),""))</f>
        <v/>
      </c>
      <c r="K1431" s="5" t="str">
        <f>IF(OR(I1431="",G1431=""),"",IF(G1431="Saída",-I1431,I1431))</f>
        <v/>
      </c>
      <c r="L1431" t="str">
        <f>IF(E1431="","",IFERROR(VLOOKUP(E1431,Listas!$A$2:$C$1048576,3,FALSE),""))</f>
        <v/>
      </c>
    </row>
    <row r="1432" spans="10:12" x14ac:dyDescent="0.25">
      <c r="J1432" t="str">
        <f>IF(H1432="","",IFERROR(VLOOKUP(H1432,Listas!$J$2:$K$1048576,2,FALSE),""))</f>
        <v/>
      </c>
      <c r="K1432" s="5" t="str">
        <f>IF(OR(I1432="",G1432=""),"",IF(G1432="Saída",-I1432,I1432))</f>
        <v/>
      </c>
      <c r="L1432" t="str">
        <f>IF(E1432="","",IFERROR(VLOOKUP(E1432,Listas!$A$2:$C$1048576,3,FALSE),""))</f>
        <v/>
      </c>
    </row>
    <row r="1433" spans="10:12" x14ac:dyDescent="0.25">
      <c r="J1433" t="str">
        <f>IF(H1433="","",IFERROR(VLOOKUP(H1433,Listas!$J$2:$K$1048576,2,FALSE),""))</f>
        <v/>
      </c>
      <c r="K1433" s="5" t="str">
        <f>IF(OR(I1433="",G1433=""),"",IF(G1433="Saída",-I1433,I1433))</f>
        <v/>
      </c>
      <c r="L1433" t="str">
        <f>IF(E1433="","",IFERROR(VLOOKUP(E1433,Listas!$A$2:$C$1048576,3,FALSE),""))</f>
        <v/>
      </c>
    </row>
    <row r="1434" spans="10:12" x14ac:dyDescent="0.25">
      <c r="J1434" t="str">
        <f>IF(H1434="","",IFERROR(VLOOKUP(H1434,Listas!$J$2:$K$1048576,2,FALSE),""))</f>
        <v/>
      </c>
      <c r="K1434" s="5" t="str">
        <f>IF(OR(I1434="",G1434=""),"",IF(G1434="Saída",-I1434,I1434))</f>
        <v/>
      </c>
      <c r="L1434" t="str">
        <f>IF(E1434="","",IFERROR(VLOOKUP(E1434,Listas!$A$2:$C$1048576,3,FALSE),""))</f>
        <v/>
      </c>
    </row>
    <row r="1435" spans="10:12" x14ac:dyDescent="0.25">
      <c r="J1435" t="str">
        <f>IF(H1435="","",IFERROR(VLOOKUP(H1435,Listas!$J$2:$K$1048576,2,FALSE),""))</f>
        <v/>
      </c>
      <c r="K1435" s="5" t="str">
        <f>IF(OR(I1435="",G1435=""),"",IF(G1435="Saída",-I1435,I1435))</f>
        <v/>
      </c>
      <c r="L1435" t="str">
        <f>IF(E1435="","",IFERROR(VLOOKUP(E1435,Listas!$A$2:$C$1048576,3,FALSE),""))</f>
        <v/>
      </c>
    </row>
    <row r="1436" spans="10:12" x14ac:dyDescent="0.25">
      <c r="J1436" t="str">
        <f>IF(H1436="","",IFERROR(VLOOKUP(H1436,Listas!$J$2:$K$1048576,2,FALSE),""))</f>
        <v/>
      </c>
      <c r="K1436" s="5" t="str">
        <f>IF(OR(I1436="",G1436=""),"",IF(G1436="Saída",-I1436,I1436))</f>
        <v/>
      </c>
      <c r="L1436" t="str">
        <f>IF(E1436="","",IFERROR(VLOOKUP(E1436,Listas!$A$2:$C$1048576,3,FALSE),""))</f>
        <v/>
      </c>
    </row>
    <row r="1437" spans="10:12" x14ac:dyDescent="0.25">
      <c r="J1437" t="str">
        <f>IF(H1437="","",IFERROR(VLOOKUP(H1437,Listas!$J$2:$K$1048576,2,FALSE),""))</f>
        <v/>
      </c>
      <c r="K1437" s="5" t="str">
        <f>IF(OR(I1437="",G1437=""),"",IF(G1437="Saída",-I1437,I1437))</f>
        <v/>
      </c>
      <c r="L1437" t="str">
        <f>IF(E1437="","",IFERROR(VLOOKUP(E1437,Listas!$A$2:$C$1048576,3,FALSE),""))</f>
        <v/>
      </c>
    </row>
    <row r="1438" spans="10:12" x14ac:dyDescent="0.25">
      <c r="J1438" t="str">
        <f>IF(H1438="","",IFERROR(VLOOKUP(H1438,Listas!$J$2:$K$1048576,2,FALSE),""))</f>
        <v/>
      </c>
      <c r="K1438" s="5" t="str">
        <f>IF(OR(I1438="",G1438=""),"",IF(G1438="Saída",-I1438,I1438))</f>
        <v/>
      </c>
      <c r="L1438" t="str">
        <f>IF(E1438="","",IFERROR(VLOOKUP(E1438,Listas!$A$2:$C$1048576,3,FALSE),""))</f>
        <v/>
      </c>
    </row>
    <row r="1439" spans="10:12" x14ac:dyDescent="0.25">
      <c r="J1439" t="str">
        <f>IF(H1439="","",IFERROR(VLOOKUP(H1439,Listas!$J$2:$K$1048576,2,FALSE),""))</f>
        <v/>
      </c>
      <c r="K1439" s="5" t="str">
        <f>IF(OR(I1439="",G1439=""),"",IF(G1439="Saída",-I1439,I1439))</f>
        <v/>
      </c>
      <c r="L1439" t="str">
        <f>IF(E1439="","",IFERROR(VLOOKUP(E1439,Listas!$A$2:$C$1048576,3,FALSE),""))</f>
        <v/>
      </c>
    </row>
    <row r="1440" spans="10:12" x14ac:dyDescent="0.25">
      <c r="J1440" t="str">
        <f>IF(H1440="","",IFERROR(VLOOKUP(H1440,Listas!$J$2:$K$1048576,2,FALSE),""))</f>
        <v/>
      </c>
      <c r="K1440" s="5" t="str">
        <f>IF(OR(I1440="",G1440=""),"",IF(G1440="Saída",-I1440,I1440))</f>
        <v/>
      </c>
      <c r="L1440" t="str">
        <f>IF(E1440="","",IFERROR(VLOOKUP(E1440,Listas!$A$2:$C$1048576,3,FALSE),""))</f>
        <v/>
      </c>
    </row>
    <row r="1441" spans="10:12" x14ac:dyDescent="0.25">
      <c r="J1441" t="str">
        <f>IF(H1441="","",IFERROR(VLOOKUP(H1441,Listas!$J$2:$K$1048576,2,FALSE),""))</f>
        <v/>
      </c>
      <c r="K1441" s="5" t="str">
        <f>IF(OR(I1441="",G1441=""),"",IF(G1441="Saída",-I1441,I1441))</f>
        <v/>
      </c>
      <c r="L1441" t="str">
        <f>IF(E1441="","",IFERROR(VLOOKUP(E1441,Listas!$A$2:$C$1048576,3,FALSE),""))</f>
        <v/>
      </c>
    </row>
    <row r="1442" spans="10:12" x14ac:dyDescent="0.25">
      <c r="J1442" t="str">
        <f>IF(H1442="","",IFERROR(VLOOKUP(H1442,Listas!$J$2:$K$1048576,2,FALSE),""))</f>
        <v/>
      </c>
      <c r="K1442" s="5" t="str">
        <f>IF(OR(I1442="",G1442=""),"",IF(G1442="Saída",-I1442,I1442))</f>
        <v/>
      </c>
      <c r="L1442" t="str">
        <f>IF(E1442="","",IFERROR(VLOOKUP(E1442,Listas!$A$2:$C$1048576,3,FALSE),""))</f>
        <v/>
      </c>
    </row>
    <row r="1443" spans="10:12" x14ac:dyDescent="0.25">
      <c r="J1443" t="str">
        <f>IF(H1443="","",IFERROR(VLOOKUP(H1443,Listas!$J$2:$K$1048576,2,FALSE),""))</f>
        <v/>
      </c>
      <c r="K1443" s="5" t="str">
        <f>IF(OR(I1443="",G1443=""),"",IF(G1443="Saída",-I1443,I1443))</f>
        <v/>
      </c>
      <c r="L1443" t="str">
        <f>IF(E1443="","",IFERROR(VLOOKUP(E1443,Listas!$A$2:$C$1048576,3,FALSE),""))</f>
        <v/>
      </c>
    </row>
    <row r="1444" spans="10:12" x14ac:dyDescent="0.25">
      <c r="J1444" t="str">
        <f>IF(H1444="","",IFERROR(VLOOKUP(H1444,Listas!$J$2:$K$1048576,2,FALSE),""))</f>
        <v/>
      </c>
      <c r="K1444" s="5" t="str">
        <f>IF(OR(I1444="",G1444=""),"",IF(G1444="Saída",-I1444,I1444))</f>
        <v/>
      </c>
      <c r="L1444" t="str">
        <f>IF(E1444="","",IFERROR(VLOOKUP(E1444,Listas!$A$2:$C$1048576,3,FALSE),""))</f>
        <v/>
      </c>
    </row>
    <row r="1445" spans="10:12" x14ac:dyDescent="0.25">
      <c r="J1445" t="str">
        <f>IF(H1445="","",IFERROR(VLOOKUP(H1445,Listas!$J$2:$K$1048576,2,FALSE),""))</f>
        <v/>
      </c>
      <c r="K1445" s="5" t="str">
        <f>IF(OR(I1445="",G1445=""),"",IF(G1445="Saída",-I1445,I1445))</f>
        <v/>
      </c>
      <c r="L1445" t="str">
        <f>IF(E1445="","",IFERROR(VLOOKUP(E1445,Listas!$A$2:$C$1048576,3,FALSE),""))</f>
        <v/>
      </c>
    </row>
    <row r="1446" spans="10:12" x14ac:dyDescent="0.25">
      <c r="J1446" t="str">
        <f>IF(H1446="","",IFERROR(VLOOKUP(H1446,Listas!$J$2:$K$1048576,2,FALSE),""))</f>
        <v/>
      </c>
      <c r="K1446" s="5" t="str">
        <f>IF(OR(I1446="",G1446=""),"",IF(G1446="Saída",-I1446,I1446))</f>
        <v/>
      </c>
      <c r="L1446" t="str">
        <f>IF(E1446="","",IFERROR(VLOOKUP(E1446,Listas!$A$2:$C$1048576,3,FALSE),""))</f>
        <v/>
      </c>
    </row>
    <row r="1447" spans="10:12" x14ac:dyDescent="0.25">
      <c r="J1447" t="str">
        <f>IF(H1447="","",IFERROR(VLOOKUP(H1447,Listas!$J$2:$K$1048576,2,FALSE),""))</f>
        <v/>
      </c>
      <c r="K1447" s="5" t="str">
        <f>IF(OR(I1447="",G1447=""),"",IF(G1447="Saída",-I1447,I1447))</f>
        <v/>
      </c>
      <c r="L1447" t="str">
        <f>IF(E1447="","",IFERROR(VLOOKUP(E1447,Listas!$A$2:$C$1048576,3,FALSE),""))</f>
        <v/>
      </c>
    </row>
    <row r="1448" spans="10:12" x14ac:dyDescent="0.25">
      <c r="J1448" t="str">
        <f>IF(H1448="","",IFERROR(VLOOKUP(H1448,Listas!$J$2:$K$1048576,2,FALSE),""))</f>
        <v/>
      </c>
      <c r="K1448" s="5" t="str">
        <f>IF(OR(I1448="",G1448=""),"",IF(G1448="Saída",-I1448,I1448))</f>
        <v/>
      </c>
      <c r="L1448" t="str">
        <f>IF(E1448="","",IFERROR(VLOOKUP(E1448,Listas!$A$2:$C$1048576,3,FALSE),""))</f>
        <v/>
      </c>
    </row>
    <row r="1449" spans="10:12" x14ac:dyDescent="0.25">
      <c r="J1449" t="str">
        <f>IF(H1449="","",IFERROR(VLOOKUP(H1449,Listas!$J$2:$K$1048576,2,FALSE),""))</f>
        <v/>
      </c>
      <c r="K1449" s="5" t="str">
        <f>IF(OR(I1449="",G1449=""),"",IF(G1449="Saída",-I1449,I1449))</f>
        <v/>
      </c>
      <c r="L1449" t="str">
        <f>IF(E1449="","",IFERROR(VLOOKUP(E1449,Listas!$A$2:$C$1048576,3,FALSE),""))</f>
        <v/>
      </c>
    </row>
    <row r="1450" spans="10:12" x14ac:dyDescent="0.25">
      <c r="J1450" t="str">
        <f>IF(H1450="","",IFERROR(VLOOKUP(H1450,Listas!$J$2:$K$1048576,2,FALSE),""))</f>
        <v/>
      </c>
      <c r="K1450" s="5" t="str">
        <f>IF(OR(I1450="",G1450=""),"",IF(G1450="Saída",-I1450,I1450))</f>
        <v/>
      </c>
      <c r="L1450" t="str">
        <f>IF(E1450="","",IFERROR(VLOOKUP(E1450,Listas!$A$2:$C$1048576,3,FALSE),""))</f>
        <v/>
      </c>
    </row>
    <row r="1451" spans="10:12" x14ac:dyDescent="0.25">
      <c r="J1451" t="str">
        <f>IF(H1451="","",IFERROR(VLOOKUP(H1451,Listas!$J$2:$K$1048576,2,FALSE),""))</f>
        <v/>
      </c>
      <c r="K1451" s="5" t="str">
        <f>IF(OR(I1451="",G1451=""),"",IF(G1451="Saída",-I1451,I1451))</f>
        <v/>
      </c>
      <c r="L1451" t="str">
        <f>IF(E1451="","",IFERROR(VLOOKUP(E1451,Listas!$A$2:$C$1048576,3,FALSE),""))</f>
        <v/>
      </c>
    </row>
    <row r="1452" spans="10:12" x14ac:dyDescent="0.25">
      <c r="J1452" t="str">
        <f>IF(H1452="","",IFERROR(VLOOKUP(H1452,Listas!$J$2:$K$1048576,2,FALSE),""))</f>
        <v/>
      </c>
      <c r="K1452" s="5" t="str">
        <f>IF(OR(I1452="",G1452=""),"",IF(G1452="Saída",-I1452,I1452))</f>
        <v/>
      </c>
      <c r="L1452" t="str">
        <f>IF(E1452="","",IFERROR(VLOOKUP(E1452,Listas!$A$2:$C$1048576,3,FALSE),""))</f>
        <v/>
      </c>
    </row>
    <row r="1453" spans="10:12" x14ac:dyDescent="0.25">
      <c r="J1453" t="str">
        <f>IF(H1453="","",IFERROR(VLOOKUP(H1453,Listas!$J$2:$K$1048576,2,FALSE),""))</f>
        <v/>
      </c>
      <c r="K1453" s="5" t="str">
        <f>IF(OR(I1453="",G1453=""),"",IF(G1453="Saída",-I1453,I1453))</f>
        <v/>
      </c>
      <c r="L1453" t="str">
        <f>IF(E1453="","",IFERROR(VLOOKUP(E1453,Listas!$A$2:$C$1048576,3,FALSE),""))</f>
        <v/>
      </c>
    </row>
    <row r="1454" spans="10:12" x14ac:dyDescent="0.25">
      <c r="J1454" t="str">
        <f>IF(H1454="","",IFERROR(VLOOKUP(H1454,Listas!$J$2:$K$1048576,2,FALSE),""))</f>
        <v/>
      </c>
      <c r="K1454" s="5" t="str">
        <f>IF(OR(I1454="",G1454=""),"",IF(G1454="Saída",-I1454,I1454))</f>
        <v/>
      </c>
      <c r="L1454" t="str">
        <f>IF(E1454="","",IFERROR(VLOOKUP(E1454,Listas!$A$2:$C$1048576,3,FALSE),""))</f>
        <v/>
      </c>
    </row>
    <row r="1455" spans="10:12" x14ac:dyDescent="0.25">
      <c r="J1455" t="str">
        <f>IF(H1455="","",IFERROR(VLOOKUP(H1455,Listas!$J$2:$K$1048576,2,FALSE),""))</f>
        <v/>
      </c>
      <c r="K1455" s="5" t="str">
        <f>IF(OR(I1455="",G1455=""),"",IF(G1455="Saída",-I1455,I1455))</f>
        <v/>
      </c>
      <c r="L1455" t="str">
        <f>IF(E1455="","",IFERROR(VLOOKUP(E1455,Listas!$A$2:$C$1048576,3,FALSE),""))</f>
        <v/>
      </c>
    </row>
    <row r="1456" spans="10:12" x14ac:dyDescent="0.25">
      <c r="J1456" t="str">
        <f>IF(H1456="","",IFERROR(VLOOKUP(H1456,Listas!$J$2:$K$1048576,2,FALSE),""))</f>
        <v/>
      </c>
      <c r="K1456" s="5" t="str">
        <f>IF(OR(I1456="",G1456=""),"",IF(G1456="Saída",-I1456,I1456))</f>
        <v/>
      </c>
      <c r="L1456" t="str">
        <f>IF(E1456="","",IFERROR(VLOOKUP(E1456,Listas!$A$2:$C$1048576,3,FALSE),""))</f>
        <v/>
      </c>
    </row>
    <row r="1457" spans="10:12" x14ac:dyDescent="0.25">
      <c r="J1457" t="str">
        <f>IF(H1457="","",IFERROR(VLOOKUP(H1457,Listas!$J$2:$K$1048576,2,FALSE),""))</f>
        <v/>
      </c>
      <c r="K1457" s="5" t="str">
        <f>IF(OR(I1457="",G1457=""),"",IF(G1457="Saída",-I1457,I1457))</f>
        <v/>
      </c>
      <c r="L1457" t="str">
        <f>IF(E1457="","",IFERROR(VLOOKUP(E1457,Listas!$A$2:$C$1048576,3,FALSE),""))</f>
        <v/>
      </c>
    </row>
    <row r="1458" spans="10:12" x14ac:dyDescent="0.25">
      <c r="J1458" t="str">
        <f>IF(H1458="","",IFERROR(VLOOKUP(H1458,Listas!$J$2:$K$1048576,2,FALSE),""))</f>
        <v/>
      </c>
      <c r="K1458" s="5" t="str">
        <f>IF(OR(I1458="",G1458=""),"",IF(G1458="Saída",-I1458,I1458))</f>
        <v/>
      </c>
      <c r="L1458" t="str">
        <f>IF(E1458="","",IFERROR(VLOOKUP(E1458,Listas!$A$2:$C$1048576,3,FALSE),""))</f>
        <v/>
      </c>
    </row>
    <row r="1459" spans="10:12" x14ac:dyDescent="0.25">
      <c r="J1459" t="str">
        <f>IF(H1459="","",IFERROR(VLOOKUP(H1459,Listas!$J$2:$K$1048576,2,FALSE),""))</f>
        <v/>
      </c>
      <c r="K1459" s="5" t="str">
        <f>IF(OR(I1459="",G1459=""),"",IF(G1459="Saída",-I1459,I1459))</f>
        <v/>
      </c>
      <c r="L1459" t="str">
        <f>IF(E1459="","",IFERROR(VLOOKUP(E1459,Listas!$A$2:$C$1048576,3,FALSE),""))</f>
        <v/>
      </c>
    </row>
    <row r="1460" spans="10:12" x14ac:dyDescent="0.25">
      <c r="J1460" t="str">
        <f>IF(H1460="","",IFERROR(VLOOKUP(H1460,Listas!$J$2:$K$1048576,2,FALSE),""))</f>
        <v/>
      </c>
      <c r="K1460" s="5" t="str">
        <f>IF(OR(I1460="",G1460=""),"",IF(G1460="Saída",-I1460,I1460))</f>
        <v/>
      </c>
      <c r="L1460" t="str">
        <f>IF(E1460="","",IFERROR(VLOOKUP(E1460,Listas!$A$2:$C$1048576,3,FALSE),""))</f>
        <v/>
      </c>
    </row>
    <row r="1461" spans="10:12" x14ac:dyDescent="0.25">
      <c r="J1461" t="str">
        <f>IF(H1461="","",IFERROR(VLOOKUP(H1461,Listas!$J$2:$K$1048576,2,FALSE),""))</f>
        <v/>
      </c>
      <c r="K1461" s="5" t="str">
        <f>IF(OR(I1461="",G1461=""),"",IF(G1461="Saída",-I1461,I1461))</f>
        <v/>
      </c>
      <c r="L1461" t="str">
        <f>IF(E1461="","",IFERROR(VLOOKUP(E1461,Listas!$A$2:$C$1048576,3,FALSE),""))</f>
        <v/>
      </c>
    </row>
    <row r="1462" spans="10:12" x14ac:dyDescent="0.25">
      <c r="J1462" t="str">
        <f>IF(H1462="","",IFERROR(VLOOKUP(H1462,Listas!$J$2:$K$1048576,2,FALSE),""))</f>
        <v/>
      </c>
      <c r="K1462" s="5" t="str">
        <f>IF(OR(I1462="",G1462=""),"",IF(G1462="Saída",-I1462,I1462))</f>
        <v/>
      </c>
      <c r="L1462" t="str">
        <f>IF(E1462="","",IFERROR(VLOOKUP(E1462,Listas!$A$2:$C$1048576,3,FALSE),""))</f>
        <v/>
      </c>
    </row>
    <row r="1463" spans="10:12" x14ac:dyDescent="0.25">
      <c r="J1463" t="str">
        <f>IF(H1463="","",IFERROR(VLOOKUP(H1463,Listas!$J$2:$K$1048576,2,FALSE),""))</f>
        <v/>
      </c>
      <c r="K1463" s="5" t="str">
        <f>IF(OR(I1463="",G1463=""),"",IF(G1463="Saída",-I1463,I1463))</f>
        <v/>
      </c>
      <c r="L1463" t="str">
        <f>IF(E1463="","",IFERROR(VLOOKUP(E1463,Listas!$A$2:$C$1048576,3,FALSE),""))</f>
        <v/>
      </c>
    </row>
    <row r="1464" spans="10:12" x14ac:dyDescent="0.25">
      <c r="J1464" t="str">
        <f>IF(H1464="","",IFERROR(VLOOKUP(H1464,Listas!$J$2:$K$1048576,2,FALSE),""))</f>
        <v/>
      </c>
      <c r="K1464" s="5" t="str">
        <f>IF(OR(I1464="",G1464=""),"",IF(G1464="Saída",-I1464,I1464))</f>
        <v/>
      </c>
      <c r="L1464" t="str">
        <f>IF(E1464="","",IFERROR(VLOOKUP(E1464,Listas!$A$2:$C$1048576,3,FALSE),""))</f>
        <v/>
      </c>
    </row>
    <row r="1465" spans="10:12" x14ac:dyDescent="0.25">
      <c r="J1465" t="str">
        <f>IF(H1465="","",IFERROR(VLOOKUP(H1465,Listas!$J$2:$K$1048576,2,FALSE),""))</f>
        <v/>
      </c>
      <c r="K1465" s="5" t="str">
        <f>IF(OR(I1465="",G1465=""),"",IF(G1465="Saída",-I1465,I1465))</f>
        <v/>
      </c>
      <c r="L1465" t="str">
        <f>IF(E1465="","",IFERROR(VLOOKUP(E1465,Listas!$A$2:$C$1048576,3,FALSE),""))</f>
        <v/>
      </c>
    </row>
    <row r="1466" spans="10:12" x14ac:dyDescent="0.25">
      <c r="J1466" t="str">
        <f>IF(H1466="","",IFERROR(VLOOKUP(H1466,Listas!$J$2:$K$1048576,2,FALSE),""))</f>
        <v/>
      </c>
      <c r="K1466" s="5" t="str">
        <f>IF(OR(I1466="",G1466=""),"",IF(G1466="Saída",-I1466,I1466))</f>
        <v/>
      </c>
      <c r="L1466" t="str">
        <f>IF(E1466="","",IFERROR(VLOOKUP(E1466,Listas!$A$2:$C$1048576,3,FALSE),""))</f>
        <v/>
      </c>
    </row>
    <row r="1467" spans="10:12" x14ac:dyDescent="0.25">
      <c r="J1467" t="str">
        <f>IF(H1467="","",IFERROR(VLOOKUP(H1467,Listas!$J$2:$K$1048576,2,FALSE),""))</f>
        <v/>
      </c>
      <c r="K1467" s="5" t="str">
        <f>IF(OR(I1467="",G1467=""),"",IF(G1467="Saída",-I1467,I1467))</f>
        <v/>
      </c>
      <c r="L1467" t="str">
        <f>IF(E1467="","",IFERROR(VLOOKUP(E1467,Listas!$A$2:$C$1048576,3,FALSE),""))</f>
        <v/>
      </c>
    </row>
    <row r="1468" spans="10:12" x14ac:dyDescent="0.25">
      <c r="J1468" t="str">
        <f>IF(H1468="","",IFERROR(VLOOKUP(H1468,Listas!$J$2:$K$1048576,2,FALSE),""))</f>
        <v/>
      </c>
      <c r="K1468" s="5" t="str">
        <f>IF(OR(I1468="",G1468=""),"",IF(G1468="Saída",-I1468,I1468))</f>
        <v/>
      </c>
      <c r="L1468" t="str">
        <f>IF(E1468="","",IFERROR(VLOOKUP(E1468,Listas!$A$2:$C$1048576,3,FALSE),""))</f>
        <v/>
      </c>
    </row>
    <row r="1469" spans="10:12" x14ac:dyDescent="0.25">
      <c r="J1469" t="str">
        <f>IF(H1469="","",IFERROR(VLOOKUP(H1469,Listas!$J$2:$K$1048576,2,FALSE),""))</f>
        <v/>
      </c>
      <c r="K1469" s="5" t="str">
        <f>IF(OR(I1469="",G1469=""),"",IF(G1469="Saída",-I1469,I1469))</f>
        <v/>
      </c>
      <c r="L1469" t="str">
        <f>IF(E1469="","",IFERROR(VLOOKUP(E1469,Listas!$A$2:$C$1048576,3,FALSE),""))</f>
        <v/>
      </c>
    </row>
    <row r="1470" spans="10:12" x14ac:dyDescent="0.25">
      <c r="J1470" t="str">
        <f>IF(H1470="","",IFERROR(VLOOKUP(H1470,Listas!$J$2:$K$1048576,2,FALSE),""))</f>
        <v/>
      </c>
      <c r="K1470" s="5" t="str">
        <f>IF(OR(I1470="",G1470=""),"",IF(G1470="Saída",-I1470,I1470))</f>
        <v/>
      </c>
      <c r="L1470" t="str">
        <f>IF(E1470="","",IFERROR(VLOOKUP(E1470,Listas!$A$2:$C$1048576,3,FALSE),""))</f>
        <v/>
      </c>
    </row>
    <row r="1471" spans="10:12" x14ac:dyDescent="0.25">
      <c r="J1471" t="str">
        <f>IF(H1471="","",IFERROR(VLOOKUP(H1471,Listas!$J$2:$K$1048576,2,FALSE),""))</f>
        <v/>
      </c>
      <c r="K1471" s="5" t="str">
        <f>IF(OR(I1471="",G1471=""),"",IF(G1471="Saída",-I1471,I1471))</f>
        <v/>
      </c>
      <c r="L1471" t="str">
        <f>IF(E1471="","",IFERROR(VLOOKUP(E1471,Listas!$A$2:$C$1048576,3,FALSE),""))</f>
        <v/>
      </c>
    </row>
    <row r="1472" spans="10:12" x14ac:dyDescent="0.25">
      <c r="J1472" t="str">
        <f>IF(H1472="","",IFERROR(VLOOKUP(H1472,Listas!$J$2:$K$1048576,2,FALSE),""))</f>
        <v/>
      </c>
      <c r="K1472" s="5" t="str">
        <f>IF(OR(I1472="",G1472=""),"",IF(G1472="Saída",-I1472,I1472))</f>
        <v/>
      </c>
      <c r="L1472" t="str">
        <f>IF(E1472="","",IFERROR(VLOOKUP(E1472,Listas!$A$2:$C$1048576,3,FALSE),""))</f>
        <v/>
      </c>
    </row>
    <row r="1473" spans="10:12" x14ac:dyDescent="0.25">
      <c r="J1473" t="str">
        <f>IF(H1473="","",IFERROR(VLOOKUP(H1473,Listas!$J$2:$K$1048576,2,FALSE),""))</f>
        <v/>
      </c>
      <c r="K1473" s="5" t="str">
        <f>IF(OR(I1473="",G1473=""),"",IF(G1473="Saída",-I1473,I1473))</f>
        <v/>
      </c>
      <c r="L1473" t="str">
        <f>IF(E1473="","",IFERROR(VLOOKUP(E1473,Listas!$A$2:$C$1048576,3,FALSE),""))</f>
        <v/>
      </c>
    </row>
    <row r="1474" spans="10:12" x14ac:dyDescent="0.25">
      <c r="J1474" t="str">
        <f>IF(H1474="","",IFERROR(VLOOKUP(H1474,Listas!$J$2:$K$1048576,2,FALSE),""))</f>
        <v/>
      </c>
      <c r="K1474" s="5" t="str">
        <f>IF(OR(I1474="",G1474=""),"",IF(G1474="Saída",-I1474,I1474))</f>
        <v/>
      </c>
      <c r="L1474" t="str">
        <f>IF(E1474="","",IFERROR(VLOOKUP(E1474,Listas!$A$2:$C$1048576,3,FALSE),""))</f>
        <v/>
      </c>
    </row>
    <row r="1475" spans="10:12" x14ac:dyDescent="0.25">
      <c r="J1475" t="str">
        <f>IF(H1475="","",IFERROR(VLOOKUP(H1475,Listas!$J$2:$K$1048576,2,FALSE),""))</f>
        <v/>
      </c>
      <c r="K1475" s="5" t="str">
        <f>IF(OR(I1475="",G1475=""),"",IF(G1475="Saída",-I1475,I1475))</f>
        <v/>
      </c>
      <c r="L1475" t="str">
        <f>IF(E1475="","",IFERROR(VLOOKUP(E1475,Listas!$A$2:$C$1048576,3,FALSE),""))</f>
        <v/>
      </c>
    </row>
    <row r="1476" spans="10:12" x14ac:dyDescent="0.25">
      <c r="J1476" t="str">
        <f>IF(H1476="","",IFERROR(VLOOKUP(H1476,Listas!$J$2:$K$1048576,2,FALSE),""))</f>
        <v/>
      </c>
      <c r="K1476" s="5" t="str">
        <f>IF(OR(I1476="",G1476=""),"",IF(G1476="Saída",-I1476,I1476))</f>
        <v/>
      </c>
      <c r="L1476" t="str">
        <f>IF(E1476="","",IFERROR(VLOOKUP(E1476,Listas!$A$2:$C$1048576,3,FALSE),""))</f>
        <v/>
      </c>
    </row>
    <row r="1477" spans="10:12" x14ac:dyDescent="0.25">
      <c r="J1477" t="str">
        <f>IF(H1477="","",IFERROR(VLOOKUP(H1477,Listas!$J$2:$K$1048576,2,FALSE),""))</f>
        <v/>
      </c>
      <c r="K1477" s="5" t="str">
        <f>IF(OR(I1477="",G1477=""),"",IF(G1477="Saída",-I1477,I1477))</f>
        <v/>
      </c>
      <c r="L1477" t="str">
        <f>IF(E1477="","",IFERROR(VLOOKUP(E1477,Listas!$A$2:$C$1048576,3,FALSE),""))</f>
        <v/>
      </c>
    </row>
    <row r="1478" spans="10:12" x14ac:dyDescent="0.25">
      <c r="J1478" t="str">
        <f>IF(H1478="","",IFERROR(VLOOKUP(H1478,Listas!$J$2:$K$1048576,2,FALSE),""))</f>
        <v/>
      </c>
      <c r="K1478" s="5" t="str">
        <f>IF(OR(I1478="",G1478=""),"",IF(G1478="Saída",-I1478,I1478))</f>
        <v/>
      </c>
      <c r="L1478" t="str">
        <f>IF(E1478="","",IFERROR(VLOOKUP(E1478,Listas!$A$2:$C$1048576,3,FALSE),""))</f>
        <v/>
      </c>
    </row>
    <row r="1479" spans="10:12" x14ac:dyDescent="0.25">
      <c r="J1479" t="str">
        <f>IF(H1479="","",IFERROR(VLOOKUP(H1479,Listas!$J$2:$K$1048576,2,FALSE),""))</f>
        <v/>
      </c>
      <c r="K1479" s="5" t="str">
        <f>IF(OR(I1479="",G1479=""),"",IF(G1479="Saída",-I1479,I1479))</f>
        <v/>
      </c>
      <c r="L1479" t="str">
        <f>IF(E1479="","",IFERROR(VLOOKUP(E1479,Listas!$A$2:$C$1048576,3,FALSE),""))</f>
        <v/>
      </c>
    </row>
    <row r="1480" spans="10:12" x14ac:dyDescent="0.25">
      <c r="J1480" t="str">
        <f>IF(H1480="","",IFERROR(VLOOKUP(H1480,Listas!$J$2:$K$1048576,2,FALSE),""))</f>
        <v/>
      </c>
      <c r="K1480" s="5" t="str">
        <f>IF(OR(I1480="",G1480=""),"",IF(G1480="Saída",-I1480,I1480))</f>
        <v/>
      </c>
      <c r="L1480" t="str">
        <f>IF(E1480="","",IFERROR(VLOOKUP(E1480,Listas!$A$2:$C$1048576,3,FALSE),""))</f>
        <v/>
      </c>
    </row>
    <row r="1481" spans="10:12" x14ac:dyDescent="0.25">
      <c r="J1481" t="str">
        <f>IF(H1481="","",IFERROR(VLOOKUP(H1481,Listas!$J$2:$K$1048576,2,FALSE),""))</f>
        <v/>
      </c>
      <c r="K1481" s="5" t="str">
        <f>IF(OR(I1481="",G1481=""),"",IF(G1481="Saída",-I1481,I1481))</f>
        <v/>
      </c>
      <c r="L1481" t="str">
        <f>IF(E1481="","",IFERROR(VLOOKUP(E1481,Listas!$A$2:$C$1048576,3,FALSE),""))</f>
        <v/>
      </c>
    </row>
    <row r="1482" spans="10:12" x14ac:dyDescent="0.25">
      <c r="J1482" t="str">
        <f>IF(H1482="","",IFERROR(VLOOKUP(H1482,Listas!$J$2:$K$1048576,2,FALSE),""))</f>
        <v/>
      </c>
      <c r="K1482" s="5" t="str">
        <f>IF(OR(I1482="",G1482=""),"",IF(G1482="Saída",-I1482,I1482))</f>
        <v/>
      </c>
      <c r="L1482" t="str">
        <f>IF(E1482="","",IFERROR(VLOOKUP(E1482,Listas!$A$2:$C$1048576,3,FALSE),""))</f>
        <v/>
      </c>
    </row>
    <row r="1483" spans="10:12" x14ac:dyDescent="0.25">
      <c r="J1483" t="str">
        <f>IF(H1483="","",IFERROR(VLOOKUP(H1483,Listas!$J$2:$K$1048576,2,FALSE),""))</f>
        <v/>
      </c>
      <c r="K1483" s="5" t="str">
        <f>IF(OR(I1483="",G1483=""),"",IF(G1483="Saída",-I1483,I1483))</f>
        <v/>
      </c>
      <c r="L1483" t="str">
        <f>IF(E1483="","",IFERROR(VLOOKUP(E1483,Listas!$A$2:$C$1048576,3,FALSE),""))</f>
        <v/>
      </c>
    </row>
    <row r="1484" spans="10:12" x14ac:dyDescent="0.25">
      <c r="J1484" t="str">
        <f>IF(H1484="","",IFERROR(VLOOKUP(H1484,Listas!$J$2:$K$1048576,2,FALSE),""))</f>
        <v/>
      </c>
      <c r="K1484" s="5" t="str">
        <f>IF(OR(I1484="",G1484=""),"",IF(G1484="Saída",-I1484,I1484))</f>
        <v/>
      </c>
      <c r="L1484" t="str">
        <f>IF(E1484="","",IFERROR(VLOOKUP(E1484,Listas!$A$2:$C$1048576,3,FALSE),""))</f>
        <v/>
      </c>
    </row>
    <row r="1485" spans="10:12" x14ac:dyDescent="0.25">
      <c r="J1485" t="str">
        <f>IF(H1485="","",IFERROR(VLOOKUP(H1485,Listas!$J$2:$K$1048576,2,FALSE),""))</f>
        <v/>
      </c>
      <c r="K1485" s="5" t="str">
        <f>IF(OR(I1485="",G1485=""),"",IF(G1485="Saída",-I1485,I1485))</f>
        <v/>
      </c>
      <c r="L1485" t="str">
        <f>IF(E1485="","",IFERROR(VLOOKUP(E1485,Listas!$A$2:$C$1048576,3,FALSE),""))</f>
        <v/>
      </c>
    </row>
    <row r="1486" spans="10:12" x14ac:dyDescent="0.25">
      <c r="J1486" t="str">
        <f>IF(H1486="","",IFERROR(VLOOKUP(H1486,Listas!$J$2:$K$1048576,2,FALSE),""))</f>
        <v/>
      </c>
      <c r="K1486" s="5" t="str">
        <f>IF(OR(I1486="",G1486=""),"",IF(G1486="Saída",-I1486,I1486))</f>
        <v/>
      </c>
      <c r="L1486" t="str">
        <f>IF(E1486="","",IFERROR(VLOOKUP(E1486,Listas!$A$2:$C$1048576,3,FALSE),""))</f>
        <v/>
      </c>
    </row>
    <row r="1487" spans="10:12" x14ac:dyDescent="0.25">
      <c r="J1487" t="str">
        <f>IF(H1487="","",IFERROR(VLOOKUP(H1487,Listas!$J$2:$K$1048576,2,FALSE),""))</f>
        <v/>
      </c>
      <c r="K1487" s="5" t="str">
        <f>IF(OR(I1487="",G1487=""),"",IF(G1487="Saída",-I1487,I1487))</f>
        <v/>
      </c>
      <c r="L1487" t="str">
        <f>IF(E1487="","",IFERROR(VLOOKUP(E1487,Listas!$A$2:$C$1048576,3,FALSE),""))</f>
        <v/>
      </c>
    </row>
    <row r="1488" spans="10:12" x14ac:dyDescent="0.25">
      <c r="J1488" t="str">
        <f>IF(H1488="","",IFERROR(VLOOKUP(H1488,Listas!$J$2:$K$1048576,2,FALSE),""))</f>
        <v/>
      </c>
      <c r="K1488" s="5" t="str">
        <f>IF(OR(I1488="",G1488=""),"",IF(G1488="Saída",-I1488,I1488))</f>
        <v/>
      </c>
      <c r="L1488" t="str">
        <f>IF(E1488="","",IFERROR(VLOOKUP(E1488,Listas!$A$2:$C$1048576,3,FALSE),""))</f>
        <v/>
      </c>
    </row>
    <row r="1489" spans="10:12" x14ac:dyDescent="0.25">
      <c r="J1489" t="str">
        <f>IF(H1489="","",IFERROR(VLOOKUP(H1489,Listas!$J$2:$K$1048576,2,FALSE),""))</f>
        <v/>
      </c>
      <c r="K1489" s="5" t="str">
        <f>IF(OR(I1489="",G1489=""),"",IF(G1489="Saída",-I1489,I1489))</f>
        <v/>
      </c>
      <c r="L1489" t="str">
        <f>IF(E1489="","",IFERROR(VLOOKUP(E1489,Listas!$A$2:$C$1048576,3,FALSE),""))</f>
        <v/>
      </c>
    </row>
    <row r="1490" spans="10:12" x14ac:dyDescent="0.25">
      <c r="J1490" t="str">
        <f>IF(H1490="","",IFERROR(VLOOKUP(H1490,Listas!$J$2:$K$1048576,2,FALSE),""))</f>
        <v/>
      </c>
      <c r="K1490" s="5" t="str">
        <f>IF(OR(I1490="",G1490=""),"",IF(G1490="Saída",-I1490,I1490))</f>
        <v/>
      </c>
      <c r="L1490" t="str">
        <f>IF(E1490="","",IFERROR(VLOOKUP(E1490,Listas!$A$2:$C$1048576,3,FALSE),""))</f>
        <v/>
      </c>
    </row>
    <row r="1491" spans="10:12" x14ac:dyDescent="0.25">
      <c r="J1491" t="str">
        <f>IF(H1491="","",IFERROR(VLOOKUP(H1491,Listas!$J$2:$K$1048576,2,FALSE),""))</f>
        <v/>
      </c>
      <c r="K1491" s="5" t="str">
        <f>IF(OR(I1491="",G1491=""),"",IF(G1491="Saída",-I1491,I1491))</f>
        <v/>
      </c>
      <c r="L1491" t="str">
        <f>IF(E1491="","",IFERROR(VLOOKUP(E1491,Listas!$A$2:$C$1048576,3,FALSE),""))</f>
        <v/>
      </c>
    </row>
    <row r="1492" spans="10:12" x14ac:dyDescent="0.25">
      <c r="J1492" t="str">
        <f>IF(H1492="","",IFERROR(VLOOKUP(H1492,Listas!$J$2:$K$1048576,2,FALSE),""))</f>
        <v/>
      </c>
      <c r="K1492" s="5" t="str">
        <f>IF(OR(I1492="",G1492=""),"",IF(G1492="Saída",-I1492,I1492))</f>
        <v/>
      </c>
      <c r="L1492" t="str">
        <f>IF(E1492="","",IFERROR(VLOOKUP(E1492,Listas!$A$2:$C$1048576,3,FALSE),""))</f>
        <v/>
      </c>
    </row>
    <row r="1493" spans="10:12" x14ac:dyDescent="0.25">
      <c r="J1493" t="str">
        <f>IF(H1493="","",IFERROR(VLOOKUP(H1493,Listas!$J$2:$K$1048576,2,FALSE),""))</f>
        <v/>
      </c>
      <c r="K1493" s="5" t="str">
        <f>IF(OR(I1493="",G1493=""),"",IF(G1493="Saída",-I1493,I1493))</f>
        <v/>
      </c>
      <c r="L1493" t="str">
        <f>IF(E1493="","",IFERROR(VLOOKUP(E1493,Listas!$A$2:$C$1048576,3,FALSE),""))</f>
        <v/>
      </c>
    </row>
    <row r="1494" spans="10:12" x14ac:dyDescent="0.25">
      <c r="J1494" t="str">
        <f>IF(H1494="","",IFERROR(VLOOKUP(H1494,Listas!$J$2:$K$1048576,2,FALSE),""))</f>
        <v/>
      </c>
      <c r="K1494" s="5" t="str">
        <f>IF(OR(I1494="",G1494=""),"",IF(G1494="Saída",-I1494,I1494))</f>
        <v/>
      </c>
      <c r="L1494" t="str">
        <f>IF(E1494="","",IFERROR(VLOOKUP(E1494,Listas!$A$2:$C$1048576,3,FALSE),""))</f>
        <v/>
      </c>
    </row>
    <row r="1495" spans="10:12" x14ac:dyDescent="0.25">
      <c r="J1495" t="str">
        <f>IF(H1495="","",IFERROR(VLOOKUP(H1495,Listas!$J$2:$K$1048576,2,FALSE),""))</f>
        <v/>
      </c>
      <c r="K1495" s="5" t="str">
        <f>IF(OR(I1495="",G1495=""),"",IF(G1495="Saída",-I1495,I1495))</f>
        <v/>
      </c>
      <c r="L1495" t="str">
        <f>IF(E1495="","",IFERROR(VLOOKUP(E1495,Listas!$A$2:$C$1048576,3,FALSE),""))</f>
        <v/>
      </c>
    </row>
    <row r="1496" spans="10:12" x14ac:dyDescent="0.25">
      <c r="J1496" t="str">
        <f>IF(H1496="","",IFERROR(VLOOKUP(H1496,Listas!$J$2:$K$1048576,2,FALSE),""))</f>
        <v/>
      </c>
      <c r="K1496" s="5" t="str">
        <f>IF(OR(I1496="",G1496=""),"",IF(G1496="Saída",-I1496,I1496))</f>
        <v/>
      </c>
      <c r="L1496" t="str">
        <f>IF(E1496="","",IFERROR(VLOOKUP(E1496,Listas!$A$2:$C$1048576,3,FALSE),""))</f>
        <v/>
      </c>
    </row>
    <row r="1497" spans="10:12" x14ac:dyDescent="0.25">
      <c r="J1497" t="str">
        <f>IF(H1497="","",IFERROR(VLOOKUP(H1497,Listas!$J$2:$K$1048576,2,FALSE),""))</f>
        <v/>
      </c>
      <c r="K1497" s="5" t="str">
        <f>IF(OR(I1497="",G1497=""),"",IF(G1497="Saída",-I1497,I1497))</f>
        <v/>
      </c>
      <c r="L1497" t="str">
        <f>IF(E1497="","",IFERROR(VLOOKUP(E1497,Listas!$A$2:$C$1048576,3,FALSE),""))</f>
        <v/>
      </c>
    </row>
    <row r="1498" spans="10:12" x14ac:dyDescent="0.25">
      <c r="J1498" t="str">
        <f>IF(H1498="","",IFERROR(VLOOKUP(H1498,Listas!$J$2:$K$1048576,2,FALSE),""))</f>
        <v/>
      </c>
      <c r="K1498" s="5" t="str">
        <f>IF(OR(I1498="",G1498=""),"",IF(G1498="Saída",-I1498,I1498))</f>
        <v/>
      </c>
      <c r="L1498" t="str">
        <f>IF(E1498="","",IFERROR(VLOOKUP(E1498,Listas!$A$2:$C$1048576,3,FALSE),""))</f>
        <v/>
      </c>
    </row>
    <row r="1499" spans="10:12" x14ac:dyDescent="0.25">
      <c r="J1499" t="str">
        <f>IF(H1499="","",IFERROR(VLOOKUP(H1499,Listas!$J$2:$K$1048576,2,FALSE),""))</f>
        <v/>
      </c>
      <c r="K1499" s="5" t="str">
        <f>IF(OR(I1499="",G1499=""),"",IF(G1499="Saída",-I1499,I1499))</f>
        <v/>
      </c>
      <c r="L1499" t="str">
        <f>IF(E1499="","",IFERROR(VLOOKUP(E1499,Listas!$A$2:$C$1048576,3,FALSE),""))</f>
        <v/>
      </c>
    </row>
    <row r="1500" spans="10:12" x14ac:dyDescent="0.25">
      <c r="J1500" t="str">
        <f>IF(H1500="","",IFERROR(VLOOKUP(H1500,Listas!$J$2:$K$1048576,2,FALSE),""))</f>
        <v/>
      </c>
      <c r="K1500" s="5" t="str">
        <f>IF(OR(I1500="",G1500=""),"",IF(G1500="Saída",-I1500,I1500))</f>
        <v/>
      </c>
      <c r="L1500" t="str">
        <f>IF(E1500="","",IFERROR(VLOOKUP(E1500,Listas!$A$2:$C$1048576,3,FALSE),""))</f>
        <v/>
      </c>
    </row>
    <row r="1501" spans="10:12" x14ac:dyDescent="0.25">
      <c r="J1501" t="str">
        <f>IF(H1501="","",IFERROR(VLOOKUP(H1501,Listas!$J$2:$K$1048576,2,FALSE),""))</f>
        <v/>
      </c>
      <c r="K1501" s="5" t="str">
        <f>IF(OR(I1501="",G1501=""),"",IF(G1501="Saída",-I1501,I1501))</f>
        <v/>
      </c>
      <c r="L1501" t="str">
        <f>IF(E1501="","",IFERROR(VLOOKUP(E1501,Listas!$A$2:$C$1048576,3,FALSE),""))</f>
        <v/>
      </c>
    </row>
    <row r="1502" spans="10:12" x14ac:dyDescent="0.25">
      <c r="J1502" t="str">
        <f>IF(H1502="","",IFERROR(VLOOKUP(H1502,Listas!$J$2:$K$1048576,2,FALSE),""))</f>
        <v/>
      </c>
      <c r="K1502" s="5" t="str">
        <f>IF(OR(I1502="",G1502=""),"",IF(G1502="Saída",-I1502,I1502))</f>
        <v/>
      </c>
      <c r="L1502" t="str">
        <f>IF(E1502="","",IFERROR(VLOOKUP(E1502,Listas!$A$2:$C$1048576,3,FALSE),""))</f>
        <v/>
      </c>
    </row>
    <row r="1503" spans="10:12" x14ac:dyDescent="0.25">
      <c r="J1503" t="str">
        <f>IF(H1503="","",IFERROR(VLOOKUP(H1503,Listas!$J$2:$K$1048576,2,FALSE),""))</f>
        <v/>
      </c>
      <c r="K1503" s="5" t="str">
        <f>IF(OR(I1503="",G1503=""),"",IF(G1503="Saída",-I1503,I1503))</f>
        <v/>
      </c>
      <c r="L1503" t="str">
        <f>IF(E1503="","",IFERROR(VLOOKUP(E1503,Listas!$A$2:$C$1048576,3,FALSE),""))</f>
        <v/>
      </c>
    </row>
    <row r="1504" spans="10:12" x14ac:dyDescent="0.25">
      <c r="J1504" t="str">
        <f>IF(H1504="","",IFERROR(VLOOKUP(H1504,Listas!$J$2:$K$1048576,2,FALSE),""))</f>
        <v/>
      </c>
      <c r="K1504" s="5" t="str">
        <f>IF(OR(I1504="",G1504=""),"",IF(G1504="Saída",-I1504,I1504))</f>
        <v/>
      </c>
      <c r="L1504" t="str">
        <f>IF(E1504="","",IFERROR(VLOOKUP(E1504,Listas!$A$2:$C$1048576,3,FALSE),""))</f>
        <v/>
      </c>
    </row>
    <row r="1505" spans="10:12" x14ac:dyDescent="0.25">
      <c r="J1505" t="str">
        <f>IF(H1505="","",IFERROR(VLOOKUP(H1505,Listas!$J$2:$K$1048576,2,FALSE),""))</f>
        <v/>
      </c>
      <c r="K1505" s="5" t="str">
        <f>IF(OR(I1505="",G1505=""),"",IF(G1505="Saída",-I1505,I1505))</f>
        <v/>
      </c>
      <c r="L1505" t="str">
        <f>IF(E1505="","",IFERROR(VLOOKUP(E1505,Listas!$A$2:$C$1048576,3,FALSE),""))</f>
        <v/>
      </c>
    </row>
    <row r="1506" spans="10:12" x14ac:dyDescent="0.25">
      <c r="J1506" t="str">
        <f>IF(H1506="","",IFERROR(VLOOKUP(H1506,Listas!$J$2:$K$1048576,2,FALSE),""))</f>
        <v/>
      </c>
      <c r="K1506" s="5" t="str">
        <f>IF(OR(I1506="",G1506=""),"",IF(G1506="Saída",-I1506,I1506))</f>
        <v/>
      </c>
      <c r="L1506" t="str">
        <f>IF(E1506="","",IFERROR(VLOOKUP(E1506,Listas!$A$2:$C$1048576,3,FALSE),""))</f>
        <v/>
      </c>
    </row>
    <row r="1507" spans="10:12" x14ac:dyDescent="0.25">
      <c r="J1507" t="str">
        <f>IF(H1507="","",IFERROR(VLOOKUP(H1507,Listas!$J$2:$K$1048576,2,FALSE),""))</f>
        <v/>
      </c>
      <c r="K1507" s="5" t="str">
        <f>IF(OR(I1507="",G1507=""),"",IF(G1507="Saída",-I1507,I1507))</f>
        <v/>
      </c>
      <c r="L1507" t="str">
        <f>IF(E1507="","",IFERROR(VLOOKUP(E1507,Listas!$A$2:$C$1048576,3,FALSE),""))</f>
        <v/>
      </c>
    </row>
    <row r="1508" spans="10:12" x14ac:dyDescent="0.25">
      <c r="J1508" t="str">
        <f>IF(H1508="","",IFERROR(VLOOKUP(H1508,Listas!$J$2:$K$1048576,2,FALSE),""))</f>
        <v/>
      </c>
      <c r="K1508" s="5" t="str">
        <f>IF(OR(I1508="",G1508=""),"",IF(G1508="Saída",-I1508,I1508))</f>
        <v/>
      </c>
      <c r="L1508" t="str">
        <f>IF(E1508="","",IFERROR(VLOOKUP(E1508,Listas!$A$2:$C$1048576,3,FALSE),""))</f>
        <v/>
      </c>
    </row>
    <row r="1509" spans="10:12" x14ac:dyDescent="0.25">
      <c r="J1509" t="str">
        <f>IF(H1509="","",IFERROR(VLOOKUP(H1509,Listas!$J$2:$K$1048576,2,FALSE),""))</f>
        <v/>
      </c>
      <c r="K1509" s="5" t="str">
        <f>IF(OR(I1509="",G1509=""),"",IF(G1509="Saída",-I1509,I1509))</f>
        <v/>
      </c>
      <c r="L1509" t="str">
        <f>IF(E1509="","",IFERROR(VLOOKUP(E1509,Listas!$A$2:$C$1048576,3,FALSE),""))</f>
        <v/>
      </c>
    </row>
    <row r="1510" spans="10:12" x14ac:dyDescent="0.25">
      <c r="J1510" t="str">
        <f>IF(H1510="","",IFERROR(VLOOKUP(H1510,Listas!$J$2:$K$1048576,2,FALSE),""))</f>
        <v/>
      </c>
      <c r="K1510" s="5" t="str">
        <f>IF(OR(I1510="",G1510=""),"",IF(G1510="Saída",-I1510,I1510))</f>
        <v/>
      </c>
      <c r="L1510" t="str">
        <f>IF(E1510="","",IFERROR(VLOOKUP(E1510,Listas!$A$2:$C$1048576,3,FALSE),""))</f>
        <v/>
      </c>
    </row>
    <row r="1511" spans="10:12" x14ac:dyDescent="0.25">
      <c r="J1511" t="str">
        <f>IF(H1511="","",IFERROR(VLOOKUP(H1511,Listas!$J$2:$K$1048576,2,FALSE),""))</f>
        <v/>
      </c>
      <c r="K1511" s="5" t="str">
        <f>IF(OR(I1511="",G1511=""),"",IF(G1511="Saída",-I1511,I1511))</f>
        <v/>
      </c>
      <c r="L1511" t="str">
        <f>IF(E1511="","",IFERROR(VLOOKUP(E1511,Listas!$A$2:$C$1048576,3,FALSE),""))</f>
        <v/>
      </c>
    </row>
    <row r="1512" spans="10:12" x14ac:dyDescent="0.25">
      <c r="J1512" t="str">
        <f>IF(H1512="","",IFERROR(VLOOKUP(H1512,Listas!$J$2:$K$1048576,2,FALSE),""))</f>
        <v/>
      </c>
      <c r="K1512" s="5" t="str">
        <f>IF(OR(I1512="",G1512=""),"",IF(G1512="Saída",-I1512,I1512))</f>
        <v/>
      </c>
      <c r="L1512" t="str">
        <f>IF(E1512="","",IFERROR(VLOOKUP(E1512,Listas!$A$2:$C$1048576,3,FALSE),""))</f>
        <v/>
      </c>
    </row>
    <row r="1513" spans="10:12" x14ac:dyDescent="0.25">
      <c r="J1513" t="str">
        <f>IF(H1513="","",IFERROR(VLOOKUP(H1513,Listas!$J$2:$K$1048576,2,FALSE),""))</f>
        <v/>
      </c>
      <c r="K1513" s="5" t="str">
        <f>IF(OR(I1513="",G1513=""),"",IF(G1513="Saída",-I1513,I1513))</f>
        <v/>
      </c>
      <c r="L1513" t="str">
        <f>IF(E1513="","",IFERROR(VLOOKUP(E1513,Listas!$A$2:$C$1048576,3,FALSE),""))</f>
        <v/>
      </c>
    </row>
    <row r="1514" spans="10:12" x14ac:dyDescent="0.25">
      <c r="J1514" t="str">
        <f>IF(H1514="","",IFERROR(VLOOKUP(H1514,Listas!$J$2:$K$1048576,2,FALSE),""))</f>
        <v/>
      </c>
      <c r="K1514" s="5" t="str">
        <f>IF(OR(I1514="",G1514=""),"",IF(G1514="Saída",-I1514,I1514))</f>
        <v/>
      </c>
      <c r="L1514" t="str">
        <f>IF(E1514="","",IFERROR(VLOOKUP(E1514,Listas!$A$2:$C$1048576,3,FALSE),""))</f>
        <v/>
      </c>
    </row>
    <row r="1515" spans="10:12" x14ac:dyDescent="0.25">
      <c r="J1515" t="str">
        <f>IF(H1515="","",IFERROR(VLOOKUP(H1515,Listas!$J$2:$K$1048576,2,FALSE),""))</f>
        <v/>
      </c>
      <c r="K1515" s="5" t="str">
        <f>IF(OR(I1515="",G1515=""),"",IF(G1515="Saída",-I1515,I1515))</f>
        <v/>
      </c>
      <c r="L1515" t="str">
        <f>IF(E1515="","",IFERROR(VLOOKUP(E1515,Listas!$A$2:$C$1048576,3,FALSE),""))</f>
        <v/>
      </c>
    </row>
    <row r="1516" spans="10:12" x14ac:dyDescent="0.25">
      <c r="J1516" t="str">
        <f>IF(H1516="","",IFERROR(VLOOKUP(H1516,Listas!$J$2:$K$1048576,2,FALSE),""))</f>
        <v/>
      </c>
      <c r="K1516" s="5" t="str">
        <f>IF(OR(I1516="",G1516=""),"",IF(G1516="Saída",-I1516,I1516))</f>
        <v/>
      </c>
      <c r="L1516" t="str">
        <f>IF(E1516="","",IFERROR(VLOOKUP(E1516,Listas!$A$2:$C$1048576,3,FALSE),""))</f>
        <v/>
      </c>
    </row>
    <row r="1517" spans="10:12" x14ac:dyDescent="0.25">
      <c r="J1517" t="str">
        <f>IF(H1517="","",IFERROR(VLOOKUP(H1517,Listas!$J$2:$K$1048576,2,FALSE),""))</f>
        <v/>
      </c>
      <c r="K1517" s="5" t="str">
        <f>IF(OR(I1517="",G1517=""),"",IF(G1517="Saída",-I1517,I1517))</f>
        <v/>
      </c>
      <c r="L1517" t="str">
        <f>IF(E1517="","",IFERROR(VLOOKUP(E1517,Listas!$A$2:$C$1048576,3,FALSE),""))</f>
        <v/>
      </c>
    </row>
    <row r="1518" spans="10:12" x14ac:dyDescent="0.25">
      <c r="J1518" t="str">
        <f>IF(H1518="","",IFERROR(VLOOKUP(H1518,Listas!$J$2:$K$1048576,2,FALSE),""))</f>
        <v/>
      </c>
      <c r="K1518" s="5" t="str">
        <f>IF(OR(I1518="",G1518=""),"",IF(G1518="Saída",-I1518,I1518))</f>
        <v/>
      </c>
      <c r="L1518" t="str">
        <f>IF(E1518="","",IFERROR(VLOOKUP(E1518,Listas!$A$2:$C$1048576,3,FALSE),""))</f>
        <v/>
      </c>
    </row>
    <row r="1519" spans="10:12" x14ac:dyDescent="0.25">
      <c r="J1519" t="str">
        <f>IF(H1519="","",IFERROR(VLOOKUP(H1519,Listas!$J$2:$K$1048576,2,FALSE),""))</f>
        <v/>
      </c>
      <c r="K1519" s="5" t="str">
        <f>IF(OR(I1519="",G1519=""),"",IF(G1519="Saída",-I1519,I1519))</f>
        <v/>
      </c>
      <c r="L1519" t="str">
        <f>IF(E1519="","",IFERROR(VLOOKUP(E1519,Listas!$A$2:$C$1048576,3,FALSE),""))</f>
        <v/>
      </c>
    </row>
    <row r="1520" spans="10:12" x14ac:dyDescent="0.25">
      <c r="J1520" t="str">
        <f>IF(H1520="","",IFERROR(VLOOKUP(H1520,Listas!$J$2:$K$1048576,2,FALSE),""))</f>
        <v/>
      </c>
      <c r="K1520" s="5" t="str">
        <f>IF(OR(I1520="",G1520=""),"",IF(G1520="Saída",-I1520,I1520))</f>
        <v/>
      </c>
      <c r="L1520" t="str">
        <f>IF(E1520="","",IFERROR(VLOOKUP(E1520,Listas!$A$2:$C$1048576,3,FALSE),""))</f>
        <v/>
      </c>
    </row>
    <row r="1521" spans="10:12" x14ac:dyDescent="0.25">
      <c r="J1521" t="str">
        <f>IF(H1521="","",IFERROR(VLOOKUP(H1521,Listas!$J$2:$K$1048576,2,FALSE),""))</f>
        <v/>
      </c>
      <c r="K1521" s="5" t="str">
        <f>IF(OR(I1521="",G1521=""),"",IF(G1521="Saída",-I1521,I1521))</f>
        <v/>
      </c>
      <c r="L1521" t="str">
        <f>IF(E1521="","",IFERROR(VLOOKUP(E1521,Listas!$A$2:$C$1048576,3,FALSE),""))</f>
        <v/>
      </c>
    </row>
    <row r="1522" spans="10:12" x14ac:dyDescent="0.25">
      <c r="J1522" t="str">
        <f>IF(H1522="","",IFERROR(VLOOKUP(H1522,Listas!$J$2:$K$1048576,2,FALSE),""))</f>
        <v/>
      </c>
      <c r="K1522" s="5" t="str">
        <f>IF(OR(I1522="",G1522=""),"",IF(G1522="Saída",-I1522,I1522))</f>
        <v/>
      </c>
      <c r="L1522" t="str">
        <f>IF(E1522="","",IFERROR(VLOOKUP(E1522,Listas!$A$2:$C$1048576,3,FALSE),""))</f>
        <v/>
      </c>
    </row>
    <row r="1523" spans="10:12" x14ac:dyDescent="0.25">
      <c r="J1523" t="str">
        <f>IF(H1523="","",IFERROR(VLOOKUP(H1523,Listas!$J$2:$K$1048576,2,FALSE),""))</f>
        <v/>
      </c>
      <c r="K1523" s="5" t="str">
        <f>IF(OR(I1523="",G1523=""),"",IF(G1523="Saída",-I1523,I1523))</f>
        <v/>
      </c>
      <c r="L1523" t="str">
        <f>IF(E1523="","",IFERROR(VLOOKUP(E1523,Listas!$A$2:$C$1048576,3,FALSE),""))</f>
        <v/>
      </c>
    </row>
    <row r="1524" spans="10:12" x14ac:dyDescent="0.25">
      <c r="J1524" t="str">
        <f>IF(H1524="","",IFERROR(VLOOKUP(H1524,Listas!$J$2:$K$1048576,2,FALSE),""))</f>
        <v/>
      </c>
      <c r="K1524" s="5" t="str">
        <f>IF(OR(I1524="",G1524=""),"",IF(G1524="Saída",-I1524,I1524))</f>
        <v/>
      </c>
      <c r="L1524" t="str">
        <f>IF(E1524="","",IFERROR(VLOOKUP(E1524,Listas!$A$2:$C$1048576,3,FALSE),""))</f>
        <v/>
      </c>
    </row>
    <row r="1525" spans="10:12" x14ac:dyDescent="0.25">
      <c r="J1525" t="str">
        <f>IF(H1525="","",IFERROR(VLOOKUP(H1525,Listas!$J$2:$K$1048576,2,FALSE),""))</f>
        <v/>
      </c>
      <c r="K1525" s="5" t="str">
        <f>IF(OR(I1525="",G1525=""),"",IF(G1525="Saída",-I1525,I1525))</f>
        <v/>
      </c>
      <c r="L1525" t="str">
        <f>IF(E1525="","",IFERROR(VLOOKUP(E1525,Listas!$A$2:$C$1048576,3,FALSE),""))</f>
        <v/>
      </c>
    </row>
    <row r="1526" spans="10:12" x14ac:dyDescent="0.25">
      <c r="J1526" t="str">
        <f>IF(H1526="","",IFERROR(VLOOKUP(H1526,Listas!$J$2:$K$1048576,2,FALSE),""))</f>
        <v/>
      </c>
      <c r="K1526" s="5" t="str">
        <f>IF(OR(I1526="",G1526=""),"",IF(G1526="Saída",-I1526,I1526))</f>
        <v/>
      </c>
      <c r="L1526" t="str">
        <f>IF(E1526="","",IFERROR(VLOOKUP(E1526,Listas!$A$2:$C$1048576,3,FALSE),""))</f>
        <v/>
      </c>
    </row>
    <row r="1527" spans="10:12" x14ac:dyDescent="0.25">
      <c r="J1527" t="str">
        <f>IF(H1527="","",IFERROR(VLOOKUP(H1527,Listas!$J$2:$K$1048576,2,FALSE),""))</f>
        <v/>
      </c>
      <c r="K1527" s="5" t="str">
        <f>IF(OR(I1527="",G1527=""),"",IF(G1527="Saída",-I1527,I1527))</f>
        <v/>
      </c>
      <c r="L1527" t="str">
        <f>IF(E1527="","",IFERROR(VLOOKUP(E1527,Listas!$A$2:$C$1048576,3,FALSE),""))</f>
        <v/>
      </c>
    </row>
    <row r="1528" spans="10:12" x14ac:dyDescent="0.25">
      <c r="J1528" t="str">
        <f>IF(H1528="","",IFERROR(VLOOKUP(H1528,Listas!$J$2:$K$1048576,2,FALSE),""))</f>
        <v/>
      </c>
      <c r="K1528" s="5" t="str">
        <f>IF(OR(I1528="",G1528=""),"",IF(G1528="Saída",-I1528,I1528))</f>
        <v/>
      </c>
      <c r="L1528" t="str">
        <f>IF(E1528="","",IFERROR(VLOOKUP(E1528,Listas!$A$2:$C$1048576,3,FALSE),""))</f>
        <v/>
      </c>
    </row>
    <row r="1529" spans="10:12" x14ac:dyDescent="0.25">
      <c r="J1529" t="str">
        <f>IF(H1529="","",IFERROR(VLOOKUP(H1529,Listas!$J$2:$K$1048576,2,FALSE),""))</f>
        <v/>
      </c>
      <c r="K1529" s="5" t="str">
        <f>IF(OR(I1529="",G1529=""),"",IF(G1529="Saída",-I1529,I1529))</f>
        <v/>
      </c>
      <c r="L1529" t="str">
        <f>IF(E1529="","",IFERROR(VLOOKUP(E1529,Listas!$A$2:$C$1048576,3,FALSE),""))</f>
        <v/>
      </c>
    </row>
    <row r="1530" spans="10:12" x14ac:dyDescent="0.25">
      <c r="J1530" t="str">
        <f>IF(H1530="","",IFERROR(VLOOKUP(H1530,Listas!$J$2:$K$1048576,2,FALSE),""))</f>
        <v/>
      </c>
      <c r="K1530" s="5" t="str">
        <f>IF(OR(I1530="",G1530=""),"",IF(G1530="Saída",-I1530,I1530))</f>
        <v/>
      </c>
      <c r="L1530" t="str">
        <f>IF(E1530="","",IFERROR(VLOOKUP(E1530,Listas!$A$2:$C$1048576,3,FALSE),""))</f>
        <v/>
      </c>
    </row>
    <row r="1531" spans="10:12" x14ac:dyDescent="0.25">
      <c r="J1531" t="str">
        <f>IF(H1531="","",IFERROR(VLOOKUP(H1531,Listas!$J$2:$K$1048576,2,FALSE),""))</f>
        <v/>
      </c>
      <c r="K1531" s="5" t="str">
        <f>IF(OR(I1531="",G1531=""),"",IF(G1531="Saída",-I1531,I1531))</f>
        <v/>
      </c>
      <c r="L1531" t="str">
        <f>IF(E1531="","",IFERROR(VLOOKUP(E1531,Listas!$A$2:$C$1048576,3,FALSE),""))</f>
        <v/>
      </c>
    </row>
    <row r="1532" spans="10:12" x14ac:dyDescent="0.25">
      <c r="J1532" t="str">
        <f>IF(H1532="","",IFERROR(VLOOKUP(H1532,Listas!$J$2:$K$1048576,2,FALSE),""))</f>
        <v/>
      </c>
      <c r="K1532" s="5" t="str">
        <f>IF(OR(I1532="",G1532=""),"",IF(G1532="Saída",-I1532,I1532))</f>
        <v/>
      </c>
      <c r="L1532" t="str">
        <f>IF(E1532="","",IFERROR(VLOOKUP(E1532,Listas!$A$2:$C$1048576,3,FALSE),""))</f>
        <v/>
      </c>
    </row>
    <row r="1533" spans="10:12" x14ac:dyDescent="0.25">
      <c r="J1533" t="str">
        <f>IF(H1533="","",IFERROR(VLOOKUP(H1533,Listas!$J$2:$K$1048576,2,FALSE),""))</f>
        <v/>
      </c>
      <c r="K1533" s="5" t="str">
        <f>IF(OR(I1533="",G1533=""),"",IF(G1533="Saída",-I1533,I1533))</f>
        <v/>
      </c>
      <c r="L1533" t="str">
        <f>IF(E1533="","",IFERROR(VLOOKUP(E1533,Listas!$A$2:$C$1048576,3,FALSE),""))</f>
        <v/>
      </c>
    </row>
    <row r="1534" spans="10:12" x14ac:dyDescent="0.25">
      <c r="J1534" t="str">
        <f>IF(H1534="","",IFERROR(VLOOKUP(H1534,Listas!$J$2:$K$1048576,2,FALSE),""))</f>
        <v/>
      </c>
      <c r="K1534" s="5" t="str">
        <f>IF(OR(I1534="",G1534=""),"",IF(G1534="Saída",-I1534,I1534))</f>
        <v/>
      </c>
      <c r="L1534" t="str">
        <f>IF(E1534="","",IFERROR(VLOOKUP(E1534,Listas!$A$2:$C$1048576,3,FALSE),""))</f>
        <v/>
      </c>
    </row>
    <row r="1535" spans="10:12" x14ac:dyDescent="0.25">
      <c r="J1535" t="str">
        <f>IF(H1535="","",IFERROR(VLOOKUP(H1535,Listas!$J$2:$K$1048576,2,FALSE),""))</f>
        <v/>
      </c>
      <c r="K1535" s="5" t="str">
        <f>IF(OR(I1535="",G1535=""),"",IF(G1535="Saída",-I1535,I1535))</f>
        <v/>
      </c>
      <c r="L1535" t="str">
        <f>IF(E1535="","",IFERROR(VLOOKUP(E1535,Listas!$A$2:$C$1048576,3,FALSE),""))</f>
        <v/>
      </c>
    </row>
    <row r="1536" spans="10:12" x14ac:dyDescent="0.25">
      <c r="J1536" t="str">
        <f>IF(H1536="","",IFERROR(VLOOKUP(H1536,Listas!$J$2:$K$1048576,2,FALSE),""))</f>
        <v/>
      </c>
      <c r="K1536" s="5" t="str">
        <f>IF(OR(I1536="",G1536=""),"",IF(G1536="Saída",-I1536,I1536))</f>
        <v/>
      </c>
      <c r="L1536" t="str">
        <f>IF(E1536="","",IFERROR(VLOOKUP(E1536,Listas!$A$2:$C$1048576,3,FALSE),""))</f>
        <v/>
      </c>
    </row>
    <row r="1537" spans="10:12" x14ac:dyDescent="0.25">
      <c r="J1537" t="str">
        <f>IF(H1537="","",IFERROR(VLOOKUP(H1537,Listas!$J$2:$K$1048576,2,FALSE),""))</f>
        <v/>
      </c>
      <c r="K1537" s="5" t="str">
        <f>IF(OR(I1537="",G1537=""),"",IF(G1537="Saída",-I1537,I1537))</f>
        <v/>
      </c>
      <c r="L1537" t="str">
        <f>IF(E1537="","",IFERROR(VLOOKUP(E1537,Listas!$A$2:$C$1048576,3,FALSE),""))</f>
        <v/>
      </c>
    </row>
    <row r="1538" spans="10:12" x14ac:dyDescent="0.25">
      <c r="J1538" t="str">
        <f>IF(H1538="","",IFERROR(VLOOKUP(H1538,Listas!$J$2:$K$1048576,2,FALSE),""))</f>
        <v/>
      </c>
      <c r="K1538" s="5" t="str">
        <f>IF(OR(I1538="",G1538=""),"",IF(G1538="Saída",-I1538,I1538))</f>
        <v/>
      </c>
      <c r="L1538" t="str">
        <f>IF(E1538="","",IFERROR(VLOOKUP(E1538,Listas!$A$2:$C$1048576,3,FALSE),""))</f>
        <v/>
      </c>
    </row>
    <row r="1539" spans="10:12" x14ac:dyDescent="0.25">
      <c r="J1539" t="str">
        <f>IF(H1539="","",IFERROR(VLOOKUP(H1539,Listas!$J$2:$K$1048576,2,FALSE),""))</f>
        <v/>
      </c>
      <c r="K1539" s="5" t="str">
        <f>IF(OR(I1539="",G1539=""),"",IF(G1539="Saída",-I1539,I1539))</f>
        <v/>
      </c>
      <c r="L1539" t="str">
        <f>IF(E1539="","",IFERROR(VLOOKUP(E1539,Listas!$A$2:$C$1048576,3,FALSE),""))</f>
        <v/>
      </c>
    </row>
    <row r="1540" spans="10:12" x14ac:dyDescent="0.25">
      <c r="J1540" t="str">
        <f>IF(H1540="","",IFERROR(VLOOKUP(H1540,Listas!$J$2:$K$1048576,2,FALSE),""))</f>
        <v/>
      </c>
      <c r="K1540" s="5" t="str">
        <f>IF(OR(I1540="",G1540=""),"",IF(G1540="Saída",-I1540,I1540))</f>
        <v/>
      </c>
      <c r="L1540" t="str">
        <f>IF(E1540="","",IFERROR(VLOOKUP(E1540,Listas!$A$2:$C$1048576,3,FALSE),""))</f>
        <v/>
      </c>
    </row>
    <row r="1541" spans="10:12" x14ac:dyDescent="0.25">
      <c r="J1541" t="str">
        <f>IF(H1541="","",IFERROR(VLOOKUP(H1541,Listas!$J$2:$K$1048576,2,FALSE),""))</f>
        <v/>
      </c>
      <c r="K1541" s="5" t="str">
        <f>IF(OR(I1541="",G1541=""),"",IF(G1541="Saída",-I1541,I1541))</f>
        <v/>
      </c>
      <c r="L1541" t="str">
        <f>IF(E1541="","",IFERROR(VLOOKUP(E1541,Listas!$A$2:$C$1048576,3,FALSE),""))</f>
        <v/>
      </c>
    </row>
    <row r="1542" spans="10:12" x14ac:dyDescent="0.25">
      <c r="J1542" t="str">
        <f>IF(H1542="","",IFERROR(VLOOKUP(H1542,Listas!$J$2:$K$1048576,2,FALSE),""))</f>
        <v/>
      </c>
      <c r="K1542" s="5" t="str">
        <f>IF(OR(I1542="",G1542=""),"",IF(G1542="Saída",-I1542,I1542))</f>
        <v/>
      </c>
      <c r="L1542" t="str">
        <f>IF(E1542="","",IFERROR(VLOOKUP(E1542,Listas!$A$2:$C$1048576,3,FALSE),""))</f>
        <v/>
      </c>
    </row>
    <row r="1543" spans="10:12" x14ac:dyDescent="0.25">
      <c r="J1543" t="str">
        <f>IF(H1543="","",IFERROR(VLOOKUP(H1543,Listas!$J$2:$K$1048576,2,FALSE),""))</f>
        <v/>
      </c>
      <c r="K1543" s="5" t="str">
        <f>IF(OR(I1543="",G1543=""),"",IF(G1543="Saída",-I1543,I1543))</f>
        <v/>
      </c>
      <c r="L1543" t="str">
        <f>IF(E1543="","",IFERROR(VLOOKUP(E1543,Listas!$A$2:$C$1048576,3,FALSE),""))</f>
        <v/>
      </c>
    </row>
    <row r="1544" spans="10:12" x14ac:dyDescent="0.25">
      <c r="J1544" t="str">
        <f>IF(H1544="","",IFERROR(VLOOKUP(H1544,Listas!$J$2:$K$1048576,2,FALSE),""))</f>
        <v/>
      </c>
      <c r="K1544" s="5" t="str">
        <f>IF(OR(I1544="",G1544=""),"",IF(G1544="Saída",-I1544,I1544))</f>
        <v/>
      </c>
      <c r="L1544" t="str">
        <f>IF(E1544="","",IFERROR(VLOOKUP(E1544,Listas!$A$2:$C$1048576,3,FALSE),""))</f>
        <v/>
      </c>
    </row>
    <row r="1545" spans="10:12" x14ac:dyDescent="0.25">
      <c r="J1545" t="str">
        <f>IF(H1545="","",IFERROR(VLOOKUP(H1545,Listas!$J$2:$K$1048576,2,FALSE),""))</f>
        <v/>
      </c>
      <c r="K1545" s="5" t="str">
        <f>IF(OR(I1545="",G1545=""),"",IF(G1545="Saída",-I1545,I1545))</f>
        <v/>
      </c>
      <c r="L1545" t="str">
        <f>IF(E1545="","",IFERROR(VLOOKUP(E1545,Listas!$A$2:$C$1048576,3,FALSE),""))</f>
        <v/>
      </c>
    </row>
    <row r="1546" spans="10:12" x14ac:dyDescent="0.25">
      <c r="J1546" t="str">
        <f>IF(H1546="","",IFERROR(VLOOKUP(H1546,Listas!$J$2:$K$1048576,2,FALSE),""))</f>
        <v/>
      </c>
      <c r="K1546" s="5" t="str">
        <f>IF(OR(I1546="",G1546=""),"",IF(G1546="Saída",-I1546,I1546))</f>
        <v/>
      </c>
      <c r="L1546" t="str">
        <f>IF(E1546="","",IFERROR(VLOOKUP(E1546,Listas!$A$2:$C$1048576,3,FALSE),""))</f>
        <v/>
      </c>
    </row>
    <row r="1547" spans="10:12" x14ac:dyDescent="0.25">
      <c r="J1547" t="str">
        <f>IF(H1547="","",IFERROR(VLOOKUP(H1547,Listas!$J$2:$K$1048576,2,FALSE),""))</f>
        <v/>
      </c>
      <c r="K1547" s="5" t="str">
        <f>IF(OR(I1547="",G1547=""),"",IF(G1547="Saída",-I1547,I1547))</f>
        <v/>
      </c>
      <c r="L1547" t="str">
        <f>IF(E1547="","",IFERROR(VLOOKUP(E1547,Listas!$A$2:$C$1048576,3,FALSE),""))</f>
        <v/>
      </c>
    </row>
    <row r="1548" spans="10:12" x14ac:dyDescent="0.25">
      <c r="J1548" t="str">
        <f>IF(H1548="","",IFERROR(VLOOKUP(H1548,Listas!$J$2:$K$1048576,2,FALSE),""))</f>
        <v/>
      </c>
      <c r="K1548" s="5" t="str">
        <f>IF(OR(I1548="",G1548=""),"",IF(G1548="Saída",-I1548,I1548))</f>
        <v/>
      </c>
      <c r="L1548" t="str">
        <f>IF(E1548="","",IFERROR(VLOOKUP(E1548,Listas!$A$2:$C$1048576,3,FALSE),""))</f>
        <v/>
      </c>
    </row>
    <row r="1549" spans="10:12" x14ac:dyDescent="0.25">
      <c r="J1549" t="str">
        <f>IF(H1549="","",IFERROR(VLOOKUP(H1549,Listas!$J$2:$K$1048576,2,FALSE),""))</f>
        <v/>
      </c>
      <c r="K1549" s="5" t="str">
        <f>IF(OR(I1549="",G1549=""),"",IF(G1549="Saída",-I1549,I1549))</f>
        <v/>
      </c>
      <c r="L1549" t="str">
        <f>IF(E1549="","",IFERROR(VLOOKUP(E1549,Listas!$A$2:$C$1048576,3,FALSE),""))</f>
        <v/>
      </c>
    </row>
    <row r="1550" spans="10:12" x14ac:dyDescent="0.25">
      <c r="J1550" t="str">
        <f>IF(H1550="","",IFERROR(VLOOKUP(H1550,Listas!$J$2:$K$1048576,2,FALSE),""))</f>
        <v/>
      </c>
      <c r="K1550" s="5" t="str">
        <f>IF(OR(I1550="",G1550=""),"",IF(G1550="Saída",-I1550,I1550))</f>
        <v/>
      </c>
      <c r="L1550" t="str">
        <f>IF(E1550="","",IFERROR(VLOOKUP(E1550,Listas!$A$2:$C$1048576,3,FALSE),""))</f>
        <v/>
      </c>
    </row>
    <row r="1551" spans="10:12" x14ac:dyDescent="0.25">
      <c r="J1551" t="str">
        <f>IF(H1551="","",IFERROR(VLOOKUP(H1551,Listas!$J$2:$K$1048576,2,FALSE),""))</f>
        <v/>
      </c>
      <c r="K1551" s="5" t="str">
        <f>IF(OR(I1551="",G1551=""),"",IF(G1551="Saída",-I1551,I1551))</f>
        <v/>
      </c>
      <c r="L1551" t="str">
        <f>IF(E1551="","",IFERROR(VLOOKUP(E1551,Listas!$A$2:$C$1048576,3,FALSE),""))</f>
        <v/>
      </c>
    </row>
    <row r="1552" spans="10:12" x14ac:dyDescent="0.25">
      <c r="J1552" t="str">
        <f>IF(H1552="","",IFERROR(VLOOKUP(H1552,Listas!$J$2:$K$1048576,2,FALSE),""))</f>
        <v/>
      </c>
      <c r="K1552" s="5" t="str">
        <f>IF(OR(I1552="",G1552=""),"",IF(G1552="Saída",-I1552,I1552))</f>
        <v/>
      </c>
      <c r="L1552" t="str">
        <f>IF(E1552="","",IFERROR(VLOOKUP(E1552,Listas!$A$2:$C$1048576,3,FALSE),""))</f>
        <v/>
      </c>
    </row>
    <row r="1553" spans="10:12" x14ac:dyDescent="0.25">
      <c r="J1553" t="str">
        <f>IF(H1553="","",IFERROR(VLOOKUP(H1553,Listas!$J$2:$K$1048576,2,FALSE),""))</f>
        <v/>
      </c>
      <c r="K1553" s="5" t="str">
        <f>IF(OR(I1553="",G1553=""),"",IF(G1553="Saída",-I1553,I1553))</f>
        <v/>
      </c>
      <c r="L1553" t="str">
        <f>IF(E1553="","",IFERROR(VLOOKUP(E1553,Listas!$A$2:$C$1048576,3,FALSE),""))</f>
        <v/>
      </c>
    </row>
    <row r="1554" spans="10:12" x14ac:dyDescent="0.25">
      <c r="J1554" t="str">
        <f>IF(H1554="","",IFERROR(VLOOKUP(H1554,Listas!$J$2:$K$1048576,2,FALSE),""))</f>
        <v/>
      </c>
      <c r="K1554" s="5" t="str">
        <f>IF(OR(I1554="",G1554=""),"",IF(G1554="Saída",-I1554,I1554))</f>
        <v/>
      </c>
      <c r="L1554" t="str">
        <f>IF(E1554="","",IFERROR(VLOOKUP(E1554,Listas!$A$2:$C$1048576,3,FALSE),""))</f>
        <v/>
      </c>
    </row>
    <row r="1555" spans="10:12" x14ac:dyDescent="0.25">
      <c r="J1555" t="str">
        <f>IF(H1555="","",IFERROR(VLOOKUP(H1555,Listas!$J$2:$K$1048576,2,FALSE),""))</f>
        <v/>
      </c>
      <c r="K1555" s="5" t="str">
        <f>IF(OR(I1555="",G1555=""),"",IF(G1555="Saída",-I1555,I1555))</f>
        <v/>
      </c>
      <c r="L1555" t="str">
        <f>IF(E1555="","",IFERROR(VLOOKUP(E1555,Listas!$A$2:$C$1048576,3,FALSE),""))</f>
        <v/>
      </c>
    </row>
    <row r="1556" spans="10:12" x14ac:dyDescent="0.25">
      <c r="J1556" t="str">
        <f>IF(H1556="","",IFERROR(VLOOKUP(H1556,Listas!$J$2:$K$1048576,2,FALSE),""))</f>
        <v/>
      </c>
      <c r="K1556" s="5" t="str">
        <f>IF(OR(I1556="",G1556=""),"",IF(G1556="Saída",-I1556,I1556))</f>
        <v/>
      </c>
      <c r="L1556" t="str">
        <f>IF(E1556="","",IFERROR(VLOOKUP(E1556,Listas!$A$2:$C$1048576,3,FALSE),""))</f>
        <v/>
      </c>
    </row>
    <row r="1557" spans="10:12" x14ac:dyDescent="0.25">
      <c r="J1557" t="str">
        <f>IF(H1557="","",IFERROR(VLOOKUP(H1557,Listas!$J$2:$K$1048576,2,FALSE),""))</f>
        <v/>
      </c>
      <c r="K1557" s="5" t="str">
        <f>IF(OR(I1557="",G1557=""),"",IF(G1557="Saída",-I1557,I1557))</f>
        <v/>
      </c>
      <c r="L1557" t="str">
        <f>IF(E1557="","",IFERROR(VLOOKUP(E1557,Listas!$A$2:$C$1048576,3,FALSE),""))</f>
        <v/>
      </c>
    </row>
    <row r="1558" spans="10:12" x14ac:dyDescent="0.25">
      <c r="J1558" t="str">
        <f>IF(H1558="","",IFERROR(VLOOKUP(H1558,Listas!$J$2:$K$1048576,2,FALSE),""))</f>
        <v/>
      </c>
      <c r="K1558" s="5" t="str">
        <f>IF(OR(I1558="",G1558=""),"",IF(G1558="Saída",-I1558,I1558))</f>
        <v/>
      </c>
      <c r="L1558" t="str">
        <f>IF(E1558="","",IFERROR(VLOOKUP(E1558,Listas!$A$2:$C$1048576,3,FALSE),""))</f>
        <v/>
      </c>
    </row>
    <row r="1559" spans="10:12" x14ac:dyDescent="0.25">
      <c r="J1559" t="str">
        <f>IF(H1559="","",IFERROR(VLOOKUP(H1559,Listas!$J$2:$K$1048576,2,FALSE),""))</f>
        <v/>
      </c>
      <c r="K1559" s="5" t="str">
        <f>IF(OR(I1559="",G1559=""),"",IF(G1559="Saída",-I1559,I1559))</f>
        <v/>
      </c>
      <c r="L1559" t="str">
        <f>IF(E1559="","",IFERROR(VLOOKUP(E1559,Listas!$A$2:$C$1048576,3,FALSE),""))</f>
        <v/>
      </c>
    </row>
    <row r="1560" spans="10:12" x14ac:dyDescent="0.25">
      <c r="J1560" t="str">
        <f>IF(H1560="","",IFERROR(VLOOKUP(H1560,Listas!$J$2:$K$1048576,2,FALSE),""))</f>
        <v/>
      </c>
      <c r="K1560" s="5" t="str">
        <f>IF(OR(I1560="",G1560=""),"",IF(G1560="Saída",-I1560,I1560))</f>
        <v/>
      </c>
      <c r="L1560" t="str">
        <f>IF(E1560="","",IFERROR(VLOOKUP(E1560,Listas!$A$2:$C$1048576,3,FALSE),""))</f>
        <v/>
      </c>
    </row>
    <row r="1561" spans="10:12" x14ac:dyDescent="0.25">
      <c r="J1561" t="str">
        <f>IF(H1561="","",IFERROR(VLOOKUP(H1561,Listas!$J$2:$K$1048576,2,FALSE),""))</f>
        <v/>
      </c>
      <c r="K1561" s="5" t="str">
        <f>IF(OR(I1561="",G1561=""),"",IF(G1561="Saída",-I1561,I1561))</f>
        <v/>
      </c>
      <c r="L1561" t="str">
        <f>IF(E1561="","",IFERROR(VLOOKUP(E1561,Listas!$A$2:$C$1048576,3,FALSE),""))</f>
        <v/>
      </c>
    </row>
    <row r="1562" spans="10:12" x14ac:dyDescent="0.25">
      <c r="J1562" t="str">
        <f>IF(H1562="","",IFERROR(VLOOKUP(H1562,Listas!$J$2:$K$1048576,2,FALSE),""))</f>
        <v/>
      </c>
      <c r="K1562" s="5" t="str">
        <f>IF(OR(I1562="",G1562=""),"",IF(G1562="Saída",-I1562,I1562))</f>
        <v/>
      </c>
      <c r="L1562" t="str">
        <f>IF(E1562="","",IFERROR(VLOOKUP(E1562,Listas!$A$2:$C$1048576,3,FALSE),""))</f>
        <v/>
      </c>
    </row>
    <row r="1563" spans="10:12" x14ac:dyDescent="0.25">
      <c r="J1563" t="str">
        <f>IF(H1563="","",IFERROR(VLOOKUP(H1563,Listas!$J$2:$K$1048576,2,FALSE),""))</f>
        <v/>
      </c>
      <c r="K1563" s="5" t="str">
        <f>IF(OR(I1563="",G1563=""),"",IF(G1563="Saída",-I1563,I1563))</f>
        <v/>
      </c>
      <c r="L1563" t="str">
        <f>IF(E1563="","",IFERROR(VLOOKUP(E1563,Listas!$A$2:$C$1048576,3,FALSE),""))</f>
        <v/>
      </c>
    </row>
    <row r="1564" spans="10:12" x14ac:dyDescent="0.25">
      <c r="J1564" t="str">
        <f>IF(H1564="","",IFERROR(VLOOKUP(H1564,Listas!$J$2:$K$1048576,2,FALSE),""))</f>
        <v/>
      </c>
      <c r="K1564" s="5" t="str">
        <f>IF(OR(I1564="",G1564=""),"",IF(G1564="Saída",-I1564,I1564))</f>
        <v/>
      </c>
      <c r="L1564" t="str">
        <f>IF(E1564="","",IFERROR(VLOOKUP(E1564,Listas!$A$2:$C$1048576,3,FALSE),""))</f>
        <v/>
      </c>
    </row>
    <row r="1565" spans="10:12" x14ac:dyDescent="0.25">
      <c r="J1565" t="str">
        <f>IF(H1565="","",IFERROR(VLOOKUP(H1565,Listas!$J$2:$K$1048576,2,FALSE),""))</f>
        <v/>
      </c>
      <c r="K1565" s="5" t="str">
        <f>IF(OR(I1565="",G1565=""),"",IF(G1565="Saída",-I1565,I1565))</f>
        <v/>
      </c>
      <c r="L1565" t="str">
        <f>IF(E1565="","",IFERROR(VLOOKUP(E1565,Listas!$A$2:$C$1048576,3,FALSE),""))</f>
        <v/>
      </c>
    </row>
    <row r="1566" spans="10:12" x14ac:dyDescent="0.25">
      <c r="J1566" t="str">
        <f>IF(H1566="","",IFERROR(VLOOKUP(H1566,Listas!$J$2:$K$1048576,2,FALSE),""))</f>
        <v/>
      </c>
      <c r="K1566" s="5" t="str">
        <f>IF(OR(I1566="",G1566=""),"",IF(G1566="Saída",-I1566,I1566))</f>
        <v/>
      </c>
      <c r="L1566" t="str">
        <f>IF(E1566="","",IFERROR(VLOOKUP(E1566,Listas!$A$2:$C$1048576,3,FALSE),""))</f>
        <v/>
      </c>
    </row>
    <row r="1567" spans="10:12" x14ac:dyDescent="0.25">
      <c r="J1567" t="str">
        <f>IF(H1567="","",IFERROR(VLOOKUP(H1567,Listas!$J$2:$K$1048576,2,FALSE),""))</f>
        <v/>
      </c>
      <c r="K1567" s="5" t="str">
        <f>IF(OR(I1567="",G1567=""),"",IF(G1567="Saída",-I1567,I1567))</f>
        <v/>
      </c>
      <c r="L1567" t="str">
        <f>IF(E1567="","",IFERROR(VLOOKUP(E1567,Listas!$A$2:$C$1048576,3,FALSE),""))</f>
        <v/>
      </c>
    </row>
    <row r="1568" spans="10:12" x14ac:dyDescent="0.25">
      <c r="J1568" t="str">
        <f>IF(H1568="","",IFERROR(VLOOKUP(H1568,Listas!$J$2:$K$1048576,2,FALSE),""))</f>
        <v/>
      </c>
      <c r="K1568" s="5" t="str">
        <f>IF(OR(I1568="",G1568=""),"",IF(G1568="Saída",-I1568,I1568))</f>
        <v/>
      </c>
      <c r="L1568" t="str">
        <f>IF(E1568="","",IFERROR(VLOOKUP(E1568,Listas!$A$2:$C$1048576,3,FALSE),""))</f>
        <v/>
      </c>
    </row>
    <row r="1569" spans="10:12" x14ac:dyDescent="0.25">
      <c r="J1569" t="str">
        <f>IF(H1569="","",IFERROR(VLOOKUP(H1569,Listas!$J$2:$K$1048576,2,FALSE),""))</f>
        <v/>
      </c>
      <c r="K1569" s="5" t="str">
        <f>IF(OR(I1569="",G1569=""),"",IF(G1569="Saída",-I1569,I1569))</f>
        <v/>
      </c>
      <c r="L1569" t="str">
        <f>IF(E1569="","",IFERROR(VLOOKUP(E1569,Listas!$A$2:$C$1048576,3,FALSE),""))</f>
        <v/>
      </c>
    </row>
    <row r="1570" spans="10:12" x14ac:dyDescent="0.25">
      <c r="J1570" t="str">
        <f>IF(H1570="","",IFERROR(VLOOKUP(H1570,Listas!$J$2:$K$1048576,2,FALSE),""))</f>
        <v/>
      </c>
      <c r="K1570" s="5" t="str">
        <f>IF(OR(I1570="",G1570=""),"",IF(G1570="Saída",-I1570,I1570))</f>
        <v/>
      </c>
      <c r="L1570" t="str">
        <f>IF(E1570="","",IFERROR(VLOOKUP(E1570,Listas!$A$2:$C$1048576,3,FALSE),""))</f>
        <v/>
      </c>
    </row>
    <row r="1571" spans="10:12" x14ac:dyDescent="0.25">
      <c r="J1571" t="str">
        <f>IF(H1571="","",IFERROR(VLOOKUP(H1571,Listas!$J$2:$K$1048576,2,FALSE),""))</f>
        <v/>
      </c>
      <c r="K1571" s="5" t="str">
        <f>IF(OR(I1571="",G1571=""),"",IF(G1571="Saída",-I1571,I1571))</f>
        <v/>
      </c>
      <c r="L1571" t="str">
        <f>IF(E1571="","",IFERROR(VLOOKUP(E1571,Listas!$A$2:$C$1048576,3,FALSE),""))</f>
        <v/>
      </c>
    </row>
    <row r="1572" spans="10:12" x14ac:dyDescent="0.25">
      <c r="J1572" t="str">
        <f>IF(H1572="","",IFERROR(VLOOKUP(H1572,Listas!$J$2:$K$1048576,2,FALSE),""))</f>
        <v/>
      </c>
      <c r="K1572" s="5" t="str">
        <f>IF(OR(I1572="",G1572=""),"",IF(G1572="Saída",-I1572,I1572))</f>
        <v/>
      </c>
      <c r="L1572" t="str">
        <f>IF(E1572="","",IFERROR(VLOOKUP(E1572,Listas!$A$2:$C$1048576,3,FALSE),""))</f>
        <v/>
      </c>
    </row>
    <row r="1573" spans="10:12" x14ac:dyDescent="0.25">
      <c r="J1573" t="str">
        <f>IF(H1573="","",IFERROR(VLOOKUP(H1573,Listas!$J$2:$K$1048576,2,FALSE),""))</f>
        <v/>
      </c>
      <c r="K1573" s="5" t="str">
        <f>IF(OR(I1573="",G1573=""),"",IF(G1573="Saída",-I1573,I1573))</f>
        <v/>
      </c>
      <c r="L1573" t="str">
        <f>IF(E1573="","",IFERROR(VLOOKUP(E1573,Listas!$A$2:$C$1048576,3,FALSE),""))</f>
        <v/>
      </c>
    </row>
    <row r="1574" spans="10:12" x14ac:dyDescent="0.25">
      <c r="J1574" t="str">
        <f>IF(H1574="","",IFERROR(VLOOKUP(H1574,Listas!$J$2:$K$1048576,2,FALSE),""))</f>
        <v/>
      </c>
      <c r="K1574" s="5" t="str">
        <f>IF(OR(I1574="",G1574=""),"",IF(G1574="Saída",-I1574,I1574))</f>
        <v/>
      </c>
      <c r="L1574" t="str">
        <f>IF(E1574="","",IFERROR(VLOOKUP(E1574,Listas!$A$2:$C$1048576,3,FALSE),""))</f>
        <v/>
      </c>
    </row>
    <row r="1575" spans="10:12" x14ac:dyDescent="0.25">
      <c r="J1575" t="str">
        <f>IF(H1575="","",IFERROR(VLOOKUP(H1575,Listas!$J$2:$K$1048576,2,FALSE),""))</f>
        <v/>
      </c>
      <c r="K1575" s="5" t="str">
        <f>IF(OR(I1575="",G1575=""),"",IF(G1575="Saída",-I1575,I1575))</f>
        <v/>
      </c>
      <c r="L1575" t="str">
        <f>IF(E1575="","",IFERROR(VLOOKUP(E1575,Listas!$A$2:$C$1048576,3,FALSE),""))</f>
        <v/>
      </c>
    </row>
    <row r="1576" spans="10:12" x14ac:dyDescent="0.25">
      <c r="J1576" t="str">
        <f>IF(H1576="","",IFERROR(VLOOKUP(H1576,Listas!$J$2:$K$1048576,2,FALSE),""))</f>
        <v/>
      </c>
      <c r="K1576" s="5" t="str">
        <f>IF(OR(I1576="",G1576=""),"",IF(G1576="Saída",-I1576,I1576))</f>
        <v/>
      </c>
      <c r="L1576" t="str">
        <f>IF(E1576="","",IFERROR(VLOOKUP(E1576,Listas!$A$2:$C$1048576,3,FALSE),""))</f>
        <v/>
      </c>
    </row>
    <row r="1577" spans="10:12" x14ac:dyDescent="0.25">
      <c r="J1577" t="str">
        <f>IF(H1577="","",IFERROR(VLOOKUP(H1577,Listas!$J$2:$K$1048576,2,FALSE),""))</f>
        <v/>
      </c>
      <c r="K1577" s="5" t="str">
        <f>IF(OR(I1577="",G1577=""),"",IF(G1577="Saída",-I1577,I1577))</f>
        <v/>
      </c>
      <c r="L1577" t="str">
        <f>IF(E1577="","",IFERROR(VLOOKUP(E1577,Listas!$A$2:$C$1048576,3,FALSE),""))</f>
        <v/>
      </c>
    </row>
    <row r="1578" spans="10:12" x14ac:dyDescent="0.25">
      <c r="J1578" t="str">
        <f>IF(H1578="","",IFERROR(VLOOKUP(H1578,Listas!$J$2:$K$1048576,2,FALSE),""))</f>
        <v/>
      </c>
      <c r="K1578" s="5" t="str">
        <f>IF(OR(I1578="",G1578=""),"",IF(G1578="Saída",-I1578,I1578))</f>
        <v/>
      </c>
      <c r="L1578" t="str">
        <f>IF(E1578="","",IFERROR(VLOOKUP(E1578,Listas!$A$2:$C$1048576,3,FALSE),""))</f>
        <v/>
      </c>
    </row>
    <row r="1579" spans="10:12" x14ac:dyDescent="0.25">
      <c r="J1579" t="str">
        <f>IF(H1579="","",IFERROR(VLOOKUP(H1579,Listas!$J$2:$K$1048576,2,FALSE),""))</f>
        <v/>
      </c>
      <c r="K1579" s="5" t="str">
        <f>IF(OR(I1579="",G1579=""),"",IF(G1579="Saída",-I1579,I1579))</f>
        <v/>
      </c>
      <c r="L1579" t="str">
        <f>IF(E1579="","",IFERROR(VLOOKUP(E1579,Listas!$A$2:$C$1048576,3,FALSE),""))</f>
        <v/>
      </c>
    </row>
    <row r="1580" spans="10:12" x14ac:dyDescent="0.25">
      <c r="J1580" t="str">
        <f>IF(H1580="","",IFERROR(VLOOKUP(H1580,Listas!$J$2:$K$1048576,2,FALSE),""))</f>
        <v/>
      </c>
      <c r="K1580" s="5" t="str">
        <f>IF(OR(I1580="",G1580=""),"",IF(G1580="Saída",-I1580,I1580))</f>
        <v/>
      </c>
      <c r="L1580" t="str">
        <f>IF(E1580="","",IFERROR(VLOOKUP(E1580,Listas!$A$2:$C$1048576,3,FALSE),""))</f>
        <v/>
      </c>
    </row>
    <row r="1581" spans="10:12" x14ac:dyDescent="0.25">
      <c r="J1581" t="str">
        <f>IF(H1581="","",IFERROR(VLOOKUP(H1581,Listas!$J$2:$K$1048576,2,FALSE),""))</f>
        <v/>
      </c>
      <c r="K1581" s="5" t="str">
        <f>IF(OR(I1581="",G1581=""),"",IF(G1581="Saída",-I1581,I1581))</f>
        <v/>
      </c>
      <c r="L1581" t="str">
        <f>IF(E1581="","",IFERROR(VLOOKUP(E1581,Listas!$A$2:$C$1048576,3,FALSE),""))</f>
        <v/>
      </c>
    </row>
    <row r="1582" spans="10:12" x14ac:dyDescent="0.25">
      <c r="J1582" t="str">
        <f>IF(H1582="","",IFERROR(VLOOKUP(H1582,Listas!$J$2:$K$1048576,2,FALSE),""))</f>
        <v/>
      </c>
      <c r="K1582" s="5" t="str">
        <f>IF(OR(I1582="",G1582=""),"",IF(G1582="Saída",-I1582,I1582))</f>
        <v/>
      </c>
      <c r="L1582" t="str">
        <f>IF(E1582="","",IFERROR(VLOOKUP(E1582,Listas!$A$2:$C$1048576,3,FALSE),""))</f>
        <v/>
      </c>
    </row>
    <row r="1583" spans="10:12" x14ac:dyDescent="0.25">
      <c r="J1583" t="str">
        <f>IF(H1583="","",IFERROR(VLOOKUP(H1583,Listas!$J$2:$K$1048576,2,FALSE),""))</f>
        <v/>
      </c>
      <c r="K1583" s="5" t="str">
        <f>IF(OR(I1583="",G1583=""),"",IF(G1583="Saída",-I1583,I1583))</f>
        <v/>
      </c>
      <c r="L1583" t="str">
        <f>IF(E1583="","",IFERROR(VLOOKUP(E1583,Listas!$A$2:$C$1048576,3,FALSE),""))</f>
        <v/>
      </c>
    </row>
    <row r="1584" spans="10:12" x14ac:dyDescent="0.25">
      <c r="J1584" t="str">
        <f>IF(H1584="","",IFERROR(VLOOKUP(H1584,Listas!$J$2:$K$1048576,2,FALSE),""))</f>
        <v/>
      </c>
      <c r="K1584" s="5" t="str">
        <f>IF(OR(I1584="",G1584=""),"",IF(G1584="Saída",-I1584,I1584))</f>
        <v/>
      </c>
      <c r="L1584" t="str">
        <f>IF(E1584="","",IFERROR(VLOOKUP(E1584,Listas!$A$2:$C$1048576,3,FALSE),""))</f>
        <v/>
      </c>
    </row>
    <row r="1585" spans="10:12" x14ac:dyDescent="0.25">
      <c r="J1585" t="str">
        <f>IF(H1585="","",IFERROR(VLOOKUP(H1585,Listas!$J$2:$K$1048576,2,FALSE),""))</f>
        <v/>
      </c>
      <c r="K1585" s="5" t="str">
        <f>IF(OR(I1585="",G1585=""),"",IF(G1585="Saída",-I1585,I1585))</f>
        <v/>
      </c>
      <c r="L1585" t="str">
        <f>IF(E1585="","",IFERROR(VLOOKUP(E1585,Listas!$A$2:$C$1048576,3,FALSE),""))</f>
        <v/>
      </c>
    </row>
    <row r="1586" spans="10:12" x14ac:dyDescent="0.25">
      <c r="J1586" t="str">
        <f>IF(H1586="","",IFERROR(VLOOKUP(H1586,Listas!$J$2:$K$1048576,2,FALSE),""))</f>
        <v/>
      </c>
      <c r="K1586" s="5" t="str">
        <f>IF(OR(I1586="",G1586=""),"",IF(G1586="Saída",-I1586,I1586))</f>
        <v/>
      </c>
      <c r="L1586" t="str">
        <f>IF(E1586="","",IFERROR(VLOOKUP(E1586,Listas!$A$2:$C$1048576,3,FALSE),""))</f>
        <v/>
      </c>
    </row>
    <row r="1587" spans="10:12" x14ac:dyDescent="0.25">
      <c r="J1587" t="str">
        <f>IF(H1587="","",IFERROR(VLOOKUP(H1587,Listas!$J$2:$K$1048576,2,FALSE),""))</f>
        <v/>
      </c>
      <c r="K1587" s="5" t="str">
        <f>IF(OR(I1587="",G1587=""),"",IF(G1587="Saída",-I1587,I1587))</f>
        <v/>
      </c>
      <c r="L1587" t="str">
        <f>IF(E1587="","",IFERROR(VLOOKUP(E1587,Listas!$A$2:$C$1048576,3,FALSE),""))</f>
        <v/>
      </c>
    </row>
    <row r="1588" spans="10:12" x14ac:dyDescent="0.25">
      <c r="J1588" t="str">
        <f>IF(H1588="","",IFERROR(VLOOKUP(H1588,Listas!$J$2:$K$1048576,2,FALSE),""))</f>
        <v/>
      </c>
      <c r="K1588" s="5" t="str">
        <f>IF(OR(I1588="",G1588=""),"",IF(G1588="Saída",-I1588,I1588))</f>
        <v/>
      </c>
      <c r="L1588" t="str">
        <f>IF(E1588="","",IFERROR(VLOOKUP(E1588,Listas!$A$2:$C$1048576,3,FALSE),""))</f>
        <v/>
      </c>
    </row>
    <row r="1589" spans="10:12" x14ac:dyDescent="0.25">
      <c r="J1589" t="str">
        <f>IF(H1589="","",IFERROR(VLOOKUP(H1589,Listas!$J$2:$K$1048576,2,FALSE),""))</f>
        <v/>
      </c>
      <c r="K1589" s="5" t="str">
        <f>IF(OR(I1589="",G1589=""),"",IF(G1589="Saída",-I1589,I1589))</f>
        <v/>
      </c>
      <c r="L1589" t="str">
        <f>IF(E1589="","",IFERROR(VLOOKUP(E1589,Listas!$A$2:$C$1048576,3,FALSE),""))</f>
        <v/>
      </c>
    </row>
    <row r="1590" spans="10:12" x14ac:dyDescent="0.25">
      <c r="J1590" t="str">
        <f>IF(H1590="","",IFERROR(VLOOKUP(H1590,Listas!$J$2:$K$1048576,2,FALSE),""))</f>
        <v/>
      </c>
      <c r="K1590" s="5" t="str">
        <f>IF(OR(I1590="",G1590=""),"",IF(G1590="Saída",-I1590,I1590))</f>
        <v/>
      </c>
      <c r="L1590" t="str">
        <f>IF(E1590="","",IFERROR(VLOOKUP(E1590,Listas!$A$2:$C$1048576,3,FALSE),""))</f>
        <v/>
      </c>
    </row>
    <row r="1591" spans="10:12" x14ac:dyDescent="0.25">
      <c r="J1591" t="str">
        <f>IF(H1591="","",IFERROR(VLOOKUP(H1591,Listas!$J$2:$K$1048576,2,FALSE),""))</f>
        <v/>
      </c>
      <c r="K1591" s="5" t="str">
        <f>IF(OR(I1591="",G1591=""),"",IF(G1591="Saída",-I1591,I1591))</f>
        <v/>
      </c>
      <c r="L1591" t="str">
        <f>IF(E1591="","",IFERROR(VLOOKUP(E1591,Listas!$A$2:$C$1048576,3,FALSE),""))</f>
        <v/>
      </c>
    </row>
    <row r="1592" spans="10:12" x14ac:dyDescent="0.25">
      <c r="J1592" t="str">
        <f>IF(H1592="","",IFERROR(VLOOKUP(H1592,Listas!$J$2:$K$1048576,2,FALSE),""))</f>
        <v/>
      </c>
      <c r="K1592" s="5" t="str">
        <f>IF(OR(I1592="",G1592=""),"",IF(G1592="Saída",-I1592,I1592))</f>
        <v/>
      </c>
      <c r="L1592" t="str">
        <f>IF(E1592="","",IFERROR(VLOOKUP(E1592,Listas!$A$2:$C$1048576,3,FALSE),""))</f>
        <v/>
      </c>
    </row>
    <row r="1593" spans="10:12" x14ac:dyDescent="0.25">
      <c r="J1593" t="str">
        <f>IF(H1593="","",IFERROR(VLOOKUP(H1593,Listas!$J$2:$K$1048576,2,FALSE),""))</f>
        <v/>
      </c>
      <c r="K1593" s="5" t="str">
        <f>IF(OR(I1593="",G1593=""),"",IF(G1593="Saída",-I1593,I1593))</f>
        <v/>
      </c>
      <c r="L1593" t="str">
        <f>IF(E1593="","",IFERROR(VLOOKUP(E1593,Listas!$A$2:$C$1048576,3,FALSE),""))</f>
        <v/>
      </c>
    </row>
    <row r="1594" spans="10:12" x14ac:dyDescent="0.25">
      <c r="J1594" t="str">
        <f>IF(H1594="","",IFERROR(VLOOKUP(H1594,Listas!$J$2:$K$1048576,2,FALSE),""))</f>
        <v/>
      </c>
      <c r="K1594" s="5" t="str">
        <f>IF(OR(I1594="",G1594=""),"",IF(G1594="Saída",-I1594,I1594))</f>
        <v/>
      </c>
      <c r="L1594" t="str">
        <f>IF(E1594="","",IFERROR(VLOOKUP(E1594,Listas!$A$2:$C$1048576,3,FALSE),""))</f>
        <v/>
      </c>
    </row>
    <row r="1595" spans="10:12" x14ac:dyDescent="0.25">
      <c r="J1595" t="str">
        <f>IF(H1595="","",IFERROR(VLOOKUP(H1595,Listas!$J$2:$K$1048576,2,FALSE),""))</f>
        <v/>
      </c>
      <c r="K1595" s="5" t="str">
        <f>IF(OR(I1595="",G1595=""),"",IF(G1595="Saída",-I1595,I1595))</f>
        <v/>
      </c>
      <c r="L1595" t="str">
        <f>IF(E1595="","",IFERROR(VLOOKUP(E1595,Listas!$A$2:$C$1048576,3,FALSE),""))</f>
        <v/>
      </c>
    </row>
    <row r="1596" spans="10:12" x14ac:dyDescent="0.25">
      <c r="J1596" t="str">
        <f>IF(H1596="","",IFERROR(VLOOKUP(H1596,Listas!$J$2:$K$1048576,2,FALSE),""))</f>
        <v/>
      </c>
      <c r="K1596" s="5" t="str">
        <f>IF(OR(I1596="",G1596=""),"",IF(G1596="Saída",-I1596,I1596))</f>
        <v/>
      </c>
      <c r="L1596" t="str">
        <f>IF(E1596="","",IFERROR(VLOOKUP(E1596,Listas!$A$2:$C$1048576,3,FALSE),""))</f>
        <v/>
      </c>
    </row>
    <row r="1597" spans="10:12" x14ac:dyDescent="0.25">
      <c r="J1597" t="str">
        <f>IF(H1597="","",IFERROR(VLOOKUP(H1597,Listas!$J$2:$K$1048576,2,FALSE),""))</f>
        <v/>
      </c>
      <c r="K1597" s="5" t="str">
        <f>IF(OR(I1597="",G1597=""),"",IF(G1597="Saída",-I1597,I1597))</f>
        <v/>
      </c>
      <c r="L1597" t="str">
        <f>IF(E1597="","",IFERROR(VLOOKUP(E1597,Listas!$A$2:$C$1048576,3,FALSE),""))</f>
        <v/>
      </c>
    </row>
    <row r="1598" spans="10:12" x14ac:dyDescent="0.25">
      <c r="J1598" t="str">
        <f>IF(H1598="","",IFERROR(VLOOKUP(H1598,Listas!$J$2:$K$1048576,2,FALSE),""))</f>
        <v/>
      </c>
      <c r="K1598" s="5" t="str">
        <f>IF(OR(I1598="",G1598=""),"",IF(G1598="Saída",-I1598,I1598))</f>
        <v/>
      </c>
      <c r="L1598" t="str">
        <f>IF(E1598="","",IFERROR(VLOOKUP(E1598,Listas!$A$2:$C$1048576,3,FALSE),""))</f>
        <v/>
      </c>
    </row>
    <row r="1599" spans="10:12" x14ac:dyDescent="0.25">
      <c r="J1599" t="str">
        <f>IF(H1599="","",IFERROR(VLOOKUP(H1599,Listas!$J$2:$K$1048576,2,FALSE),""))</f>
        <v/>
      </c>
      <c r="K1599" s="5" t="str">
        <f>IF(OR(I1599="",G1599=""),"",IF(G1599="Saída",-I1599,I1599))</f>
        <v/>
      </c>
      <c r="L1599" t="str">
        <f>IF(E1599="","",IFERROR(VLOOKUP(E1599,Listas!$A$2:$C$1048576,3,FALSE),""))</f>
        <v/>
      </c>
    </row>
    <row r="1600" spans="10:12" x14ac:dyDescent="0.25">
      <c r="J1600" t="str">
        <f>IF(H1600="","",IFERROR(VLOOKUP(H1600,Listas!$J$2:$K$1048576,2,FALSE),""))</f>
        <v/>
      </c>
      <c r="K1600" s="5" t="str">
        <f>IF(OR(I1600="",G1600=""),"",IF(G1600="Saída",-I1600,I1600))</f>
        <v/>
      </c>
      <c r="L1600" t="str">
        <f>IF(E1600="","",IFERROR(VLOOKUP(E1600,Listas!$A$2:$C$1048576,3,FALSE),""))</f>
        <v/>
      </c>
    </row>
    <row r="1601" spans="10:12" x14ac:dyDescent="0.25">
      <c r="J1601" t="str">
        <f>IF(H1601="","",IFERROR(VLOOKUP(H1601,Listas!$J$2:$K$1048576,2,FALSE),""))</f>
        <v/>
      </c>
      <c r="K1601" s="5" t="str">
        <f>IF(OR(I1601="",G1601=""),"",IF(G1601="Saída",-I1601,I1601))</f>
        <v/>
      </c>
      <c r="L1601" t="str">
        <f>IF(E1601="","",IFERROR(VLOOKUP(E1601,Listas!$A$2:$C$1048576,3,FALSE),""))</f>
        <v/>
      </c>
    </row>
    <row r="1602" spans="10:12" x14ac:dyDescent="0.25">
      <c r="J1602" t="str">
        <f>IF(H1602="","",IFERROR(VLOOKUP(H1602,Listas!$J$2:$K$1048576,2,FALSE),""))</f>
        <v/>
      </c>
      <c r="K1602" s="5" t="str">
        <f>IF(OR(I1602="",G1602=""),"",IF(G1602="Saída",-I1602,I1602))</f>
        <v/>
      </c>
      <c r="L1602" t="str">
        <f>IF(E1602="","",IFERROR(VLOOKUP(E1602,Listas!$A$2:$C$1048576,3,FALSE),""))</f>
        <v/>
      </c>
    </row>
    <row r="1603" spans="10:12" x14ac:dyDescent="0.25">
      <c r="J1603" t="str">
        <f>IF(H1603="","",IFERROR(VLOOKUP(H1603,Listas!$J$2:$K$1048576,2,FALSE),""))</f>
        <v/>
      </c>
      <c r="K1603" s="5" t="str">
        <f>IF(OR(I1603="",G1603=""),"",IF(G1603="Saída",-I1603,I1603))</f>
        <v/>
      </c>
      <c r="L1603" t="str">
        <f>IF(E1603="","",IFERROR(VLOOKUP(E1603,Listas!$A$2:$C$1048576,3,FALSE),""))</f>
        <v/>
      </c>
    </row>
    <row r="1604" spans="10:12" x14ac:dyDescent="0.25">
      <c r="J1604" t="str">
        <f>IF(H1604="","",IFERROR(VLOOKUP(H1604,Listas!$J$2:$K$1048576,2,FALSE),""))</f>
        <v/>
      </c>
      <c r="K1604" s="5" t="str">
        <f>IF(OR(I1604="",G1604=""),"",IF(G1604="Saída",-I1604,I1604))</f>
        <v/>
      </c>
      <c r="L1604" t="str">
        <f>IF(E1604="","",IFERROR(VLOOKUP(E1604,Listas!$A$2:$C$1048576,3,FALSE),""))</f>
        <v/>
      </c>
    </row>
    <row r="1605" spans="10:12" x14ac:dyDescent="0.25">
      <c r="J1605" t="str">
        <f>IF(H1605="","",IFERROR(VLOOKUP(H1605,Listas!$J$2:$K$1048576,2,FALSE),""))</f>
        <v/>
      </c>
      <c r="K1605" s="5" t="str">
        <f>IF(OR(I1605="",G1605=""),"",IF(G1605="Saída",-I1605,I1605))</f>
        <v/>
      </c>
      <c r="L1605" t="str">
        <f>IF(E1605="","",IFERROR(VLOOKUP(E1605,Listas!$A$2:$C$1048576,3,FALSE),""))</f>
        <v/>
      </c>
    </row>
    <row r="1606" spans="10:12" x14ac:dyDescent="0.25">
      <c r="J1606" t="str">
        <f>IF(H1606="","",IFERROR(VLOOKUP(H1606,Listas!$J$2:$K$1048576,2,FALSE),""))</f>
        <v/>
      </c>
      <c r="K1606" s="5" t="str">
        <f>IF(OR(I1606="",G1606=""),"",IF(G1606="Saída",-I1606,I1606))</f>
        <v/>
      </c>
      <c r="L1606" t="str">
        <f>IF(E1606="","",IFERROR(VLOOKUP(E1606,Listas!$A$2:$C$1048576,3,FALSE),""))</f>
        <v/>
      </c>
    </row>
    <row r="1607" spans="10:12" x14ac:dyDescent="0.25">
      <c r="J1607" t="str">
        <f>IF(H1607="","",IFERROR(VLOOKUP(H1607,Listas!$J$2:$K$1048576,2,FALSE),""))</f>
        <v/>
      </c>
      <c r="K1607" s="5" t="str">
        <f>IF(OR(I1607="",G1607=""),"",IF(G1607="Saída",-I1607,I1607))</f>
        <v/>
      </c>
      <c r="L1607" t="str">
        <f>IF(E1607="","",IFERROR(VLOOKUP(E1607,Listas!$A$2:$C$1048576,3,FALSE),""))</f>
        <v/>
      </c>
    </row>
    <row r="1608" spans="10:12" x14ac:dyDescent="0.25">
      <c r="J1608" t="str">
        <f>IF(H1608="","",IFERROR(VLOOKUP(H1608,Listas!$J$2:$K$1048576,2,FALSE),""))</f>
        <v/>
      </c>
      <c r="K1608" s="5" t="str">
        <f>IF(OR(I1608="",G1608=""),"",IF(G1608="Saída",-I1608,I1608))</f>
        <v/>
      </c>
      <c r="L1608" t="str">
        <f>IF(E1608="","",IFERROR(VLOOKUP(E1608,Listas!$A$2:$C$1048576,3,FALSE),""))</f>
        <v/>
      </c>
    </row>
    <row r="1609" spans="10:12" x14ac:dyDescent="0.25">
      <c r="J1609" t="str">
        <f>IF(H1609="","",IFERROR(VLOOKUP(H1609,Listas!$J$2:$K$1048576,2,FALSE),""))</f>
        <v/>
      </c>
      <c r="K1609" s="5" t="str">
        <f>IF(OR(I1609="",G1609=""),"",IF(G1609="Saída",-I1609,I1609))</f>
        <v/>
      </c>
      <c r="L1609" t="str">
        <f>IF(E1609="","",IFERROR(VLOOKUP(E1609,Listas!$A$2:$C$1048576,3,FALSE),""))</f>
        <v/>
      </c>
    </row>
    <row r="1610" spans="10:12" x14ac:dyDescent="0.25">
      <c r="J1610" t="str">
        <f>IF(H1610="","",IFERROR(VLOOKUP(H1610,Listas!$J$2:$K$1048576,2,FALSE),""))</f>
        <v/>
      </c>
      <c r="K1610" s="5" t="str">
        <f>IF(OR(I1610="",G1610=""),"",IF(G1610="Saída",-I1610,I1610))</f>
        <v/>
      </c>
      <c r="L1610" t="str">
        <f>IF(E1610="","",IFERROR(VLOOKUP(E1610,Listas!$A$2:$C$1048576,3,FALSE),""))</f>
        <v/>
      </c>
    </row>
    <row r="1611" spans="10:12" x14ac:dyDescent="0.25">
      <c r="J1611" t="str">
        <f>IF(H1611="","",IFERROR(VLOOKUP(H1611,Listas!$J$2:$K$1048576,2,FALSE),""))</f>
        <v/>
      </c>
      <c r="K1611" s="5" t="str">
        <f>IF(OR(I1611="",G1611=""),"",IF(G1611="Saída",-I1611,I1611))</f>
        <v/>
      </c>
      <c r="L1611" t="str">
        <f>IF(E1611="","",IFERROR(VLOOKUP(E1611,Listas!$A$2:$C$1048576,3,FALSE),""))</f>
        <v/>
      </c>
    </row>
    <row r="1612" spans="10:12" x14ac:dyDescent="0.25">
      <c r="J1612" t="str">
        <f>IF(H1612="","",IFERROR(VLOOKUP(H1612,Listas!$J$2:$K$1048576,2,FALSE),""))</f>
        <v/>
      </c>
      <c r="K1612" s="5" t="str">
        <f>IF(OR(I1612="",G1612=""),"",IF(G1612="Saída",-I1612,I1612))</f>
        <v/>
      </c>
      <c r="L1612" t="str">
        <f>IF(E1612="","",IFERROR(VLOOKUP(E1612,Listas!$A$2:$C$1048576,3,FALSE),""))</f>
        <v/>
      </c>
    </row>
    <row r="1613" spans="10:12" x14ac:dyDescent="0.25">
      <c r="J1613" t="str">
        <f>IF(H1613="","",IFERROR(VLOOKUP(H1613,Listas!$J$2:$K$1048576,2,FALSE),""))</f>
        <v/>
      </c>
      <c r="K1613" s="5" t="str">
        <f>IF(OR(I1613="",G1613=""),"",IF(G1613="Saída",-I1613,I1613))</f>
        <v/>
      </c>
      <c r="L1613" t="str">
        <f>IF(E1613="","",IFERROR(VLOOKUP(E1613,Listas!$A$2:$C$1048576,3,FALSE),""))</f>
        <v/>
      </c>
    </row>
    <row r="1614" spans="10:12" x14ac:dyDescent="0.25">
      <c r="J1614" t="str">
        <f>IF(H1614="","",IFERROR(VLOOKUP(H1614,Listas!$J$2:$K$1048576,2,FALSE),""))</f>
        <v/>
      </c>
      <c r="K1614" s="5" t="str">
        <f>IF(OR(I1614="",G1614=""),"",IF(G1614="Saída",-I1614,I1614))</f>
        <v/>
      </c>
      <c r="L1614" t="str">
        <f>IF(E1614="","",IFERROR(VLOOKUP(E1614,Listas!$A$2:$C$1048576,3,FALSE),""))</f>
        <v/>
      </c>
    </row>
    <row r="1615" spans="10:12" x14ac:dyDescent="0.25">
      <c r="J1615" t="str">
        <f>IF(H1615="","",IFERROR(VLOOKUP(H1615,Listas!$J$2:$K$1048576,2,FALSE),""))</f>
        <v/>
      </c>
      <c r="K1615" s="5" t="str">
        <f>IF(OR(I1615="",G1615=""),"",IF(G1615="Saída",-I1615,I1615))</f>
        <v/>
      </c>
      <c r="L1615" t="str">
        <f>IF(E1615="","",IFERROR(VLOOKUP(E1615,Listas!$A$2:$C$1048576,3,FALSE),""))</f>
        <v/>
      </c>
    </row>
    <row r="1616" spans="10:12" x14ac:dyDescent="0.25">
      <c r="J1616" t="str">
        <f>IF(H1616="","",IFERROR(VLOOKUP(H1616,Listas!$J$2:$K$1048576,2,FALSE),""))</f>
        <v/>
      </c>
      <c r="K1616" s="5" t="str">
        <f>IF(OR(I1616="",G1616=""),"",IF(G1616="Saída",-I1616,I1616))</f>
        <v/>
      </c>
      <c r="L1616" t="str">
        <f>IF(E1616="","",IFERROR(VLOOKUP(E1616,Listas!$A$2:$C$1048576,3,FALSE),""))</f>
        <v/>
      </c>
    </row>
    <row r="1617" spans="10:12" x14ac:dyDescent="0.25">
      <c r="J1617" t="str">
        <f>IF(H1617="","",IFERROR(VLOOKUP(H1617,Listas!$J$2:$K$1048576,2,FALSE),""))</f>
        <v/>
      </c>
      <c r="K1617" s="5" t="str">
        <f>IF(OR(I1617="",G1617=""),"",IF(G1617="Saída",-I1617,I1617))</f>
        <v/>
      </c>
      <c r="L1617" t="str">
        <f>IF(E1617="","",IFERROR(VLOOKUP(E1617,Listas!$A$2:$C$1048576,3,FALSE),""))</f>
        <v/>
      </c>
    </row>
    <row r="1618" spans="10:12" x14ac:dyDescent="0.25">
      <c r="J1618" t="str">
        <f>IF(H1618="","",IFERROR(VLOOKUP(H1618,Listas!$J$2:$K$1048576,2,FALSE),""))</f>
        <v/>
      </c>
      <c r="K1618" s="5" t="str">
        <f>IF(OR(I1618="",G1618=""),"",IF(G1618="Saída",-I1618,I1618))</f>
        <v/>
      </c>
      <c r="L1618" t="str">
        <f>IF(E1618="","",IFERROR(VLOOKUP(E1618,Listas!$A$2:$C$1048576,3,FALSE),""))</f>
        <v/>
      </c>
    </row>
    <row r="1619" spans="10:12" x14ac:dyDescent="0.25">
      <c r="J1619" t="str">
        <f>IF(H1619="","",IFERROR(VLOOKUP(H1619,Listas!$J$2:$K$1048576,2,FALSE),""))</f>
        <v/>
      </c>
      <c r="K1619" s="5" t="str">
        <f>IF(OR(I1619="",G1619=""),"",IF(G1619="Saída",-I1619,I1619))</f>
        <v/>
      </c>
      <c r="L1619" t="str">
        <f>IF(E1619="","",IFERROR(VLOOKUP(E1619,Listas!$A$2:$C$1048576,3,FALSE),""))</f>
        <v/>
      </c>
    </row>
    <row r="1620" spans="10:12" x14ac:dyDescent="0.25">
      <c r="J1620" t="str">
        <f>IF(H1620="","",IFERROR(VLOOKUP(H1620,Listas!$J$2:$K$1048576,2,FALSE),""))</f>
        <v/>
      </c>
      <c r="K1620" s="5" t="str">
        <f>IF(OR(I1620="",G1620=""),"",IF(G1620="Saída",-I1620,I1620))</f>
        <v/>
      </c>
      <c r="L1620" t="str">
        <f>IF(E1620="","",IFERROR(VLOOKUP(E1620,Listas!$A$2:$C$1048576,3,FALSE),""))</f>
        <v/>
      </c>
    </row>
    <row r="1621" spans="10:12" x14ac:dyDescent="0.25">
      <c r="J1621" t="str">
        <f>IF(H1621="","",IFERROR(VLOOKUP(H1621,Listas!$J$2:$K$1048576,2,FALSE),""))</f>
        <v/>
      </c>
      <c r="K1621" s="5" t="str">
        <f>IF(OR(I1621="",G1621=""),"",IF(G1621="Saída",-I1621,I1621))</f>
        <v/>
      </c>
      <c r="L1621" t="str">
        <f>IF(E1621="","",IFERROR(VLOOKUP(E1621,Listas!$A$2:$C$1048576,3,FALSE),""))</f>
        <v/>
      </c>
    </row>
    <row r="1622" spans="10:12" x14ac:dyDescent="0.25">
      <c r="J1622" t="str">
        <f>IF(H1622="","",IFERROR(VLOOKUP(H1622,Listas!$J$2:$K$1048576,2,FALSE),""))</f>
        <v/>
      </c>
      <c r="K1622" s="5" t="str">
        <f>IF(OR(I1622="",G1622=""),"",IF(G1622="Saída",-I1622,I1622))</f>
        <v/>
      </c>
      <c r="L1622" t="str">
        <f>IF(E1622="","",IFERROR(VLOOKUP(E1622,Listas!$A$2:$C$1048576,3,FALSE),""))</f>
        <v/>
      </c>
    </row>
    <row r="1623" spans="10:12" x14ac:dyDescent="0.25">
      <c r="J1623" t="str">
        <f>IF(H1623="","",IFERROR(VLOOKUP(H1623,Listas!$J$2:$K$1048576,2,FALSE),""))</f>
        <v/>
      </c>
      <c r="K1623" s="5" t="str">
        <f>IF(OR(I1623="",G1623=""),"",IF(G1623="Saída",-I1623,I1623))</f>
        <v/>
      </c>
      <c r="L1623" t="str">
        <f>IF(E1623="","",IFERROR(VLOOKUP(E1623,Listas!$A$2:$C$1048576,3,FALSE),""))</f>
        <v/>
      </c>
    </row>
    <row r="1624" spans="10:12" x14ac:dyDescent="0.25">
      <c r="J1624" t="str">
        <f>IF(H1624="","",IFERROR(VLOOKUP(H1624,Listas!$J$2:$K$1048576,2,FALSE),""))</f>
        <v/>
      </c>
      <c r="K1624" s="5" t="str">
        <f>IF(OR(I1624="",G1624=""),"",IF(G1624="Saída",-I1624,I1624))</f>
        <v/>
      </c>
      <c r="L1624" t="str">
        <f>IF(E1624="","",IFERROR(VLOOKUP(E1624,Listas!$A$2:$C$1048576,3,FALSE),""))</f>
        <v/>
      </c>
    </row>
    <row r="1625" spans="10:12" x14ac:dyDescent="0.25">
      <c r="J1625" t="str">
        <f>IF(H1625="","",IFERROR(VLOOKUP(H1625,Listas!$J$2:$K$1048576,2,FALSE),""))</f>
        <v/>
      </c>
      <c r="K1625" s="5" t="str">
        <f>IF(OR(I1625="",G1625=""),"",IF(G1625="Saída",-I1625,I1625))</f>
        <v/>
      </c>
      <c r="L1625" t="str">
        <f>IF(E1625="","",IFERROR(VLOOKUP(E1625,Listas!$A$2:$C$1048576,3,FALSE),""))</f>
        <v/>
      </c>
    </row>
    <row r="1626" spans="10:12" x14ac:dyDescent="0.25">
      <c r="J1626" t="str">
        <f>IF(H1626="","",IFERROR(VLOOKUP(H1626,Listas!$J$2:$K$1048576,2,FALSE),""))</f>
        <v/>
      </c>
      <c r="K1626" s="5" t="str">
        <f>IF(OR(I1626="",G1626=""),"",IF(G1626="Saída",-I1626,I1626))</f>
        <v/>
      </c>
      <c r="L1626" t="str">
        <f>IF(E1626="","",IFERROR(VLOOKUP(E1626,Listas!$A$2:$C$1048576,3,FALSE),""))</f>
        <v/>
      </c>
    </row>
    <row r="1627" spans="10:12" x14ac:dyDescent="0.25">
      <c r="J1627" t="str">
        <f>IF(H1627="","",IFERROR(VLOOKUP(H1627,Listas!$J$2:$K$1048576,2,FALSE),""))</f>
        <v/>
      </c>
      <c r="K1627" s="5" t="str">
        <f>IF(OR(I1627="",G1627=""),"",IF(G1627="Saída",-I1627,I1627))</f>
        <v/>
      </c>
      <c r="L1627" t="str">
        <f>IF(E1627="","",IFERROR(VLOOKUP(E1627,Listas!$A$2:$C$1048576,3,FALSE),""))</f>
        <v/>
      </c>
    </row>
    <row r="1628" spans="10:12" x14ac:dyDescent="0.25">
      <c r="J1628" t="str">
        <f>IF(H1628="","",IFERROR(VLOOKUP(H1628,Listas!$J$2:$K$1048576,2,FALSE),""))</f>
        <v/>
      </c>
      <c r="K1628" s="5" t="str">
        <f>IF(OR(I1628="",G1628=""),"",IF(G1628="Saída",-I1628,I1628))</f>
        <v/>
      </c>
      <c r="L1628" t="str">
        <f>IF(E1628="","",IFERROR(VLOOKUP(E1628,Listas!$A$2:$C$1048576,3,FALSE),""))</f>
        <v/>
      </c>
    </row>
    <row r="1629" spans="10:12" x14ac:dyDescent="0.25">
      <c r="J1629" t="str">
        <f>IF(H1629="","",IFERROR(VLOOKUP(H1629,Listas!$J$2:$K$1048576,2,FALSE),""))</f>
        <v/>
      </c>
      <c r="K1629" s="5" t="str">
        <f>IF(OR(I1629="",G1629=""),"",IF(G1629="Saída",-I1629,I1629))</f>
        <v/>
      </c>
      <c r="L1629" t="str">
        <f>IF(E1629="","",IFERROR(VLOOKUP(E1629,Listas!$A$2:$C$1048576,3,FALSE),""))</f>
        <v/>
      </c>
    </row>
    <row r="1630" spans="10:12" x14ac:dyDescent="0.25">
      <c r="J1630" t="str">
        <f>IF(H1630="","",IFERROR(VLOOKUP(H1630,Listas!$J$2:$K$1048576,2,FALSE),""))</f>
        <v/>
      </c>
      <c r="K1630" s="5" t="str">
        <f>IF(OR(I1630="",G1630=""),"",IF(G1630="Saída",-I1630,I1630))</f>
        <v/>
      </c>
      <c r="L1630" t="str">
        <f>IF(E1630="","",IFERROR(VLOOKUP(E1630,Listas!$A$2:$C$1048576,3,FALSE),""))</f>
        <v/>
      </c>
    </row>
    <row r="1631" spans="10:12" x14ac:dyDescent="0.25">
      <c r="J1631" t="str">
        <f>IF(H1631="","",IFERROR(VLOOKUP(H1631,Listas!$J$2:$K$1048576,2,FALSE),""))</f>
        <v/>
      </c>
      <c r="K1631" s="5" t="str">
        <f>IF(OR(I1631="",G1631=""),"",IF(G1631="Saída",-I1631,I1631))</f>
        <v/>
      </c>
      <c r="L1631" t="str">
        <f>IF(E1631="","",IFERROR(VLOOKUP(E1631,Listas!$A$2:$C$1048576,3,FALSE),""))</f>
        <v/>
      </c>
    </row>
    <row r="1632" spans="10:12" x14ac:dyDescent="0.25">
      <c r="J1632" t="str">
        <f>IF(H1632="","",IFERROR(VLOOKUP(H1632,Listas!$J$2:$K$1048576,2,FALSE),""))</f>
        <v/>
      </c>
      <c r="K1632" s="5" t="str">
        <f>IF(OR(I1632="",G1632=""),"",IF(G1632="Saída",-I1632,I1632))</f>
        <v/>
      </c>
      <c r="L1632" t="str">
        <f>IF(E1632="","",IFERROR(VLOOKUP(E1632,Listas!$A$2:$C$1048576,3,FALSE),""))</f>
        <v/>
      </c>
    </row>
    <row r="1633" spans="10:12" x14ac:dyDescent="0.25">
      <c r="J1633" t="str">
        <f>IF(H1633="","",IFERROR(VLOOKUP(H1633,Listas!$J$2:$K$1048576,2,FALSE),""))</f>
        <v/>
      </c>
      <c r="K1633" s="5" t="str">
        <f>IF(OR(I1633="",G1633=""),"",IF(G1633="Saída",-I1633,I1633))</f>
        <v/>
      </c>
      <c r="L1633" t="str">
        <f>IF(E1633="","",IFERROR(VLOOKUP(E1633,Listas!$A$2:$C$1048576,3,FALSE),""))</f>
        <v/>
      </c>
    </row>
    <row r="1634" spans="10:12" x14ac:dyDescent="0.25">
      <c r="J1634" t="str">
        <f>IF(H1634="","",IFERROR(VLOOKUP(H1634,Listas!$J$2:$K$1048576,2,FALSE),""))</f>
        <v/>
      </c>
      <c r="K1634" s="5" t="str">
        <f>IF(OR(I1634="",G1634=""),"",IF(G1634="Saída",-I1634,I1634))</f>
        <v/>
      </c>
      <c r="L1634" t="str">
        <f>IF(E1634="","",IFERROR(VLOOKUP(E1634,Listas!$A$2:$C$1048576,3,FALSE),""))</f>
        <v/>
      </c>
    </row>
    <row r="1635" spans="10:12" x14ac:dyDescent="0.25">
      <c r="J1635" t="str">
        <f>IF(H1635="","",IFERROR(VLOOKUP(H1635,Listas!$J$2:$K$1048576,2,FALSE),""))</f>
        <v/>
      </c>
      <c r="K1635" s="5" t="str">
        <f>IF(OR(I1635="",G1635=""),"",IF(G1635="Saída",-I1635,I1635))</f>
        <v/>
      </c>
      <c r="L1635" t="str">
        <f>IF(E1635="","",IFERROR(VLOOKUP(E1635,Listas!$A$2:$C$1048576,3,FALSE),""))</f>
        <v/>
      </c>
    </row>
    <row r="1636" spans="10:12" x14ac:dyDescent="0.25">
      <c r="J1636" t="str">
        <f>IF(H1636="","",IFERROR(VLOOKUP(H1636,Listas!$J$2:$K$1048576,2,FALSE),""))</f>
        <v/>
      </c>
      <c r="K1636" s="5" t="str">
        <f>IF(OR(I1636="",G1636=""),"",IF(G1636="Saída",-I1636,I1636))</f>
        <v/>
      </c>
      <c r="L1636" t="str">
        <f>IF(E1636="","",IFERROR(VLOOKUP(E1636,Listas!$A$2:$C$1048576,3,FALSE),""))</f>
        <v/>
      </c>
    </row>
    <row r="1637" spans="10:12" x14ac:dyDescent="0.25">
      <c r="J1637" t="str">
        <f>IF(H1637="","",IFERROR(VLOOKUP(H1637,Listas!$J$2:$K$1048576,2,FALSE),""))</f>
        <v/>
      </c>
      <c r="K1637" s="5" t="str">
        <f>IF(OR(I1637="",G1637=""),"",IF(G1637="Saída",-I1637,I1637))</f>
        <v/>
      </c>
      <c r="L1637" t="str">
        <f>IF(E1637="","",IFERROR(VLOOKUP(E1637,Listas!$A$2:$C$1048576,3,FALSE),""))</f>
        <v/>
      </c>
    </row>
    <row r="1638" spans="10:12" x14ac:dyDescent="0.25">
      <c r="J1638" t="str">
        <f>IF(H1638="","",IFERROR(VLOOKUP(H1638,Listas!$J$2:$K$1048576,2,FALSE),""))</f>
        <v/>
      </c>
      <c r="K1638" s="5" t="str">
        <f>IF(OR(I1638="",G1638=""),"",IF(G1638="Saída",-I1638,I1638))</f>
        <v/>
      </c>
      <c r="L1638" t="str">
        <f>IF(E1638="","",IFERROR(VLOOKUP(E1638,Listas!$A$2:$C$1048576,3,FALSE),""))</f>
        <v/>
      </c>
    </row>
    <row r="1639" spans="10:12" x14ac:dyDescent="0.25">
      <c r="J1639" t="str">
        <f>IF(H1639="","",IFERROR(VLOOKUP(H1639,Listas!$J$2:$K$1048576,2,FALSE),""))</f>
        <v/>
      </c>
      <c r="K1639" s="5" t="str">
        <f>IF(OR(I1639="",G1639=""),"",IF(G1639="Saída",-I1639,I1639))</f>
        <v/>
      </c>
      <c r="L1639" t="str">
        <f>IF(E1639="","",IFERROR(VLOOKUP(E1639,Listas!$A$2:$C$1048576,3,FALSE),""))</f>
        <v/>
      </c>
    </row>
    <row r="1640" spans="10:12" x14ac:dyDescent="0.25">
      <c r="J1640" t="str">
        <f>IF(H1640="","",IFERROR(VLOOKUP(H1640,Listas!$J$2:$K$1048576,2,FALSE),""))</f>
        <v/>
      </c>
      <c r="K1640" s="5" t="str">
        <f>IF(OR(I1640="",G1640=""),"",IF(G1640="Saída",-I1640,I1640))</f>
        <v/>
      </c>
      <c r="L1640" t="str">
        <f>IF(E1640="","",IFERROR(VLOOKUP(E1640,Listas!$A$2:$C$1048576,3,FALSE),""))</f>
        <v/>
      </c>
    </row>
    <row r="1641" spans="10:12" x14ac:dyDescent="0.25">
      <c r="J1641" t="str">
        <f>IF(H1641="","",IFERROR(VLOOKUP(H1641,Listas!$J$2:$K$1048576,2,FALSE),""))</f>
        <v/>
      </c>
      <c r="K1641" s="5" t="str">
        <f>IF(OR(I1641="",G1641=""),"",IF(G1641="Saída",-I1641,I1641))</f>
        <v/>
      </c>
      <c r="L1641" t="str">
        <f>IF(E1641="","",IFERROR(VLOOKUP(E1641,Listas!$A$2:$C$1048576,3,FALSE),""))</f>
        <v/>
      </c>
    </row>
    <row r="1642" spans="10:12" x14ac:dyDescent="0.25">
      <c r="J1642" t="str">
        <f>IF(H1642="","",IFERROR(VLOOKUP(H1642,Listas!$J$2:$K$1048576,2,FALSE),""))</f>
        <v/>
      </c>
      <c r="K1642" s="5" t="str">
        <f>IF(OR(I1642="",G1642=""),"",IF(G1642="Saída",-I1642,I1642))</f>
        <v/>
      </c>
      <c r="L1642" t="str">
        <f>IF(E1642="","",IFERROR(VLOOKUP(E1642,Listas!$A$2:$C$1048576,3,FALSE),""))</f>
        <v/>
      </c>
    </row>
    <row r="1643" spans="10:12" x14ac:dyDescent="0.25">
      <c r="J1643" t="str">
        <f>IF(H1643="","",IFERROR(VLOOKUP(H1643,Listas!$J$2:$K$1048576,2,FALSE),""))</f>
        <v/>
      </c>
      <c r="K1643" s="5" t="str">
        <f>IF(OR(I1643="",G1643=""),"",IF(G1643="Saída",-I1643,I1643))</f>
        <v/>
      </c>
      <c r="L1643" t="str">
        <f>IF(E1643="","",IFERROR(VLOOKUP(E1643,Listas!$A$2:$C$1048576,3,FALSE),""))</f>
        <v/>
      </c>
    </row>
    <row r="1644" spans="10:12" x14ac:dyDescent="0.25">
      <c r="J1644" t="str">
        <f>IF(H1644="","",IFERROR(VLOOKUP(H1644,Listas!$J$2:$K$1048576,2,FALSE),""))</f>
        <v/>
      </c>
      <c r="K1644" s="5" t="str">
        <f>IF(OR(I1644="",G1644=""),"",IF(G1644="Saída",-I1644,I1644))</f>
        <v/>
      </c>
      <c r="L1644" t="str">
        <f>IF(E1644="","",IFERROR(VLOOKUP(E1644,Listas!$A$2:$C$1048576,3,FALSE),""))</f>
        <v/>
      </c>
    </row>
    <row r="1645" spans="10:12" x14ac:dyDescent="0.25">
      <c r="J1645" t="str">
        <f>IF(H1645="","",IFERROR(VLOOKUP(H1645,Listas!$J$2:$K$1048576,2,FALSE),""))</f>
        <v/>
      </c>
      <c r="K1645" s="5" t="str">
        <f>IF(OR(I1645="",G1645=""),"",IF(G1645="Saída",-I1645,I1645))</f>
        <v/>
      </c>
      <c r="L1645" t="str">
        <f>IF(E1645="","",IFERROR(VLOOKUP(E1645,Listas!$A$2:$C$1048576,3,FALSE),""))</f>
        <v/>
      </c>
    </row>
    <row r="1646" spans="10:12" x14ac:dyDescent="0.25">
      <c r="J1646" t="str">
        <f>IF(H1646="","",IFERROR(VLOOKUP(H1646,Listas!$J$2:$K$1048576,2,FALSE),""))</f>
        <v/>
      </c>
      <c r="K1646" s="5" t="str">
        <f>IF(OR(I1646="",G1646=""),"",IF(G1646="Saída",-I1646,I1646))</f>
        <v/>
      </c>
      <c r="L1646" t="str">
        <f>IF(E1646="","",IFERROR(VLOOKUP(E1646,Listas!$A$2:$C$1048576,3,FALSE),""))</f>
        <v/>
      </c>
    </row>
    <row r="1647" spans="10:12" x14ac:dyDescent="0.25">
      <c r="J1647" t="str">
        <f>IF(H1647="","",IFERROR(VLOOKUP(H1647,Listas!$J$2:$K$1048576,2,FALSE),""))</f>
        <v/>
      </c>
      <c r="K1647" s="5" t="str">
        <f>IF(OR(I1647="",G1647=""),"",IF(G1647="Saída",-I1647,I1647))</f>
        <v/>
      </c>
      <c r="L1647" t="str">
        <f>IF(E1647="","",IFERROR(VLOOKUP(E1647,Listas!$A$2:$C$1048576,3,FALSE),""))</f>
        <v/>
      </c>
    </row>
    <row r="1648" spans="10:12" x14ac:dyDescent="0.25">
      <c r="J1648" t="str">
        <f>IF(H1648="","",IFERROR(VLOOKUP(H1648,Listas!$J$2:$K$1048576,2,FALSE),""))</f>
        <v/>
      </c>
      <c r="K1648" s="5" t="str">
        <f>IF(OR(I1648="",G1648=""),"",IF(G1648="Saída",-I1648,I1648))</f>
        <v/>
      </c>
      <c r="L1648" t="str">
        <f>IF(E1648="","",IFERROR(VLOOKUP(E1648,Listas!$A$2:$C$1048576,3,FALSE),""))</f>
        <v/>
      </c>
    </row>
    <row r="1649" spans="10:12" x14ac:dyDescent="0.25">
      <c r="J1649" t="str">
        <f>IF(H1649="","",IFERROR(VLOOKUP(H1649,Listas!$J$2:$K$1048576,2,FALSE),""))</f>
        <v/>
      </c>
      <c r="K1649" s="5" t="str">
        <f>IF(OR(I1649="",G1649=""),"",IF(G1649="Saída",-I1649,I1649))</f>
        <v/>
      </c>
      <c r="L1649" t="str">
        <f>IF(E1649="","",IFERROR(VLOOKUP(E1649,Listas!$A$2:$C$1048576,3,FALSE),""))</f>
        <v/>
      </c>
    </row>
    <row r="1650" spans="10:12" x14ac:dyDescent="0.25">
      <c r="J1650" t="str">
        <f>IF(H1650="","",IFERROR(VLOOKUP(H1650,Listas!$J$2:$K$1048576,2,FALSE),""))</f>
        <v/>
      </c>
      <c r="K1650" s="5" t="str">
        <f>IF(OR(I1650="",G1650=""),"",IF(G1650="Saída",-I1650,I1650))</f>
        <v/>
      </c>
      <c r="L1650" t="str">
        <f>IF(E1650="","",IFERROR(VLOOKUP(E1650,Listas!$A$2:$C$1048576,3,FALSE),""))</f>
        <v/>
      </c>
    </row>
    <row r="1651" spans="10:12" x14ac:dyDescent="0.25">
      <c r="J1651" t="str">
        <f>IF(H1651="","",IFERROR(VLOOKUP(H1651,Listas!$J$2:$K$1048576,2,FALSE),""))</f>
        <v/>
      </c>
      <c r="K1651" s="5" t="str">
        <f>IF(OR(I1651="",G1651=""),"",IF(G1651="Saída",-I1651,I1651))</f>
        <v/>
      </c>
      <c r="L1651" t="str">
        <f>IF(E1651="","",IFERROR(VLOOKUP(E1651,Listas!$A$2:$C$1048576,3,FALSE),""))</f>
        <v/>
      </c>
    </row>
    <row r="1652" spans="10:12" x14ac:dyDescent="0.25">
      <c r="J1652" t="str">
        <f>IF(H1652="","",IFERROR(VLOOKUP(H1652,Listas!$J$2:$K$1048576,2,FALSE),""))</f>
        <v/>
      </c>
      <c r="K1652" s="5" t="str">
        <f>IF(OR(I1652="",G1652=""),"",IF(G1652="Saída",-I1652,I1652))</f>
        <v/>
      </c>
      <c r="L1652" t="str">
        <f>IF(E1652="","",IFERROR(VLOOKUP(E1652,Listas!$A$2:$C$1048576,3,FALSE),""))</f>
        <v/>
      </c>
    </row>
    <row r="1653" spans="10:12" x14ac:dyDescent="0.25">
      <c r="J1653" t="str">
        <f>IF(H1653="","",IFERROR(VLOOKUP(H1653,Listas!$J$2:$K$1048576,2,FALSE),""))</f>
        <v/>
      </c>
      <c r="K1653" s="5" t="str">
        <f>IF(OR(I1653="",G1653=""),"",IF(G1653="Saída",-I1653,I1653))</f>
        <v/>
      </c>
      <c r="L1653" t="str">
        <f>IF(E1653="","",IFERROR(VLOOKUP(E1653,Listas!$A$2:$C$1048576,3,FALSE),""))</f>
        <v/>
      </c>
    </row>
    <row r="1654" spans="10:12" x14ac:dyDescent="0.25">
      <c r="J1654" t="str">
        <f>IF(H1654="","",IFERROR(VLOOKUP(H1654,Listas!$J$2:$K$1048576,2,FALSE),""))</f>
        <v/>
      </c>
      <c r="K1654" s="5" t="str">
        <f>IF(OR(I1654="",G1654=""),"",IF(G1654="Saída",-I1654,I1654))</f>
        <v/>
      </c>
      <c r="L1654" t="str">
        <f>IF(E1654="","",IFERROR(VLOOKUP(E1654,Listas!$A$2:$C$1048576,3,FALSE),""))</f>
        <v/>
      </c>
    </row>
    <row r="1655" spans="10:12" x14ac:dyDescent="0.25">
      <c r="J1655" t="str">
        <f>IF(H1655="","",IFERROR(VLOOKUP(H1655,Listas!$J$2:$K$1048576,2,FALSE),""))</f>
        <v/>
      </c>
      <c r="K1655" s="5" t="str">
        <f>IF(OR(I1655="",G1655=""),"",IF(G1655="Saída",-I1655,I1655))</f>
        <v/>
      </c>
      <c r="L1655" t="str">
        <f>IF(E1655="","",IFERROR(VLOOKUP(E1655,Listas!$A$2:$C$1048576,3,FALSE),""))</f>
        <v/>
      </c>
    </row>
    <row r="1656" spans="10:12" x14ac:dyDescent="0.25">
      <c r="J1656" t="str">
        <f>IF(H1656="","",IFERROR(VLOOKUP(H1656,Listas!$J$2:$K$1048576,2,FALSE),""))</f>
        <v/>
      </c>
      <c r="K1656" s="5" t="str">
        <f>IF(OR(I1656="",G1656=""),"",IF(G1656="Saída",-I1656,I1656))</f>
        <v/>
      </c>
      <c r="L1656" t="str">
        <f>IF(E1656="","",IFERROR(VLOOKUP(E1656,Listas!$A$2:$C$1048576,3,FALSE),""))</f>
        <v/>
      </c>
    </row>
    <row r="1657" spans="10:12" x14ac:dyDescent="0.25">
      <c r="J1657" t="str">
        <f>IF(H1657="","",IFERROR(VLOOKUP(H1657,Listas!$J$2:$K$1048576,2,FALSE),""))</f>
        <v/>
      </c>
      <c r="K1657" s="5" t="str">
        <f>IF(OR(I1657="",G1657=""),"",IF(G1657="Saída",-I1657,I1657))</f>
        <v/>
      </c>
      <c r="L1657" t="str">
        <f>IF(E1657="","",IFERROR(VLOOKUP(E1657,Listas!$A$2:$C$1048576,3,FALSE),""))</f>
        <v/>
      </c>
    </row>
    <row r="1658" spans="10:12" x14ac:dyDescent="0.25">
      <c r="J1658" t="str">
        <f>IF(H1658="","",IFERROR(VLOOKUP(H1658,Listas!$J$2:$K$1048576,2,FALSE),""))</f>
        <v/>
      </c>
      <c r="K1658" s="5" t="str">
        <f>IF(OR(I1658="",G1658=""),"",IF(G1658="Saída",-I1658,I1658))</f>
        <v/>
      </c>
      <c r="L1658" t="str">
        <f>IF(E1658="","",IFERROR(VLOOKUP(E1658,Listas!$A$2:$C$1048576,3,FALSE),""))</f>
        <v/>
      </c>
    </row>
    <row r="1659" spans="10:12" x14ac:dyDescent="0.25">
      <c r="J1659" t="str">
        <f>IF(H1659="","",IFERROR(VLOOKUP(H1659,Listas!$J$2:$K$1048576,2,FALSE),""))</f>
        <v/>
      </c>
      <c r="K1659" s="5" t="str">
        <f>IF(OR(I1659="",G1659=""),"",IF(G1659="Saída",-I1659,I1659))</f>
        <v/>
      </c>
      <c r="L1659" t="str">
        <f>IF(E1659="","",IFERROR(VLOOKUP(E1659,Listas!$A$2:$C$1048576,3,FALSE),""))</f>
        <v/>
      </c>
    </row>
    <row r="1660" spans="10:12" x14ac:dyDescent="0.25">
      <c r="J1660" t="str">
        <f>IF(H1660="","",IFERROR(VLOOKUP(H1660,Listas!$J$2:$K$1048576,2,FALSE),""))</f>
        <v/>
      </c>
      <c r="K1660" s="5" t="str">
        <f>IF(OR(I1660="",G1660=""),"",IF(G1660="Saída",-I1660,I1660))</f>
        <v/>
      </c>
      <c r="L1660" t="str">
        <f>IF(E1660="","",IFERROR(VLOOKUP(E1660,Listas!$A$2:$C$1048576,3,FALSE),""))</f>
        <v/>
      </c>
    </row>
    <row r="1661" spans="10:12" x14ac:dyDescent="0.25">
      <c r="J1661" t="str">
        <f>IF(H1661="","",IFERROR(VLOOKUP(H1661,Listas!$J$2:$K$1048576,2,FALSE),""))</f>
        <v/>
      </c>
      <c r="K1661" s="5" t="str">
        <f>IF(OR(I1661="",G1661=""),"",IF(G1661="Saída",-I1661,I1661))</f>
        <v/>
      </c>
      <c r="L1661" t="str">
        <f>IF(E1661="","",IFERROR(VLOOKUP(E1661,Listas!$A$2:$C$1048576,3,FALSE),""))</f>
        <v/>
      </c>
    </row>
    <row r="1662" spans="10:12" x14ac:dyDescent="0.25">
      <c r="J1662" t="str">
        <f>IF(H1662="","",IFERROR(VLOOKUP(H1662,Listas!$J$2:$K$1048576,2,FALSE),""))</f>
        <v/>
      </c>
      <c r="K1662" s="5" t="str">
        <f>IF(OR(I1662="",G1662=""),"",IF(G1662="Saída",-I1662,I1662))</f>
        <v/>
      </c>
      <c r="L1662" t="str">
        <f>IF(E1662="","",IFERROR(VLOOKUP(E1662,Listas!$A$2:$C$1048576,3,FALSE),""))</f>
        <v/>
      </c>
    </row>
    <row r="1663" spans="10:12" x14ac:dyDescent="0.25">
      <c r="J1663" t="str">
        <f>IF(H1663="","",IFERROR(VLOOKUP(H1663,Listas!$J$2:$K$1048576,2,FALSE),""))</f>
        <v/>
      </c>
      <c r="K1663" s="5" t="str">
        <f>IF(OR(I1663="",G1663=""),"",IF(G1663="Saída",-I1663,I1663))</f>
        <v/>
      </c>
      <c r="L1663" t="str">
        <f>IF(E1663="","",IFERROR(VLOOKUP(E1663,Listas!$A$2:$C$1048576,3,FALSE),""))</f>
        <v/>
      </c>
    </row>
    <row r="1664" spans="10:12" x14ac:dyDescent="0.25">
      <c r="J1664" t="str">
        <f>IF(H1664="","",IFERROR(VLOOKUP(H1664,Listas!$J$2:$K$1048576,2,FALSE),""))</f>
        <v/>
      </c>
      <c r="K1664" s="5" t="str">
        <f>IF(OR(I1664="",G1664=""),"",IF(G1664="Saída",-I1664,I1664))</f>
        <v/>
      </c>
      <c r="L1664" t="str">
        <f>IF(E1664="","",IFERROR(VLOOKUP(E1664,Listas!$A$2:$C$1048576,3,FALSE),""))</f>
        <v/>
      </c>
    </row>
    <row r="1665" spans="10:12" x14ac:dyDescent="0.25">
      <c r="J1665" t="str">
        <f>IF(H1665="","",IFERROR(VLOOKUP(H1665,Listas!$J$2:$K$1048576,2,FALSE),""))</f>
        <v/>
      </c>
      <c r="K1665" s="5" t="str">
        <f>IF(OR(I1665="",G1665=""),"",IF(G1665="Saída",-I1665,I1665))</f>
        <v/>
      </c>
      <c r="L1665" t="str">
        <f>IF(E1665="","",IFERROR(VLOOKUP(E1665,Listas!$A$2:$C$1048576,3,FALSE),""))</f>
        <v/>
      </c>
    </row>
    <row r="1666" spans="10:12" x14ac:dyDescent="0.25">
      <c r="J1666" t="str">
        <f>IF(H1666="","",IFERROR(VLOOKUP(H1666,Listas!$J$2:$K$1048576,2,FALSE),""))</f>
        <v/>
      </c>
      <c r="K1666" s="5" t="str">
        <f>IF(OR(I1666="",G1666=""),"",IF(G1666="Saída",-I1666,I1666))</f>
        <v/>
      </c>
      <c r="L1666" t="str">
        <f>IF(E1666="","",IFERROR(VLOOKUP(E1666,Listas!$A$2:$C$1048576,3,FALSE),""))</f>
        <v/>
      </c>
    </row>
    <row r="1667" spans="10:12" x14ac:dyDescent="0.25">
      <c r="J1667" t="str">
        <f>IF(H1667="","",IFERROR(VLOOKUP(H1667,Listas!$J$2:$K$1048576,2,FALSE),""))</f>
        <v/>
      </c>
      <c r="K1667" s="5" t="str">
        <f>IF(OR(I1667="",G1667=""),"",IF(G1667="Saída",-I1667,I1667))</f>
        <v/>
      </c>
      <c r="L1667" t="str">
        <f>IF(E1667="","",IFERROR(VLOOKUP(E1667,Listas!$A$2:$C$1048576,3,FALSE),""))</f>
        <v/>
      </c>
    </row>
    <row r="1668" spans="10:12" x14ac:dyDescent="0.25">
      <c r="J1668" t="str">
        <f>IF(H1668="","",IFERROR(VLOOKUP(H1668,Listas!$J$2:$K$1048576,2,FALSE),""))</f>
        <v/>
      </c>
      <c r="K1668" s="5" t="str">
        <f>IF(OR(I1668="",G1668=""),"",IF(G1668="Saída",-I1668,I1668))</f>
        <v/>
      </c>
      <c r="L1668" t="str">
        <f>IF(E1668="","",IFERROR(VLOOKUP(E1668,Listas!$A$2:$C$1048576,3,FALSE),""))</f>
        <v/>
      </c>
    </row>
    <row r="1669" spans="10:12" x14ac:dyDescent="0.25">
      <c r="J1669" t="str">
        <f>IF(H1669="","",IFERROR(VLOOKUP(H1669,Listas!$J$2:$K$1048576,2,FALSE),""))</f>
        <v/>
      </c>
      <c r="K1669" s="5" t="str">
        <f>IF(OR(I1669="",G1669=""),"",IF(G1669="Saída",-I1669,I1669))</f>
        <v/>
      </c>
      <c r="L1669" t="str">
        <f>IF(E1669="","",IFERROR(VLOOKUP(E1669,Listas!$A$2:$C$1048576,3,FALSE),""))</f>
        <v/>
      </c>
    </row>
    <row r="1670" spans="10:12" x14ac:dyDescent="0.25">
      <c r="J1670" t="str">
        <f>IF(H1670="","",IFERROR(VLOOKUP(H1670,Listas!$J$2:$K$1048576,2,FALSE),""))</f>
        <v/>
      </c>
      <c r="K1670" s="5" t="str">
        <f>IF(OR(I1670="",G1670=""),"",IF(G1670="Saída",-I1670,I1670))</f>
        <v/>
      </c>
      <c r="L1670" t="str">
        <f>IF(E1670="","",IFERROR(VLOOKUP(E1670,Listas!$A$2:$C$1048576,3,FALSE),""))</f>
        <v/>
      </c>
    </row>
    <row r="1671" spans="10:12" x14ac:dyDescent="0.25">
      <c r="J1671" t="str">
        <f>IF(H1671="","",IFERROR(VLOOKUP(H1671,Listas!$J$2:$K$1048576,2,FALSE),""))</f>
        <v/>
      </c>
      <c r="K1671" s="5" t="str">
        <f>IF(OR(I1671="",G1671=""),"",IF(G1671="Saída",-I1671,I1671))</f>
        <v/>
      </c>
      <c r="L1671" t="str">
        <f>IF(E1671="","",IFERROR(VLOOKUP(E1671,Listas!$A$2:$C$1048576,3,FALSE),""))</f>
        <v/>
      </c>
    </row>
    <row r="1672" spans="10:12" x14ac:dyDescent="0.25">
      <c r="J1672" t="str">
        <f>IF(H1672="","",IFERROR(VLOOKUP(H1672,Listas!$J$2:$K$1048576,2,FALSE),""))</f>
        <v/>
      </c>
      <c r="K1672" s="5" t="str">
        <f>IF(OR(I1672="",G1672=""),"",IF(G1672="Saída",-I1672,I1672))</f>
        <v/>
      </c>
      <c r="L1672" t="str">
        <f>IF(E1672="","",IFERROR(VLOOKUP(E1672,Listas!$A$2:$C$1048576,3,FALSE),""))</f>
        <v/>
      </c>
    </row>
    <row r="1673" spans="10:12" x14ac:dyDescent="0.25">
      <c r="J1673" t="str">
        <f>IF(H1673="","",IFERROR(VLOOKUP(H1673,Listas!$J$2:$K$1048576,2,FALSE),""))</f>
        <v/>
      </c>
      <c r="K1673" s="5" t="str">
        <f>IF(OR(I1673="",G1673=""),"",IF(G1673="Saída",-I1673,I1673))</f>
        <v/>
      </c>
      <c r="L1673" t="str">
        <f>IF(E1673="","",IFERROR(VLOOKUP(E1673,Listas!$A$2:$C$1048576,3,FALSE),""))</f>
        <v/>
      </c>
    </row>
    <row r="1674" spans="10:12" x14ac:dyDescent="0.25">
      <c r="J1674" t="str">
        <f>IF(H1674="","",IFERROR(VLOOKUP(H1674,Listas!$J$2:$K$1048576,2,FALSE),""))</f>
        <v/>
      </c>
      <c r="K1674" s="5" t="str">
        <f>IF(OR(I1674="",G1674=""),"",IF(G1674="Saída",-I1674,I1674))</f>
        <v/>
      </c>
      <c r="L1674" t="str">
        <f>IF(E1674="","",IFERROR(VLOOKUP(E1674,Listas!$A$2:$C$1048576,3,FALSE),""))</f>
        <v/>
      </c>
    </row>
    <row r="1675" spans="10:12" x14ac:dyDescent="0.25">
      <c r="J1675" t="str">
        <f>IF(H1675="","",IFERROR(VLOOKUP(H1675,Listas!$J$2:$K$1048576,2,FALSE),""))</f>
        <v/>
      </c>
      <c r="K1675" s="5" t="str">
        <f>IF(OR(I1675="",G1675=""),"",IF(G1675="Saída",-I1675,I1675))</f>
        <v/>
      </c>
      <c r="L1675" t="str">
        <f>IF(E1675="","",IFERROR(VLOOKUP(E1675,Listas!$A$2:$C$1048576,3,FALSE),""))</f>
        <v/>
      </c>
    </row>
    <row r="1676" spans="10:12" x14ac:dyDescent="0.25">
      <c r="J1676" t="str">
        <f>IF(H1676="","",IFERROR(VLOOKUP(H1676,Listas!$J$2:$K$1048576,2,FALSE),""))</f>
        <v/>
      </c>
      <c r="K1676" s="5" t="str">
        <f>IF(OR(I1676="",G1676=""),"",IF(G1676="Saída",-I1676,I1676))</f>
        <v/>
      </c>
      <c r="L1676" t="str">
        <f>IF(E1676="","",IFERROR(VLOOKUP(E1676,Listas!$A$2:$C$1048576,3,FALSE),""))</f>
        <v/>
      </c>
    </row>
    <row r="1677" spans="10:12" x14ac:dyDescent="0.25">
      <c r="J1677" t="str">
        <f>IF(H1677="","",IFERROR(VLOOKUP(H1677,Listas!$J$2:$K$1048576,2,FALSE),""))</f>
        <v/>
      </c>
      <c r="K1677" s="5" t="str">
        <f>IF(OR(I1677="",G1677=""),"",IF(G1677="Saída",-I1677,I1677))</f>
        <v/>
      </c>
      <c r="L1677" t="str">
        <f>IF(E1677="","",IFERROR(VLOOKUP(E1677,Listas!$A$2:$C$1048576,3,FALSE),""))</f>
        <v/>
      </c>
    </row>
    <row r="1678" spans="10:12" x14ac:dyDescent="0.25">
      <c r="J1678" t="str">
        <f>IF(H1678="","",IFERROR(VLOOKUP(H1678,Listas!$J$2:$K$1048576,2,FALSE),""))</f>
        <v/>
      </c>
      <c r="K1678" s="5" t="str">
        <f>IF(OR(I1678="",G1678=""),"",IF(G1678="Saída",-I1678,I1678))</f>
        <v/>
      </c>
      <c r="L1678" t="str">
        <f>IF(E1678="","",IFERROR(VLOOKUP(E1678,Listas!$A$2:$C$1048576,3,FALSE),""))</f>
        <v/>
      </c>
    </row>
    <row r="1679" spans="10:12" x14ac:dyDescent="0.25">
      <c r="J1679" t="str">
        <f>IF(H1679="","",IFERROR(VLOOKUP(H1679,Listas!$J$2:$K$1048576,2,FALSE),""))</f>
        <v/>
      </c>
      <c r="K1679" s="5" t="str">
        <f>IF(OR(I1679="",G1679=""),"",IF(G1679="Saída",-I1679,I1679))</f>
        <v/>
      </c>
      <c r="L1679" t="str">
        <f>IF(E1679="","",IFERROR(VLOOKUP(E1679,Listas!$A$2:$C$1048576,3,FALSE),""))</f>
        <v/>
      </c>
    </row>
    <row r="1680" spans="10:12" x14ac:dyDescent="0.25">
      <c r="J1680" t="str">
        <f>IF(H1680="","",IFERROR(VLOOKUP(H1680,Listas!$J$2:$K$1048576,2,FALSE),""))</f>
        <v/>
      </c>
      <c r="K1680" s="5" t="str">
        <f>IF(OR(I1680="",G1680=""),"",IF(G1680="Saída",-I1680,I1680))</f>
        <v/>
      </c>
      <c r="L1680" t="str">
        <f>IF(E1680="","",IFERROR(VLOOKUP(E1680,Listas!$A$2:$C$1048576,3,FALSE),""))</f>
        <v/>
      </c>
    </row>
    <row r="1681" spans="10:12" x14ac:dyDescent="0.25">
      <c r="J1681" t="str">
        <f>IF(H1681="","",IFERROR(VLOOKUP(H1681,Listas!$J$2:$K$1048576,2,FALSE),""))</f>
        <v/>
      </c>
      <c r="K1681" s="5" t="str">
        <f>IF(OR(I1681="",G1681=""),"",IF(G1681="Saída",-I1681,I1681))</f>
        <v/>
      </c>
      <c r="L1681" t="str">
        <f>IF(E1681="","",IFERROR(VLOOKUP(E1681,Listas!$A$2:$C$1048576,3,FALSE),""))</f>
        <v/>
      </c>
    </row>
    <row r="1682" spans="10:12" x14ac:dyDescent="0.25">
      <c r="J1682" t="str">
        <f>IF(H1682="","",IFERROR(VLOOKUP(H1682,Listas!$J$2:$K$1048576,2,FALSE),""))</f>
        <v/>
      </c>
      <c r="K1682" s="5" t="str">
        <f>IF(OR(I1682="",G1682=""),"",IF(G1682="Saída",-I1682,I1682))</f>
        <v/>
      </c>
      <c r="L1682" t="str">
        <f>IF(E1682="","",IFERROR(VLOOKUP(E1682,Listas!$A$2:$C$1048576,3,FALSE),""))</f>
        <v/>
      </c>
    </row>
    <row r="1683" spans="10:12" x14ac:dyDescent="0.25">
      <c r="J1683" t="str">
        <f>IF(H1683="","",IFERROR(VLOOKUP(H1683,Listas!$J$2:$K$1048576,2,FALSE),""))</f>
        <v/>
      </c>
      <c r="K1683" s="5" t="str">
        <f>IF(OR(I1683="",G1683=""),"",IF(G1683="Saída",-I1683,I1683))</f>
        <v/>
      </c>
      <c r="L1683" t="str">
        <f>IF(E1683="","",IFERROR(VLOOKUP(E1683,Listas!$A$2:$C$1048576,3,FALSE),""))</f>
        <v/>
      </c>
    </row>
    <row r="1684" spans="10:12" x14ac:dyDescent="0.25">
      <c r="J1684" t="str">
        <f>IF(H1684="","",IFERROR(VLOOKUP(H1684,Listas!$J$2:$K$1048576,2,FALSE),""))</f>
        <v/>
      </c>
      <c r="K1684" s="5" t="str">
        <f>IF(OR(I1684="",G1684=""),"",IF(G1684="Saída",-I1684,I1684))</f>
        <v/>
      </c>
      <c r="L1684" t="str">
        <f>IF(E1684="","",IFERROR(VLOOKUP(E1684,Listas!$A$2:$C$1048576,3,FALSE),""))</f>
        <v/>
      </c>
    </row>
    <row r="1685" spans="10:12" x14ac:dyDescent="0.25">
      <c r="J1685" t="str">
        <f>IF(H1685="","",IFERROR(VLOOKUP(H1685,Listas!$J$2:$K$1048576,2,FALSE),""))</f>
        <v/>
      </c>
      <c r="K1685" s="5" t="str">
        <f>IF(OR(I1685="",G1685=""),"",IF(G1685="Saída",-I1685,I1685))</f>
        <v/>
      </c>
      <c r="L1685" t="str">
        <f>IF(E1685="","",IFERROR(VLOOKUP(E1685,Listas!$A$2:$C$1048576,3,FALSE),""))</f>
        <v/>
      </c>
    </row>
    <row r="1686" spans="10:12" x14ac:dyDescent="0.25">
      <c r="J1686" t="str">
        <f>IF(H1686="","",IFERROR(VLOOKUP(H1686,Listas!$J$2:$K$1048576,2,FALSE),""))</f>
        <v/>
      </c>
      <c r="K1686" s="5" t="str">
        <f>IF(OR(I1686="",G1686=""),"",IF(G1686="Saída",-I1686,I1686))</f>
        <v/>
      </c>
      <c r="L1686" t="str">
        <f>IF(E1686="","",IFERROR(VLOOKUP(E1686,Listas!$A$2:$C$1048576,3,FALSE),""))</f>
        <v/>
      </c>
    </row>
    <row r="1687" spans="10:12" x14ac:dyDescent="0.25">
      <c r="J1687" t="str">
        <f>IF(H1687="","",IFERROR(VLOOKUP(H1687,Listas!$J$2:$K$1048576,2,FALSE),""))</f>
        <v/>
      </c>
      <c r="K1687" s="5" t="str">
        <f>IF(OR(I1687="",G1687=""),"",IF(G1687="Saída",-I1687,I1687))</f>
        <v/>
      </c>
      <c r="L1687" t="str">
        <f>IF(E1687="","",IFERROR(VLOOKUP(E1687,Listas!$A$2:$C$1048576,3,FALSE),""))</f>
        <v/>
      </c>
    </row>
    <row r="1688" spans="10:12" x14ac:dyDescent="0.25">
      <c r="J1688" t="str">
        <f>IF(H1688="","",IFERROR(VLOOKUP(H1688,Listas!$J$2:$K$1048576,2,FALSE),""))</f>
        <v/>
      </c>
      <c r="K1688" s="5" t="str">
        <f>IF(OR(I1688="",G1688=""),"",IF(G1688="Saída",-I1688,I1688))</f>
        <v/>
      </c>
      <c r="L1688" t="str">
        <f>IF(E1688="","",IFERROR(VLOOKUP(E1688,Listas!$A$2:$C$1048576,3,FALSE),""))</f>
        <v/>
      </c>
    </row>
    <row r="1689" spans="10:12" x14ac:dyDescent="0.25">
      <c r="J1689" t="str">
        <f>IF(H1689="","",IFERROR(VLOOKUP(H1689,Listas!$J$2:$K$1048576,2,FALSE),""))</f>
        <v/>
      </c>
      <c r="K1689" s="5" t="str">
        <f>IF(OR(I1689="",G1689=""),"",IF(G1689="Saída",-I1689,I1689))</f>
        <v/>
      </c>
      <c r="L1689" t="str">
        <f>IF(E1689="","",IFERROR(VLOOKUP(E1689,Listas!$A$2:$C$1048576,3,FALSE),""))</f>
        <v/>
      </c>
    </row>
    <row r="1690" spans="10:12" x14ac:dyDescent="0.25">
      <c r="J1690" t="str">
        <f>IF(H1690="","",IFERROR(VLOOKUP(H1690,Listas!$J$2:$K$1048576,2,FALSE),""))</f>
        <v/>
      </c>
      <c r="K1690" s="5" t="str">
        <f>IF(OR(I1690="",G1690=""),"",IF(G1690="Saída",-I1690,I1690))</f>
        <v/>
      </c>
      <c r="L1690" t="str">
        <f>IF(E1690="","",IFERROR(VLOOKUP(E1690,Listas!$A$2:$C$1048576,3,FALSE),""))</f>
        <v/>
      </c>
    </row>
    <row r="1691" spans="10:12" x14ac:dyDescent="0.25">
      <c r="J1691" t="str">
        <f>IF(H1691="","",IFERROR(VLOOKUP(H1691,Listas!$J$2:$K$1048576,2,FALSE),""))</f>
        <v/>
      </c>
      <c r="K1691" s="5" t="str">
        <f>IF(OR(I1691="",G1691=""),"",IF(G1691="Saída",-I1691,I1691))</f>
        <v/>
      </c>
      <c r="L1691" t="str">
        <f>IF(E1691="","",IFERROR(VLOOKUP(E1691,Listas!$A$2:$C$1048576,3,FALSE),""))</f>
        <v/>
      </c>
    </row>
    <row r="1692" spans="10:12" x14ac:dyDescent="0.25">
      <c r="J1692" t="str">
        <f>IF(H1692="","",IFERROR(VLOOKUP(H1692,Listas!$J$2:$K$1048576,2,FALSE),""))</f>
        <v/>
      </c>
      <c r="K1692" s="5" t="str">
        <f>IF(OR(I1692="",G1692=""),"",IF(G1692="Saída",-I1692,I1692))</f>
        <v/>
      </c>
      <c r="L1692" t="str">
        <f>IF(E1692="","",IFERROR(VLOOKUP(E1692,Listas!$A$2:$C$1048576,3,FALSE),""))</f>
        <v/>
      </c>
    </row>
    <row r="1693" spans="10:12" x14ac:dyDescent="0.25">
      <c r="J1693" t="str">
        <f>IF(H1693="","",IFERROR(VLOOKUP(H1693,Listas!$J$2:$K$1048576,2,FALSE),""))</f>
        <v/>
      </c>
      <c r="K1693" s="5" t="str">
        <f>IF(OR(I1693="",G1693=""),"",IF(G1693="Saída",-I1693,I1693))</f>
        <v/>
      </c>
      <c r="L1693" t="str">
        <f>IF(E1693="","",IFERROR(VLOOKUP(E1693,Listas!$A$2:$C$1048576,3,FALSE),""))</f>
        <v/>
      </c>
    </row>
    <row r="1694" spans="10:12" x14ac:dyDescent="0.25">
      <c r="J1694" t="str">
        <f>IF(H1694="","",IFERROR(VLOOKUP(H1694,Listas!$J$2:$K$1048576,2,FALSE),""))</f>
        <v/>
      </c>
      <c r="K1694" s="5" t="str">
        <f>IF(OR(I1694="",G1694=""),"",IF(G1694="Saída",-I1694,I1694))</f>
        <v/>
      </c>
      <c r="L1694" t="str">
        <f>IF(E1694="","",IFERROR(VLOOKUP(E1694,Listas!$A$2:$C$1048576,3,FALSE),""))</f>
        <v/>
      </c>
    </row>
    <row r="1695" spans="10:12" x14ac:dyDescent="0.25">
      <c r="J1695" t="str">
        <f>IF(H1695="","",IFERROR(VLOOKUP(H1695,Listas!$J$2:$K$1048576,2,FALSE),""))</f>
        <v/>
      </c>
      <c r="K1695" s="5" t="str">
        <f>IF(OR(I1695="",G1695=""),"",IF(G1695="Saída",-I1695,I1695))</f>
        <v/>
      </c>
      <c r="L1695" t="str">
        <f>IF(E1695="","",IFERROR(VLOOKUP(E1695,Listas!$A$2:$C$1048576,3,FALSE),""))</f>
        <v/>
      </c>
    </row>
    <row r="1696" spans="10:12" x14ac:dyDescent="0.25">
      <c r="J1696" t="str">
        <f>IF(H1696="","",IFERROR(VLOOKUP(H1696,Listas!$J$2:$K$1048576,2,FALSE),""))</f>
        <v/>
      </c>
      <c r="K1696" s="5" t="str">
        <f>IF(OR(I1696="",G1696=""),"",IF(G1696="Saída",-I1696,I1696))</f>
        <v/>
      </c>
      <c r="L1696" t="str">
        <f>IF(E1696="","",IFERROR(VLOOKUP(E1696,Listas!$A$2:$C$1048576,3,FALSE),""))</f>
        <v/>
      </c>
    </row>
    <row r="1697" spans="10:12" x14ac:dyDescent="0.25">
      <c r="J1697" t="str">
        <f>IF(H1697="","",IFERROR(VLOOKUP(H1697,Listas!$J$2:$K$1048576,2,FALSE),""))</f>
        <v/>
      </c>
      <c r="K1697" s="5" t="str">
        <f>IF(OR(I1697="",G1697=""),"",IF(G1697="Saída",-I1697,I1697))</f>
        <v/>
      </c>
      <c r="L1697" t="str">
        <f>IF(E1697="","",IFERROR(VLOOKUP(E1697,Listas!$A$2:$C$1048576,3,FALSE),""))</f>
        <v/>
      </c>
    </row>
    <row r="1698" spans="10:12" x14ac:dyDescent="0.25">
      <c r="J1698" t="str">
        <f>IF(H1698="","",IFERROR(VLOOKUP(H1698,Listas!$J$2:$K$1048576,2,FALSE),""))</f>
        <v/>
      </c>
      <c r="K1698" s="5" t="str">
        <f>IF(OR(I1698="",G1698=""),"",IF(G1698="Saída",-I1698,I1698))</f>
        <v/>
      </c>
      <c r="L1698" t="str">
        <f>IF(E1698="","",IFERROR(VLOOKUP(E1698,Listas!$A$2:$C$1048576,3,FALSE),""))</f>
        <v/>
      </c>
    </row>
    <row r="1699" spans="10:12" x14ac:dyDescent="0.25">
      <c r="J1699" t="str">
        <f>IF(H1699="","",IFERROR(VLOOKUP(H1699,Listas!$J$2:$K$1048576,2,FALSE),""))</f>
        <v/>
      </c>
      <c r="K1699" s="5" t="str">
        <f>IF(OR(I1699="",G1699=""),"",IF(G1699="Saída",-I1699,I1699))</f>
        <v/>
      </c>
      <c r="L1699" t="str">
        <f>IF(E1699="","",IFERROR(VLOOKUP(E1699,Listas!$A$2:$C$1048576,3,FALSE),""))</f>
        <v/>
      </c>
    </row>
    <row r="1700" spans="10:12" x14ac:dyDescent="0.25">
      <c r="J1700" t="str">
        <f>IF(H1700="","",IFERROR(VLOOKUP(H1700,Listas!$J$2:$K$1048576,2,FALSE),""))</f>
        <v/>
      </c>
      <c r="K1700" s="5" t="str">
        <f>IF(OR(I1700="",G1700=""),"",IF(G1700="Saída",-I1700,I1700))</f>
        <v/>
      </c>
      <c r="L1700" t="str">
        <f>IF(E1700="","",IFERROR(VLOOKUP(E1700,Listas!$A$2:$C$1048576,3,FALSE),""))</f>
        <v/>
      </c>
    </row>
    <row r="1701" spans="10:12" x14ac:dyDescent="0.25">
      <c r="J1701" t="str">
        <f>IF(H1701="","",IFERROR(VLOOKUP(H1701,Listas!$J$2:$K$1048576,2,FALSE),""))</f>
        <v/>
      </c>
      <c r="K1701" s="5" t="str">
        <f>IF(OR(I1701="",G1701=""),"",IF(G1701="Saída",-I1701,I1701))</f>
        <v/>
      </c>
      <c r="L1701" t="str">
        <f>IF(E1701="","",IFERROR(VLOOKUP(E1701,Listas!$A$2:$C$1048576,3,FALSE),""))</f>
        <v/>
      </c>
    </row>
    <row r="1702" spans="10:12" x14ac:dyDescent="0.25">
      <c r="J1702" t="str">
        <f>IF(H1702="","",IFERROR(VLOOKUP(H1702,Listas!$J$2:$K$1048576,2,FALSE),""))</f>
        <v/>
      </c>
      <c r="K1702" s="5" t="str">
        <f>IF(OR(I1702="",G1702=""),"",IF(G1702="Saída",-I1702,I1702))</f>
        <v/>
      </c>
      <c r="L1702" t="str">
        <f>IF(E1702="","",IFERROR(VLOOKUP(E1702,Listas!$A$2:$C$1048576,3,FALSE),""))</f>
        <v/>
      </c>
    </row>
    <row r="1703" spans="10:12" x14ac:dyDescent="0.25">
      <c r="J1703" t="str">
        <f>IF(H1703="","",IFERROR(VLOOKUP(H1703,Listas!$J$2:$K$1048576,2,FALSE),""))</f>
        <v/>
      </c>
      <c r="K1703" s="5" t="str">
        <f>IF(OR(I1703="",G1703=""),"",IF(G1703="Saída",-I1703,I1703))</f>
        <v/>
      </c>
      <c r="L1703" t="str">
        <f>IF(E1703="","",IFERROR(VLOOKUP(E1703,Listas!$A$2:$C$1048576,3,FALSE),""))</f>
        <v/>
      </c>
    </row>
    <row r="1704" spans="10:12" x14ac:dyDescent="0.25">
      <c r="J1704" t="str">
        <f>IF(H1704="","",IFERROR(VLOOKUP(H1704,Listas!$J$2:$K$1048576,2,FALSE),""))</f>
        <v/>
      </c>
      <c r="K1704" s="5" t="str">
        <f>IF(OR(I1704="",G1704=""),"",IF(G1704="Saída",-I1704,I1704))</f>
        <v/>
      </c>
      <c r="L1704" t="str">
        <f>IF(E1704="","",IFERROR(VLOOKUP(E1704,Listas!$A$2:$C$1048576,3,FALSE),""))</f>
        <v/>
      </c>
    </row>
    <row r="1705" spans="10:12" x14ac:dyDescent="0.25">
      <c r="J1705" t="str">
        <f>IF(H1705="","",IFERROR(VLOOKUP(H1705,Listas!$J$2:$K$1048576,2,FALSE),""))</f>
        <v/>
      </c>
      <c r="K1705" s="5" t="str">
        <f>IF(OR(I1705="",G1705=""),"",IF(G1705="Saída",-I1705,I1705))</f>
        <v/>
      </c>
      <c r="L1705" t="str">
        <f>IF(E1705="","",IFERROR(VLOOKUP(E1705,Listas!$A$2:$C$1048576,3,FALSE),""))</f>
        <v/>
      </c>
    </row>
    <row r="1706" spans="10:12" x14ac:dyDescent="0.25">
      <c r="J1706" t="str">
        <f>IF(H1706="","",IFERROR(VLOOKUP(H1706,Listas!$J$2:$K$1048576,2,FALSE),""))</f>
        <v/>
      </c>
      <c r="K1706" s="5" t="str">
        <f>IF(OR(I1706="",G1706=""),"",IF(G1706="Saída",-I1706,I1706))</f>
        <v/>
      </c>
      <c r="L1706" t="str">
        <f>IF(E1706="","",IFERROR(VLOOKUP(E1706,Listas!$A$2:$C$1048576,3,FALSE),""))</f>
        <v/>
      </c>
    </row>
    <row r="1707" spans="10:12" x14ac:dyDescent="0.25">
      <c r="J1707" t="str">
        <f>IF(H1707="","",IFERROR(VLOOKUP(H1707,Listas!$J$2:$K$1048576,2,FALSE),""))</f>
        <v/>
      </c>
      <c r="K1707" s="5" t="str">
        <f>IF(OR(I1707="",G1707=""),"",IF(G1707="Saída",-I1707,I1707))</f>
        <v/>
      </c>
      <c r="L1707" t="str">
        <f>IF(E1707="","",IFERROR(VLOOKUP(E1707,Listas!$A$2:$C$1048576,3,FALSE),""))</f>
        <v/>
      </c>
    </row>
    <row r="1708" spans="10:12" x14ac:dyDescent="0.25">
      <c r="J1708" t="str">
        <f>IF(H1708="","",IFERROR(VLOOKUP(H1708,Listas!$J$2:$K$1048576,2,FALSE),""))</f>
        <v/>
      </c>
      <c r="K1708" s="5" t="str">
        <f>IF(OR(I1708="",G1708=""),"",IF(G1708="Saída",-I1708,I1708))</f>
        <v/>
      </c>
      <c r="L1708" t="str">
        <f>IF(E1708="","",IFERROR(VLOOKUP(E1708,Listas!$A$2:$C$1048576,3,FALSE),""))</f>
        <v/>
      </c>
    </row>
    <row r="1709" spans="10:12" x14ac:dyDescent="0.25">
      <c r="J1709" t="str">
        <f>IF(H1709="","",IFERROR(VLOOKUP(H1709,Listas!$J$2:$K$1048576,2,FALSE),""))</f>
        <v/>
      </c>
      <c r="K1709" s="5" t="str">
        <f>IF(OR(I1709="",G1709=""),"",IF(G1709="Saída",-I1709,I1709))</f>
        <v/>
      </c>
      <c r="L1709" t="str">
        <f>IF(E1709="","",IFERROR(VLOOKUP(E1709,Listas!$A$2:$C$1048576,3,FALSE),""))</f>
        <v/>
      </c>
    </row>
    <row r="1710" spans="10:12" x14ac:dyDescent="0.25">
      <c r="J1710" t="str">
        <f>IF(H1710="","",IFERROR(VLOOKUP(H1710,Listas!$J$2:$K$1048576,2,FALSE),""))</f>
        <v/>
      </c>
      <c r="K1710" s="5" t="str">
        <f>IF(OR(I1710="",G1710=""),"",IF(G1710="Saída",-I1710,I1710))</f>
        <v/>
      </c>
      <c r="L1710" t="str">
        <f>IF(E1710="","",IFERROR(VLOOKUP(E1710,Listas!$A$2:$C$1048576,3,FALSE),""))</f>
        <v/>
      </c>
    </row>
    <row r="1711" spans="10:12" x14ac:dyDescent="0.25">
      <c r="J1711" t="str">
        <f>IF(H1711="","",IFERROR(VLOOKUP(H1711,Listas!$J$2:$K$1048576,2,FALSE),""))</f>
        <v/>
      </c>
      <c r="K1711" s="5" t="str">
        <f>IF(OR(I1711="",G1711=""),"",IF(G1711="Saída",-I1711,I1711))</f>
        <v/>
      </c>
      <c r="L1711" t="str">
        <f>IF(E1711="","",IFERROR(VLOOKUP(E1711,Listas!$A$2:$C$1048576,3,FALSE),""))</f>
        <v/>
      </c>
    </row>
    <row r="1712" spans="10:12" x14ac:dyDescent="0.25">
      <c r="J1712" t="str">
        <f>IF(H1712="","",IFERROR(VLOOKUP(H1712,Listas!$J$2:$K$1048576,2,FALSE),""))</f>
        <v/>
      </c>
      <c r="K1712" s="5" t="str">
        <f>IF(OR(I1712="",G1712=""),"",IF(G1712="Saída",-I1712,I1712))</f>
        <v/>
      </c>
      <c r="L1712" t="str">
        <f>IF(E1712="","",IFERROR(VLOOKUP(E1712,Listas!$A$2:$C$1048576,3,FALSE),""))</f>
        <v/>
      </c>
    </row>
    <row r="1713" spans="10:12" x14ac:dyDescent="0.25">
      <c r="J1713" t="str">
        <f>IF(H1713="","",IFERROR(VLOOKUP(H1713,Listas!$J$2:$K$1048576,2,FALSE),""))</f>
        <v/>
      </c>
      <c r="K1713" s="5" t="str">
        <f>IF(OR(I1713="",G1713=""),"",IF(G1713="Saída",-I1713,I1713))</f>
        <v/>
      </c>
      <c r="L1713" t="str">
        <f>IF(E1713="","",IFERROR(VLOOKUP(E1713,Listas!$A$2:$C$1048576,3,FALSE),""))</f>
        <v/>
      </c>
    </row>
    <row r="1714" spans="10:12" x14ac:dyDescent="0.25">
      <c r="J1714" t="str">
        <f>IF(H1714="","",IFERROR(VLOOKUP(H1714,Listas!$J$2:$K$1048576,2,FALSE),""))</f>
        <v/>
      </c>
      <c r="K1714" s="5" t="str">
        <f>IF(OR(I1714="",G1714=""),"",IF(G1714="Saída",-I1714,I1714))</f>
        <v/>
      </c>
      <c r="L1714" t="str">
        <f>IF(E1714="","",IFERROR(VLOOKUP(E1714,Listas!$A$2:$C$1048576,3,FALSE),""))</f>
        <v/>
      </c>
    </row>
    <row r="1715" spans="10:12" x14ac:dyDescent="0.25">
      <c r="J1715" t="str">
        <f>IF(H1715="","",IFERROR(VLOOKUP(H1715,Listas!$J$2:$K$1048576,2,FALSE),""))</f>
        <v/>
      </c>
      <c r="K1715" s="5" t="str">
        <f>IF(OR(I1715="",G1715=""),"",IF(G1715="Saída",-I1715,I1715))</f>
        <v/>
      </c>
      <c r="L1715" t="str">
        <f>IF(E1715="","",IFERROR(VLOOKUP(E1715,Listas!$A$2:$C$1048576,3,FALSE),""))</f>
        <v/>
      </c>
    </row>
    <row r="1716" spans="10:12" x14ac:dyDescent="0.25">
      <c r="J1716" t="str">
        <f>IF(H1716="","",IFERROR(VLOOKUP(H1716,Listas!$J$2:$K$1048576,2,FALSE),""))</f>
        <v/>
      </c>
      <c r="K1716" s="5" t="str">
        <f>IF(OR(I1716="",G1716=""),"",IF(G1716="Saída",-I1716,I1716))</f>
        <v/>
      </c>
      <c r="L1716" t="str">
        <f>IF(E1716="","",IFERROR(VLOOKUP(E1716,Listas!$A$2:$C$1048576,3,FALSE),""))</f>
        <v/>
      </c>
    </row>
    <row r="1717" spans="10:12" x14ac:dyDescent="0.25">
      <c r="J1717" t="str">
        <f>IF(H1717="","",IFERROR(VLOOKUP(H1717,Listas!$J$2:$K$1048576,2,FALSE),""))</f>
        <v/>
      </c>
      <c r="K1717" s="5" t="str">
        <f>IF(OR(I1717="",G1717=""),"",IF(G1717="Saída",-I1717,I1717))</f>
        <v/>
      </c>
      <c r="L1717" t="str">
        <f>IF(E1717="","",IFERROR(VLOOKUP(E1717,Listas!$A$2:$C$1048576,3,FALSE),""))</f>
        <v/>
      </c>
    </row>
    <row r="1718" spans="10:12" x14ac:dyDescent="0.25">
      <c r="J1718" t="str">
        <f>IF(H1718="","",IFERROR(VLOOKUP(H1718,Listas!$J$2:$K$1048576,2,FALSE),""))</f>
        <v/>
      </c>
      <c r="K1718" s="5" t="str">
        <f>IF(OR(I1718="",G1718=""),"",IF(G1718="Saída",-I1718,I1718))</f>
        <v/>
      </c>
      <c r="L1718" t="str">
        <f>IF(E1718="","",IFERROR(VLOOKUP(E1718,Listas!$A$2:$C$1048576,3,FALSE),""))</f>
        <v/>
      </c>
    </row>
    <row r="1719" spans="10:12" x14ac:dyDescent="0.25">
      <c r="J1719" t="str">
        <f>IF(H1719="","",IFERROR(VLOOKUP(H1719,Listas!$J$2:$K$1048576,2,FALSE),""))</f>
        <v/>
      </c>
      <c r="K1719" s="5" t="str">
        <f>IF(OR(I1719="",G1719=""),"",IF(G1719="Saída",-I1719,I1719))</f>
        <v/>
      </c>
      <c r="L1719" t="str">
        <f>IF(E1719="","",IFERROR(VLOOKUP(E1719,Listas!$A$2:$C$1048576,3,FALSE),""))</f>
        <v/>
      </c>
    </row>
    <row r="1720" spans="10:12" x14ac:dyDescent="0.25">
      <c r="J1720" t="str">
        <f>IF(H1720="","",IFERROR(VLOOKUP(H1720,Listas!$J$2:$K$1048576,2,FALSE),""))</f>
        <v/>
      </c>
      <c r="K1720" s="5" t="str">
        <f>IF(OR(I1720="",G1720=""),"",IF(G1720="Saída",-I1720,I1720))</f>
        <v/>
      </c>
      <c r="L1720" t="str">
        <f>IF(E1720="","",IFERROR(VLOOKUP(E1720,Listas!$A$2:$C$1048576,3,FALSE),""))</f>
        <v/>
      </c>
    </row>
    <row r="1721" spans="10:12" x14ac:dyDescent="0.25">
      <c r="J1721" t="str">
        <f>IF(H1721="","",IFERROR(VLOOKUP(H1721,Listas!$J$2:$K$1048576,2,FALSE),""))</f>
        <v/>
      </c>
      <c r="K1721" s="5" t="str">
        <f>IF(OR(I1721="",G1721=""),"",IF(G1721="Saída",-I1721,I1721))</f>
        <v/>
      </c>
      <c r="L1721" t="str">
        <f>IF(E1721="","",IFERROR(VLOOKUP(E1721,Listas!$A$2:$C$1048576,3,FALSE),""))</f>
        <v/>
      </c>
    </row>
    <row r="1722" spans="10:12" x14ac:dyDescent="0.25">
      <c r="J1722" t="str">
        <f>IF(H1722="","",IFERROR(VLOOKUP(H1722,Listas!$J$2:$K$1048576,2,FALSE),""))</f>
        <v/>
      </c>
      <c r="K1722" s="5" t="str">
        <f>IF(OR(I1722="",G1722=""),"",IF(G1722="Saída",-I1722,I1722))</f>
        <v/>
      </c>
      <c r="L1722" t="str">
        <f>IF(E1722="","",IFERROR(VLOOKUP(E1722,Listas!$A$2:$C$1048576,3,FALSE),""))</f>
        <v/>
      </c>
    </row>
    <row r="1723" spans="10:12" x14ac:dyDescent="0.25">
      <c r="J1723" t="str">
        <f>IF(H1723="","",IFERROR(VLOOKUP(H1723,Listas!$J$2:$K$1048576,2,FALSE),""))</f>
        <v/>
      </c>
      <c r="K1723" s="5" t="str">
        <f>IF(OR(I1723="",G1723=""),"",IF(G1723="Saída",-I1723,I1723))</f>
        <v/>
      </c>
      <c r="L1723" t="str">
        <f>IF(E1723="","",IFERROR(VLOOKUP(E1723,Listas!$A$2:$C$1048576,3,FALSE),""))</f>
        <v/>
      </c>
    </row>
    <row r="1724" spans="10:12" x14ac:dyDescent="0.25">
      <c r="J1724" t="str">
        <f>IF(H1724="","",IFERROR(VLOOKUP(H1724,Listas!$J$2:$K$1048576,2,FALSE),""))</f>
        <v/>
      </c>
      <c r="K1724" s="5" t="str">
        <f>IF(OR(I1724="",G1724=""),"",IF(G1724="Saída",-I1724,I1724))</f>
        <v/>
      </c>
      <c r="L1724" t="str">
        <f>IF(E1724="","",IFERROR(VLOOKUP(E1724,Listas!$A$2:$C$1048576,3,FALSE),""))</f>
        <v/>
      </c>
    </row>
    <row r="1725" spans="10:12" x14ac:dyDescent="0.25">
      <c r="J1725" t="str">
        <f>IF(H1725="","",IFERROR(VLOOKUP(H1725,Listas!$J$2:$K$1048576,2,FALSE),""))</f>
        <v/>
      </c>
      <c r="K1725" s="5" t="str">
        <f>IF(OR(I1725="",G1725=""),"",IF(G1725="Saída",-I1725,I1725))</f>
        <v/>
      </c>
      <c r="L1725" t="str">
        <f>IF(E1725="","",IFERROR(VLOOKUP(E1725,Listas!$A$2:$C$1048576,3,FALSE),""))</f>
        <v/>
      </c>
    </row>
    <row r="1726" spans="10:12" x14ac:dyDescent="0.25">
      <c r="J1726" t="str">
        <f>IF(H1726="","",IFERROR(VLOOKUP(H1726,Listas!$J$2:$K$1048576,2,FALSE),""))</f>
        <v/>
      </c>
      <c r="K1726" s="5" t="str">
        <f>IF(OR(I1726="",G1726=""),"",IF(G1726="Saída",-I1726,I1726))</f>
        <v/>
      </c>
      <c r="L1726" t="str">
        <f>IF(E1726="","",IFERROR(VLOOKUP(E1726,Listas!$A$2:$C$1048576,3,FALSE),""))</f>
        <v/>
      </c>
    </row>
    <row r="1727" spans="10:12" x14ac:dyDescent="0.25">
      <c r="J1727" t="str">
        <f>IF(H1727="","",IFERROR(VLOOKUP(H1727,Listas!$J$2:$K$1048576,2,FALSE),""))</f>
        <v/>
      </c>
      <c r="K1727" s="5" t="str">
        <f>IF(OR(I1727="",G1727=""),"",IF(G1727="Saída",-I1727,I1727))</f>
        <v/>
      </c>
      <c r="L1727" t="str">
        <f>IF(E1727="","",IFERROR(VLOOKUP(E1727,Listas!$A$2:$C$1048576,3,FALSE),""))</f>
        <v/>
      </c>
    </row>
    <row r="1728" spans="10:12" x14ac:dyDescent="0.25">
      <c r="J1728" t="str">
        <f>IF(H1728="","",IFERROR(VLOOKUP(H1728,Listas!$J$2:$K$1048576,2,FALSE),""))</f>
        <v/>
      </c>
      <c r="K1728" s="5" t="str">
        <f>IF(OR(I1728="",G1728=""),"",IF(G1728="Saída",-I1728,I1728))</f>
        <v/>
      </c>
      <c r="L1728" t="str">
        <f>IF(E1728="","",IFERROR(VLOOKUP(E1728,Listas!$A$2:$C$1048576,3,FALSE),""))</f>
        <v/>
      </c>
    </row>
    <row r="1729" spans="10:12" x14ac:dyDescent="0.25">
      <c r="J1729" t="str">
        <f>IF(H1729="","",IFERROR(VLOOKUP(H1729,Listas!$J$2:$K$1048576,2,FALSE),""))</f>
        <v/>
      </c>
      <c r="K1729" s="5" t="str">
        <f>IF(OR(I1729="",G1729=""),"",IF(G1729="Saída",-I1729,I1729))</f>
        <v/>
      </c>
      <c r="L1729" t="str">
        <f>IF(E1729="","",IFERROR(VLOOKUP(E1729,Listas!$A$2:$C$1048576,3,FALSE),""))</f>
        <v/>
      </c>
    </row>
    <row r="1730" spans="10:12" x14ac:dyDescent="0.25">
      <c r="J1730" t="str">
        <f>IF(H1730="","",IFERROR(VLOOKUP(H1730,Listas!$J$2:$K$1048576,2,FALSE),""))</f>
        <v/>
      </c>
      <c r="K1730" s="5" t="str">
        <f>IF(OR(I1730="",G1730=""),"",IF(G1730="Saída",-I1730,I1730))</f>
        <v/>
      </c>
      <c r="L1730" t="str">
        <f>IF(E1730="","",IFERROR(VLOOKUP(E1730,Listas!$A$2:$C$1048576,3,FALSE),""))</f>
        <v/>
      </c>
    </row>
    <row r="1731" spans="10:12" x14ac:dyDescent="0.25">
      <c r="J1731" t="str">
        <f>IF(H1731="","",IFERROR(VLOOKUP(H1731,Listas!$J$2:$K$1048576,2,FALSE),""))</f>
        <v/>
      </c>
      <c r="K1731" s="5" t="str">
        <f>IF(OR(I1731="",G1731=""),"",IF(G1731="Saída",-I1731,I1731))</f>
        <v/>
      </c>
      <c r="L1731" t="str">
        <f>IF(E1731="","",IFERROR(VLOOKUP(E1731,Listas!$A$2:$C$1048576,3,FALSE),""))</f>
        <v/>
      </c>
    </row>
    <row r="1732" spans="10:12" x14ac:dyDescent="0.25">
      <c r="J1732" t="str">
        <f>IF(H1732="","",IFERROR(VLOOKUP(H1732,Listas!$J$2:$K$1048576,2,FALSE),""))</f>
        <v/>
      </c>
      <c r="K1732" s="5" t="str">
        <f>IF(OR(I1732="",G1732=""),"",IF(G1732="Saída",-I1732,I1732))</f>
        <v/>
      </c>
      <c r="L1732" t="str">
        <f>IF(E1732="","",IFERROR(VLOOKUP(E1732,Listas!$A$2:$C$1048576,3,FALSE),""))</f>
        <v/>
      </c>
    </row>
    <row r="1733" spans="10:12" x14ac:dyDescent="0.25">
      <c r="J1733" t="str">
        <f>IF(H1733="","",IFERROR(VLOOKUP(H1733,Listas!$J$2:$K$1048576,2,FALSE),""))</f>
        <v/>
      </c>
      <c r="K1733" s="5" t="str">
        <f>IF(OR(I1733="",G1733=""),"",IF(G1733="Saída",-I1733,I1733))</f>
        <v/>
      </c>
      <c r="L1733" t="str">
        <f>IF(E1733="","",IFERROR(VLOOKUP(E1733,Listas!$A$2:$C$1048576,3,FALSE),""))</f>
        <v/>
      </c>
    </row>
    <row r="1734" spans="10:12" x14ac:dyDescent="0.25">
      <c r="J1734" t="str">
        <f>IF(H1734="","",IFERROR(VLOOKUP(H1734,Listas!$J$2:$K$1048576,2,FALSE),""))</f>
        <v/>
      </c>
      <c r="K1734" s="5" t="str">
        <f>IF(OR(I1734="",G1734=""),"",IF(G1734="Saída",-I1734,I1734))</f>
        <v/>
      </c>
      <c r="L1734" t="str">
        <f>IF(E1734="","",IFERROR(VLOOKUP(E1734,Listas!$A$2:$C$1048576,3,FALSE),""))</f>
        <v/>
      </c>
    </row>
    <row r="1735" spans="10:12" x14ac:dyDescent="0.25">
      <c r="J1735" t="str">
        <f>IF(H1735="","",IFERROR(VLOOKUP(H1735,Listas!$J$2:$K$1048576,2,FALSE),""))</f>
        <v/>
      </c>
      <c r="K1735" s="5" t="str">
        <f>IF(OR(I1735="",G1735=""),"",IF(G1735="Saída",-I1735,I1735))</f>
        <v/>
      </c>
      <c r="L1735" t="str">
        <f>IF(E1735="","",IFERROR(VLOOKUP(E1735,Listas!$A$2:$C$1048576,3,FALSE),""))</f>
        <v/>
      </c>
    </row>
    <row r="1736" spans="10:12" x14ac:dyDescent="0.25">
      <c r="J1736" t="str">
        <f>IF(H1736="","",IFERROR(VLOOKUP(H1736,Listas!$J$2:$K$1048576,2,FALSE),""))</f>
        <v/>
      </c>
      <c r="K1736" s="5" t="str">
        <f>IF(OR(I1736="",G1736=""),"",IF(G1736="Saída",-I1736,I1736))</f>
        <v/>
      </c>
      <c r="L1736" t="str">
        <f>IF(E1736="","",IFERROR(VLOOKUP(E1736,Listas!$A$2:$C$1048576,3,FALSE),""))</f>
        <v/>
      </c>
    </row>
    <row r="1737" spans="10:12" x14ac:dyDescent="0.25">
      <c r="J1737" t="str">
        <f>IF(H1737="","",IFERROR(VLOOKUP(H1737,Listas!$J$2:$K$1048576,2,FALSE),""))</f>
        <v/>
      </c>
      <c r="K1737" s="5" t="str">
        <f>IF(OR(I1737="",G1737=""),"",IF(G1737="Saída",-I1737,I1737))</f>
        <v/>
      </c>
      <c r="L1737" t="str">
        <f>IF(E1737="","",IFERROR(VLOOKUP(E1737,Listas!$A$2:$C$1048576,3,FALSE),""))</f>
        <v/>
      </c>
    </row>
    <row r="1738" spans="10:12" x14ac:dyDescent="0.25">
      <c r="J1738" t="str">
        <f>IF(H1738="","",IFERROR(VLOOKUP(H1738,Listas!$J$2:$K$1048576,2,FALSE),""))</f>
        <v/>
      </c>
      <c r="K1738" s="5" t="str">
        <f>IF(OR(I1738="",G1738=""),"",IF(G1738="Saída",-I1738,I1738))</f>
        <v/>
      </c>
      <c r="L1738" t="str">
        <f>IF(E1738="","",IFERROR(VLOOKUP(E1738,Listas!$A$2:$C$1048576,3,FALSE),""))</f>
        <v/>
      </c>
    </row>
    <row r="1739" spans="10:12" x14ac:dyDescent="0.25">
      <c r="J1739" t="str">
        <f>IF(H1739="","",IFERROR(VLOOKUP(H1739,Listas!$J$2:$K$1048576,2,FALSE),""))</f>
        <v/>
      </c>
      <c r="K1739" s="5" t="str">
        <f>IF(OR(I1739="",G1739=""),"",IF(G1739="Saída",-I1739,I1739))</f>
        <v/>
      </c>
      <c r="L1739" t="str">
        <f>IF(E1739="","",IFERROR(VLOOKUP(E1739,Listas!$A$2:$C$1048576,3,FALSE),""))</f>
        <v/>
      </c>
    </row>
    <row r="1740" spans="10:12" x14ac:dyDescent="0.25">
      <c r="J1740" t="str">
        <f>IF(H1740="","",IFERROR(VLOOKUP(H1740,Listas!$J$2:$K$1048576,2,FALSE),""))</f>
        <v/>
      </c>
      <c r="K1740" s="5" t="str">
        <f>IF(OR(I1740="",G1740=""),"",IF(G1740="Saída",-I1740,I1740))</f>
        <v/>
      </c>
      <c r="L1740" t="str">
        <f>IF(E1740="","",IFERROR(VLOOKUP(E1740,Listas!$A$2:$C$1048576,3,FALSE),""))</f>
        <v/>
      </c>
    </row>
    <row r="1741" spans="10:12" x14ac:dyDescent="0.25">
      <c r="J1741" t="str">
        <f>IF(H1741="","",IFERROR(VLOOKUP(H1741,Listas!$J$2:$K$1048576,2,FALSE),""))</f>
        <v/>
      </c>
      <c r="K1741" s="5" t="str">
        <f>IF(OR(I1741="",G1741=""),"",IF(G1741="Saída",-I1741,I1741))</f>
        <v/>
      </c>
      <c r="L1741" t="str">
        <f>IF(E1741="","",IFERROR(VLOOKUP(E1741,Listas!$A$2:$C$1048576,3,FALSE),""))</f>
        <v/>
      </c>
    </row>
    <row r="1742" spans="10:12" x14ac:dyDescent="0.25">
      <c r="J1742" t="str">
        <f>IF(H1742="","",IFERROR(VLOOKUP(H1742,Listas!$J$2:$K$1048576,2,FALSE),""))</f>
        <v/>
      </c>
      <c r="K1742" s="5" t="str">
        <f>IF(OR(I1742="",G1742=""),"",IF(G1742="Saída",-I1742,I1742))</f>
        <v/>
      </c>
      <c r="L1742" t="str">
        <f>IF(E1742="","",IFERROR(VLOOKUP(E1742,Listas!$A$2:$C$1048576,3,FALSE),""))</f>
        <v/>
      </c>
    </row>
    <row r="1743" spans="10:12" x14ac:dyDescent="0.25">
      <c r="J1743" t="str">
        <f>IF(H1743="","",IFERROR(VLOOKUP(H1743,Listas!$J$2:$K$1048576,2,FALSE),""))</f>
        <v/>
      </c>
      <c r="K1743" s="5" t="str">
        <f>IF(OR(I1743="",G1743=""),"",IF(G1743="Saída",-I1743,I1743))</f>
        <v/>
      </c>
      <c r="L1743" t="str">
        <f>IF(E1743="","",IFERROR(VLOOKUP(E1743,Listas!$A$2:$C$1048576,3,FALSE),""))</f>
        <v/>
      </c>
    </row>
    <row r="1744" spans="10:12" x14ac:dyDescent="0.25">
      <c r="J1744" t="str">
        <f>IF(H1744="","",IFERROR(VLOOKUP(H1744,Listas!$J$2:$K$1048576,2,FALSE),""))</f>
        <v/>
      </c>
      <c r="K1744" s="5" t="str">
        <f>IF(OR(I1744="",G1744=""),"",IF(G1744="Saída",-I1744,I1744))</f>
        <v/>
      </c>
      <c r="L1744" t="str">
        <f>IF(E1744="","",IFERROR(VLOOKUP(E1744,Listas!$A$2:$C$1048576,3,FALSE),""))</f>
        <v/>
      </c>
    </row>
    <row r="1745" spans="10:12" x14ac:dyDescent="0.25">
      <c r="J1745" t="str">
        <f>IF(H1745="","",IFERROR(VLOOKUP(H1745,Listas!$J$2:$K$1048576,2,FALSE),""))</f>
        <v/>
      </c>
      <c r="K1745" s="5" t="str">
        <f>IF(OR(I1745="",G1745=""),"",IF(G1745="Saída",-I1745,I1745))</f>
        <v/>
      </c>
      <c r="L1745" t="str">
        <f>IF(E1745="","",IFERROR(VLOOKUP(E1745,Listas!$A$2:$C$1048576,3,FALSE),""))</f>
        <v/>
      </c>
    </row>
    <row r="1746" spans="10:12" x14ac:dyDescent="0.25">
      <c r="J1746" t="str">
        <f>IF(H1746="","",IFERROR(VLOOKUP(H1746,Listas!$J$2:$K$1048576,2,FALSE),""))</f>
        <v/>
      </c>
      <c r="K1746" s="5" t="str">
        <f>IF(OR(I1746="",G1746=""),"",IF(G1746="Saída",-I1746,I1746))</f>
        <v/>
      </c>
      <c r="L1746" t="str">
        <f>IF(E1746="","",IFERROR(VLOOKUP(E1746,Listas!$A$2:$C$1048576,3,FALSE),""))</f>
        <v/>
      </c>
    </row>
    <row r="1747" spans="10:12" x14ac:dyDescent="0.25">
      <c r="J1747" t="str">
        <f>IF(H1747="","",IFERROR(VLOOKUP(H1747,Listas!$J$2:$K$1048576,2,FALSE),""))</f>
        <v/>
      </c>
      <c r="K1747" s="5" t="str">
        <f>IF(OR(I1747="",G1747=""),"",IF(G1747="Saída",-I1747,I1747))</f>
        <v/>
      </c>
      <c r="L1747" t="str">
        <f>IF(E1747="","",IFERROR(VLOOKUP(E1747,Listas!$A$2:$C$1048576,3,FALSE),""))</f>
        <v/>
      </c>
    </row>
    <row r="1748" spans="10:12" x14ac:dyDescent="0.25">
      <c r="J1748" t="str">
        <f>IF(H1748="","",IFERROR(VLOOKUP(H1748,Listas!$J$2:$K$1048576,2,FALSE),""))</f>
        <v/>
      </c>
      <c r="K1748" s="5" t="str">
        <f>IF(OR(I1748="",G1748=""),"",IF(G1748="Saída",-I1748,I1748))</f>
        <v/>
      </c>
      <c r="L1748" t="str">
        <f>IF(E1748="","",IFERROR(VLOOKUP(E1748,Listas!$A$2:$C$1048576,3,FALSE),""))</f>
        <v/>
      </c>
    </row>
    <row r="1749" spans="10:12" x14ac:dyDescent="0.25">
      <c r="J1749" t="str">
        <f>IF(H1749="","",IFERROR(VLOOKUP(H1749,Listas!$J$2:$K$1048576,2,FALSE),""))</f>
        <v/>
      </c>
      <c r="K1749" s="5" t="str">
        <f>IF(OR(I1749="",G1749=""),"",IF(G1749="Saída",-I1749,I1749))</f>
        <v/>
      </c>
      <c r="L1749" t="str">
        <f>IF(E1749="","",IFERROR(VLOOKUP(E1749,Listas!$A$2:$C$1048576,3,FALSE),""))</f>
        <v/>
      </c>
    </row>
    <row r="1750" spans="10:12" x14ac:dyDescent="0.25">
      <c r="J1750" t="str">
        <f>IF(H1750="","",IFERROR(VLOOKUP(H1750,Listas!$J$2:$K$1048576,2,FALSE),""))</f>
        <v/>
      </c>
      <c r="K1750" s="5" t="str">
        <f>IF(OR(I1750="",G1750=""),"",IF(G1750="Saída",-I1750,I1750))</f>
        <v/>
      </c>
      <c r="L1750" t="str">
        <f>IF(E1750="","",IFERROR(VLOOKUP(E1750,Listas!$A$2:$C$1048576,3,FALSE),""))</f>
        <v/>
      </c>
    </row>
    <row r="1751" spans="10:12" x14ac:dyDescent="0.25">
      <c r="J1751" t="str">
        <f>IF(H1751="","",IFERROR(VLOOKUP(H1751,Listas!$J$2:$K$1048576,2,FALSE),""))</f>
        <v/>
      </c>
      <c r="K1751" s="5" t="str">
        <f>IF(OR(I1751="",G1751=""),"",IF(G1751="Saída",-I1751,I1751))</f>
        <v/>
      </c>
      <c r="L1751" t="str">
        <f>IF(E1751="","",IFERROR(VLOOKUP(E1751,Listas!$A$2:$C$1048576,3,FALSE),""))</f>
        <v/>
      </c>
    </row>
    <row r="1752" spans="10:12" x14ac:dyDescent="0.25">
      <c r="J1752" t="str">
        <f>IF(H1752="","",IFERROR(VLOOKUP(H1752,Listas!$J$2:$K$1048576,2,FALSE),""))</f>
        <v/>
      </c>
      <c r="K1752" s="5" t="str">
        <f>IF(OR(I1752="",G1752=""),"",IF(G1752="Saída",-I1752,I1752))</f>
        <v/>
      </c>
      <c r="L1752" t="str">
        <f>IF(E1752="","",IFERROR(VLOOKUP(E1752,Listas!$A$2:$C$1048576,3,FALSE),""))</f>
        <v/>
      </c>
    </row>
    <row r="1753" spans="10:12" x14ac:dyDescent="0.25">
      <c r="J1753" t="str">
        <f>IF(H1753="","",IFERROR(VLOOKUP(H1753,Listas!$J$2:$K$1048576,2,FALSE),""))</f>
        <v/>
      </c>
      <c r="K1753" s="5" t="str">
        <f>IF(OR(I1753="",G1753=""),"",IF(G1753="Saída",-I1753,I1753))</f>
        <v/>
      </c>
      <c r="L1753" t="str">
        <f>IF(E1753="","",IFERROR(VLOOKUP(E1753,Listas!$A$2:$C$1048576,3,FALSE),""))</f>
        <v/>
      </c>
    </row>
    <row r="1754" spans="10:12" x14ac:dyDescent="0.25">
      <c r="J1754" t="str">
        <f>IF(H1754="","",IFERROR(VLOOKUP(H1754,Listas!$J$2:$K$1048576,2,FALSE),""))</f>
        <v/>
      </c>
      <c r="K1754" s="5" t="str">
        <f>IF(OR(I1754="",G1754=""),"",IF(G1754="Saída",-I1754,I1754))</f>
        <v/>
      </c>
      <c r="L1754" t="str">
        <f>IF(E1754="","",IFERROR(VLOOKUP(E1754,Listas!$A$2:$C$1048576,3,FALSE),""))</f>
        <v/>
      </c>
    </row>
    <row r="1755" spans="10:12" x14ac:dyDescent="0.25">
      <c r="J1755" t="str">
        <f>IF(H1755="","",IFERROR(VLOOKUP(H1755,Listas!$J$2:$K$1048576,2,FALSE),""))</f>
        <v/>
      </c>
      <c r="K1755" s="5" t="str">
        <f>IF(OR(I1755="",G1755=""),"",IF(G1755="Saída",-I1755,I1755))</f>
        <v/>
      </c>
      <c r="L1755" t="str">
        <f>IF(E1755="","",IFERROR(VLOOKUP(E1755,Listas!$A$2:$C$1048576,3,FALSE),""))</f>
        <v/>
      </c>
    </row>
    <row r="1756" spans="10:12" x14ac:dyDescent="0.25">
      <c r="J1756" t="str">
        <f>IF(H1756="","",IFERROR(VLOOKUP(H1756,Listas!$J$2:$K$1048576,2,FALSE),""))</f>
        <v/>
      </c>
      <c r="K1756" s="5" t="str">
        <f>IF(OR(I1756="",G1756=""),"",IF(G1756="Saída",-I1756,I1756))</f>
        <v/>
      </c>
      <c r="L1756" t="str">
        <f>IF(E1756="","",IFERROR(VLOOKUP(E1756,Listas!$A$2:$C$1048576,3,FALSE),""))</f>
        <v/>
      </c>
    </row>
    <row r="1757" spans="10:12" x14ac:dyDescent="0.25">
      <c r="J1757" t="str">
        <f>IF(H1757="","",IFERROR(VLOOKUP(H1757,Listas!$J$2:$K$1048576,2,FALSE),""))</f>
        <v/>
      </c>
      <c r="K1757" s="5" t="str">
        <f>IF(OR(I1757="",G1757=""),"",IF(G1757="Saída",-I1757,I1757))</f>
        <v/>
      </c>
      <c r="L1757" t="str">
        <f>IF(E1757="","",IFERROR(VLOOKUP(E1757,Listas!$A$2:$C$1048576,3,FALSE),""))</f>
        <v/>
      </c>
    </row>
    <row r="1758" spans="10:12" x14ac:dyDescent="0.25">
      <c r="J1758" t="str">
        <f>IF(H1758="","",IFERROR(VLOOKUP(H1758,Listas!$J$2:$K$1048576,2,FALSE),""))</f>
        <v/>
      </c>
      <c r="K1758" s="5" t="str">
        <f>IF(OR(I1758="",G1758=""),"",IF(G1758="Saída",-I1758,I1758))</f>
        <v/>
      </c>
      <c r="L1758" t="str">
        <f>IF(E1758="","",IFERROR(VLOOKUP(E1758,Listas!$A$2:$C$1048576,3,FALSE),""))</f>
        <v/>
      </c>
    </row>
    <row r="1759" spans="10:12" x14ac:dyDescent="0.25">
      <c r="J1759" t="str">
        <f>IF(H1759="","",IFERROR(VLOOKUP(H1759,Listas!$J$2:$K$1048576,2,FALSE),""))</f>
        <v/>
      </c>
      <c r="K1759" s="5" t="str">
        <f>IF(OR(I1759="",G1759=""),"",IF(G1759="Saída",-I1759,I1759))</f>
        <v/>
      </c>
      <c r="L1759" t="str">
        <f>IF(E1759="","",IFERROR(VLOOKUP(E1759,Listas!$A$2:$C$1048576,3,FALSE),""))</f>
        <v/>
      </c>
    </row>
    <row r="1760" spans="10:12" x14ac:dyDescent="0.25">
      <c r="J1760" t="str">
        <f>IF(H1760="","",IFERROR(VLOOKUP(H1760,Listas!$J$2:$K$1048576,2,FALSE),""))</f>
        <v/>
      </c>
      <c r="K1760" s="5" t="str">
        <f>IF(OR(I1760="",G1760=""),"",IF(G1760="Saída",-I1760,I1760))</f>
        <v/>
      </c>
      <c r="L1760" t="str">
        <f>IF(E1760="","",IFERROR(VLOOKUP(E1760,Listas!$A$2:$C$1048576,3,FALSE),""))</f>
        <v/>
      </c>
    </row>
    <row r="1761" spans="10:12" x14ac:dyDescent="0.25">
      <c r="J1761" t="str">
        <f>IF(H1761="","",IFERROR(VLOOKUP(H1761,Listas!$J$2:$K$1048576,2,FALSE),""))</f>
        <v/>
      </c>
      <c r="K1761" s="5" t="str">
        <f>IF(OR(I1761="",G1761=""),"",IF(G1761="Saída",-I1761,I1761))</f>
        <v/>
      </c>
      <c r="L1761" t="str">
        <f>IF(E1761="","",IFERROR(VLOOKUP(E1761,Listas!$A$2:$C$1048576,3,FALSE),""))</f>
        <v/>
      </c>
    </row>
    <row r="1762" spans="10:12" x14ac:dyDescent="0.25">
      <c r="J1762" t="str">
        <f>IF(H1762="","",IFERROR(VLOOKUP(H1762,Listas!$J$2:$K$1048576,2,FALSE),""))</f>
        <v/>
      </c>
      <c r="K1762" s="5" t="str">
        <f>IF(OR(I1762="",G1762=""),"",IF(G1762="Saída",-I1762,I1762))</f>
        <v/>
      </c>
      <c r="L1762" t="str">
        <f>IF(E1762="","",IFERROR(VLOOKUP(E1762,Listas!$A$2:$C$1048576,3,FALSE),""))</f>
        <v/>
      </c>
    </row>
    <row r="1763" spans="10:12" x14ac:dyDescent="0.25">
      <c r="J1763" t="str">
        <f>IF(H1763="","",IFERROR(VLOOKUP(H1763,Listas!$J$2:$K$1048576,2,FALSE),""))</f>
        <v/>
      </c>
      <c r="K1763" s="5" t="str">
        <f>IF(OR(I1763="",G1763=""),"",IF(G1763="Saída",-I1763,I1763))</f>
        <v/>
      </c>
      <c r="L1763" t="str">
        <f>IF(E1763="","",IFERROR(VLOOKUP(E1763,Listas!$A$2:$C$1048576,3,FALSE),""))</f>
        <v/>
      </c>
    </row>
    <row r="1764" spans="10:12" x14ac:dyDescent="0.25">
      <c r="J1764" t="str">
        <f>IF(H1764="","",IFERROR(VLOOKUP(H1764,Listas!$J$2:$K$1048576,2,FALSE),""))</f>
        <v/>
      </c>
      <c r="K1764" s="5" t="str">
        <f>IF(OR(I1764="",G1764=""),"",IF(G1764="Saída",-I1764,I1764))</f>
        <v/>
      </c>
      <c r="L1764" t="str">
        <f>IF(E1764="","",IFERROR(VLOOKUP(E1764,Listas!$A$2:$C$1048576,3,FALSE),""))</f>
        <v/>
      </c>
    </row>
    <row r="1765" spans="10:12" x14ac:dyDescent="0.25">
      <c r="J1765" t="str">
        <f>IF(H1765="","",IFERROR(VLOOKUP(H1765,Listas!$J$2:$K$1048576,2,FALSE),""))</f>
        <v/>
      </c>
      <c r="K1765" s="5" t="str">
        <f>IF(OR(I1765="",G1765=""),"",IF(G1765="Saída",-I1765,I1765))</f>
        <v/>
      </c>
      <c r="L1765" t="str">
        <f>IF(E1765="","",IFERROR(VLOOKUP(E1765,Listas!$A$2:$C$1048576,3,FALSE),""))</f>
        <v/>
      </c>
    </row>
    <row r="1766" spans="10:12" x14ac:dyDescent="0.25">
      <c r="J1766" t="str">
        <f>IF(H1766="","",IFERROR(VLOOKUP(H1766,Listas!$J$2:$K$1048576,2,FALSE),""))</f>
        <v/>
      </c>
      <c r="K1766" s="5" t="str">
        <f>IF(OR(I1766="",G1766=""),"",IF(G1766="Saída",-I1766,I1766))</f>
        <v/>
      </c>
      <c r="L1766" t="str">
        <f>IF(E1766="","",IFERROR(VLOOKUP(E1766,Listas!$A$2:$C$1048576,3,FALSE),""))</f>
        <v/>
      </c>
    </row>
    <row r="1767" spans="10:12" x14ac:dyDescent="0.25">
      <c r="J1767" t="str">
        <f>IF(H1767="","",IFERROR(VLOOKUP(H1767,Listas!$J$2:$K$1048576,2,FALSE),""))</f>
        <v/>
      </c>
      <c r="K1767" s="5" t="str">
        <f>IF(OR(I1767="",G1767=""),"",IF(G1767="Saída",-I1767,I1767))</f>
        <v/>
      </c>
      <c r="L1767" t="str">
        <f>IF(E1767="","",IFERROR(VLOOKUP(E1767,Listas!$A$2:$C$1048576,3,FALSE),""))</f>
        <v/>
      </c>
    </row>
    <row r="1768" spans="10:12" x14ac:dyDescent="0.25">
      <c r="J1768" t="str">
        <f>IF(H1768="","",IFERROR(VLOOKUP(H1768,Listas!$J$2:$K$1048576,2,FALSE),""))</f>
        <v/>
      </c>
      <c r="K1768" s="5" t="str">
        <f>IF(OR(I1768="",G1768=""),"",IF(G1768="Saída",-I1768,I1768))</f>
        <v/>
      </c>
      <c r="L1768" t="str">
        <f>IF(E1768="","",IFERROR(VLOOKUP(E1768,Listas!$A$2:$C$1048576,3,FALSE),""))</f>
        <v/>
      </c>
    </row>
    <row r="1769" spans="10:12" x14ac:dyDescent="0.25">
      <c r="J1769" t="str">
        <f>IF(H1769="","",IFERROR(VLOOKUP(H1769,Listas!$J$2:$K$1048576,2,FALSE),""))</f>
        <v/>
      </c>
      <c r="K1769" s="5" t="str">
        <f>IF(OR(I1769="",G1769=""),"",IF(G1769="Saída",-I1769,I1769))</f>
        <v/>
      </c>
      <c r="L1769" t="str">
        <f>IF(E1769="","",IFERROR(VLOOKUP(E1769,Listas!$A$2:$C$1048576,3,FALSE),""))</f>
        <v/>
      </c>
    </row>
    <row r="1770" spans="10:12" x14ac:dyDescent="0.25">
      <c r="J1770" t="str">
        <f>IF(H1770="","",IFERROR(VLOOKUP(H1770,Listas!$J$2:$K$1048576,2,FALSE),""))</f>
        <v/>
      </c>
      <c r="K1770" s="5" t="str">
        <f>IF(OR(I1770="",G1770=""),"",IF(G1770="Saída",-I1770,I1770))</f>
        <v/>
      </c>
      <c r="L1770" t="str">
        <f>IF(E1770="","",IFERROR(VLOOKUP(E1770,Listas!$A$2:$C$1048576,3,FALSE),""))</f>
        <v/>
      </c>
    </row>
    <row r="1771" spans="10:12" x14ac:dyDescent="0.25">
      <c r="J1771" t="str">
        <f>IF(H1771="","",IFERROR(VLOOKUP(H1771,Listas!$J$2:$K$1048576,2,FALSE),""))</f>
        <v/>
      </c>
      <c r="K1771" s="5" t="str">
        <f>IF(OR(I1771="",G1771=""),"",IF(G1771="Saída",-I1771,I1771))</f>
        <v/>
      </c>
      <c r="L1771" t="str">
        <f>IF(E1771="","",IFERROR(VLOOKUP(E1771,Listas!$A$2:$C$1048576,3,FALSE),""))</f>
        <v/>
      </c>
    </row>
    <row r="1772" spans="10:12" x14ac:dyDescent="0.25">
      <c r="J1772" t="str">
        <f>IF(H1772="","",IFERROR(VLOOKUP(H1772,Listas!$J$2:$K$1048576,2,FALSE),""))</f>
        <v/>
      </c>
      <c r="K1772" s="5" t="str">
        <f>IF(OR(I1772="",G1772=""),"",IF(G1772="Saída",-I1772,I1772))</f>
        <v/>
      </c>
      <c r="L1772" t="str">
        <f>IF(E1772="","",IFERROR(VLOOKUP(E1772,Listas!$A$2:$C$1048576,3,FALSE),""))</f>
        <v/>
      </c>
    </row>
    <row r="1773" spans="10:12" x14ac:dyDescent="0.25">
      <c r="J1773" t="str">
        <f>IF(H1773="","",IFERROR(VLOOKUP(H1773,Listas!$J$2:$K$1048576,2,FALSE),""))</f>
        <v/>
      </c>
      <c r="K1773" s="5" t="str">
        <f>IF(OR(I1773="",G1773=""),"",IF(G1773="Saída",-I1773,I1773))</f>
        <v/>
      </c>
      <c r="L1773" t="str">
        <f>IF(E1773="","",IFERROR(VLOOKUP(E1773,Listas!$A$2:$C$1048576,3,FALSE),""))</f>
        <v/>
      </c>
    </row>
    <row r="1774" spans="10:12" x14ac:dyDescent="0.25">
      <c r="J1774" t="str">
        <f>IF(H1774="","",IFERROR(VLOOKUP(H1774,Listas!$J$2:$K$1048576,2,FALSE),""))</f>
        <v/>
      </c>
      <c r="K1774" s="5" t="str">
        <f>IF(OR(I1774="",G1774=""),"",IF(G1774="Saída",-I1774,I1774))</f>
        <v/>
      </c>
      <c r="L1774" t="str">
        <f>IF(E1774="","",IFERROR(VLOOKUP(E1774,Listas!$A$2:$C$1048576,3,FALSE),""))</f>
        <v/>
      </c>
    </row>
    <row r="1775" spans="10:12" x14ac:dyDescent="0.25">
      <c r="J1775" t="str">
        <f>IF(H1775="","",IFERROR(VLOOKUP(H1775,Listas!$J$2:$K$1048576,2,FALSE),""))</f>
        <v/>
      </c>
      <c r="K1775" s="5" t="str">
        <f>IF(OR(I1775="",G1775=""),"",IF(G1775="Saída",-I1775,I1775))</f>
        <v/>
      </c>
      <c r="L1775" t="str">
        <f>IF(E1775="","",IFERROR(VLOOKUP(E1775,Listas!$A$2:$C$1048576,3,FALSE),""))</f>
        <v/>
      </c>
    </row>
    <row r="1776" spans="10:12" x14ac:dyDescent="0.25">
      <c r="J1776" t="str">
        <f>IF(H1776="","",IFERROR(VLOOKUP(H1776,Listas!$J$2:$K$1048576,2,FALSE),""))</f>
        <v/>
      </c>
      <c r="K1776" s="5" t="str">
        <f>IF(OR(I1776="",G1776=""),"",IF(G1776="Saída",-I1776,I1776))</f>
        <v/>
      </c>
      <c r="L1776" t="str">
        <f>IF(E1776="","",IFERROR(VLOOKUP(E1776,Listas!$A$2:$C$1048576,3,FALSE),""))</f>
        <v/>
      </c>
    </row>
    <row r="1777" spans="10:12" x14ac:dyDescent="0.25">
      <c r="J1777" t="str">
        <f>IF(H1777="","",IFERROR(VLOOKUP(H1777,Listas!$J$2:$K$1048576,2,FALSE),""))</f>
        <v/>
      </c>
      <c r="K1777" s="5" t="str">
        <f>IF(OR(I1777="",G1777=""),"",IF(G1777="Saída",-I1777,I1777))</f>
        <v/>
      </c>
      <c r="L1777" t="str">
        <f>IF(E1777="","",IFERROR(VLOOKUP(E1777,Listas!$A$2:$C$1048576,3,FALSE),""))</f>
        <v/>
      </c>
    </row>
    <row r="1778" spans="10:12" x14ac:dyDescent="0.25">
      <c r="J1778" t="str">
        <f>IF(H1778="","",IFERROR(VLOOKUP(H1778,Listas!$J$2:$K$1048576,2,FALSE),""))</f>
        <v/>
      </c>
      <c r="K1778" s="5" t="str">
        <f>IF(OR(I1778="",G1778=""),"",IF(G1778="Saída",-I1778,I1778))</f>
        <v/>
      </c>
      <c r="L1778" t="str">
        <f>IF(E1778="","",IFERROR(VLOOKUP(E1778,Listas!$A$2:$C$1048576,3,FALSE),""))</f>
        <v/>
      </c>
    </row>
    <row r="1779" spans="10:12" x14ac:dyDescent="0.25">
      <c r="J1779" t="str">
        <f>IF(H1779="","",IFERROR(VLOOKUP(H1779,Listas!$J$2:$K$1048576,2,FALSE),""))</f>
        <v/>
      </c>
      <c r="K1779" s="5" t="str">
        <f>IF(OR(I1779="",G1779=""),"",IF(G1779="Saída",-I1779,I1779))</f>
        <v/>
      </c>
      <c r="L1779" t="str">
        <f>IF(E1779="","",IFERROR(VLOOKUP(E1779,Listas!$A$2:$C$1048576,3,FALSE),""))</f>
        <v/>
      </c>
    </row>
    <row r="1780" spans="10:12" x14ac:dyDescent="0.25">
      <c r="J1780" t="str">
        <f>IF(H1780="","",IFERROR(VLOOKUP(H1780,Listas!$J$2:$K$1048576,2,FALSE),""))</f>
        <v/>
      </c>
      <c r="K1780" s="5" t="str">
        <f>IF(OR(I1780="",G1780=""),"",IF(G1780="Saída",-I1780,I1780))</f>
        <v/>
      </c>
      <c r="L1780" t="str">
        <f>IF(E1780="","",IFERROR(VLOOKUP(E1780,Listas!$A$2:$C$1048576,3,FALSE),""))</f>
        <v/>
      </c>
    </row>
    <row r="1781" spans="10:12" x14ac:dyDescent="0.25">
      <c r="J1781" t="str">
        <f>IF(H1781="","",IFERROR(VLOOKUP(H1781,Listas!$J$2:$K$1048576,2,FALSE),""))</f>
        <v/>
      </c>
      <c r="K1781" s="5" t="str">
        <f>IF(OR(I1781="",G1781=""),"",IF(G1781="Saída",-I1781,I1781))</f>
        <v/>
      </c>
      <c r="L1781" t="str">
        <f>IF(E1781="","",IFERROR(VLOOKUP(E1781,Listas!$A$2:$C$1048576,3,FALSE),""))</f>
        <v/>
      </c>
    </row>
    <row r="1782" spans="10:12" x14ac:dyDescent="0.25">
      <c r="J1782" t="str">
        <f>IF(H1782="","",IFERROR(VLOOKUP(H1782,Listas!$J$2:$K$1048576,2,FALSE),""))</f>
        <v/>
      </c>
      <c r="K1782" s="5" t="str">
        <f>IF(OR(I1782="",G1782=""),"",IF(G1782="Saída",-I1782,I1782))</f>
        <v/>
      </c>
      <c r="L1782" t="str">
        <f>IF(E1782="","",IFERROR(VLOOKUP(E1782,Listas!$A$2:$C$1048576,3,FALSE),""))</f>
        <v/>
      </c>
    </row>
    <row r="1783" spans="10:12" x14ac:dyDescent="0.25">
      <c r="J1783" t="str">
        <f>IF(H1783="","",IFERROR(VLOOKUP(H1783,Listas!$J$2:$K$1048576,2,FALSE),""))</f>
        <v/>
      </c>
      <c r="K1783" s="5" t="str">
        <f>IF(OR(I1783="",G1783=""),"",IF(G1783="Saída",-I1783,I1783))</f>
        <v/>
      </c>
      <c r="L1783" t="str">
        <f>IF(E1783="","",IFERROR(VLOOKUP(E1783,Listas!$A$2:$C$1048576,3,FALSE),""))</f>
        <v/>
      </c>
    </row>
    <row r="1784" spans="10:12" x14ac:dyDescent="0.25">
      <c r="J1784" t="str">
        <f>IF(H1784="","",IFERROR(VLOOKUP(H1784,Listas!$J$2:$K$1048576,2,FALSE),""))</f>
        <v/>
      </c>
      <c r="K1784" s="5" t="str">
        <f>IF(OR(I1784="",G1784=""),"",IF(G1784="Saída",-I1784,I1784))</f>
        <v/>
      </c>
      <c r="L1784" t="str">
        <f>IF(E1784="","",IFERROR(VLOOKUP(E1784,Listas!$A$2:$C$1048576,3,FALSE),""))</f>
        <v/>
      </c>
    </row>
    <row r="1785" spans="10:12" x14ac:dyDescent="0.25">
      <c r="J1785" t="str">
        <f>IF(H1785="","",IFERROR(VLOOKUP(H1785,Listas!$J$2:$K$1048576,2,FALSE),""))</f>
        <v/>
      </c>
      <c r="K1785" s="5" t="str">
        <f>IF(OR(I1785="",G1785=""),"",IF(G1785="Saída",-I1785,I1785))</f>
        <v/>
      </c>
      <c r="L1785" t="str">
        <f>IF(E1785="","",IFERROR(VLOOKUP(E1785,Listas!$A$2:$C$1048576,3,FALSE),""))</f>
        <v/>
      </c>
    </row>
    <row r="1786" spans="10:12" x14ac:dyDescent="0.25">
      <c r="J1786" t="str">
        <f>IF(H1786="","",IFERROR(VLOOKUP(H1786,Listas!$J$2:$K$1048576,2,FALSE),""))</f>
        <v/>
      </c>
      <c r="K1786" s="5" t="str">
        <f>IF(OR(I1786="",G1786=""),"",IF(G1786="Saída",-I1786,I1786))</f>
        <v/>
      </c>
      <c r="L1786" t="str">
        <f>IF(E1786="","",IFERROR(VLOOKUP(E1786,Listas!$A$2:$C$1048576,3,FALSE),""))</f>
        <v/>
      </c>
    </row>
    <row r="1787" spans="10:12" x14ac:dyDescent="0.25">
      <c r="J1787" t="str">
        <f>IF(H1787="","",IFERROR(VLOOKUP(H1787,Listas!$J$2:$K$1048576,2,FALSE),""))</f>
        <v/>
      </c>
      <c r="K1787" s="5" t="str">
        <f>IF(OR(I1787="",G1787=""),"",IF(G1787="Saída",-I1787,I1787))</f>
        <v/>
      </c>
      <c r="L1787" t="str">
        <f>IF(E1787="","",IFERROR(VLOOKUP(E1787,Listas!$A$2:$C$1048576,3,FALSE),""))</f>
        <v/>
      </c>
    </row>
    <row r="1788" spans="10:12" x14ac:dyDescent="0.25">
      <c r="J1788" t="str">
        <f>IF(H1788="","",IFERROR(VLOOKUP(H1788,Listas!$J$2:$K$1048576,2,FALSE),""))</f>
        <v/>
      </c>
      <c r="K1788" s="5" t="str">
        <f>IF(OR(I1788="",G1788=""),"",IF(G1788="Saída",-I1788,I1788))</f>
        <v/>
      </c>
      <c r="L1788" t="str">
        <f>IF(E1788="","",IFERROR(VLOOKUP(E1788,Listas!$A$2:$C$1048576,3,FALSE),""))</f>
        <v/>
      </c>
    </row>
    <row r="1789" spans="10:12" x14ac:dyDescent="0.25">
      <c r="J1789" t="str">
        <f>IF(H1789="","",IFERROR(VLOOKUP(H1789,Listas!$J$2:$K$1048576,2,FALSE),""))</f>
        <v/>
      </c>
      <c r="K1789" s="5" t="str">
        <f>IF(OR(I1789="",G1789=""),"",IF(G1789="Saída",-I1789,I1789))</f>
        <v/>
      </c>
      <c r="L1789" t="str">
        <f>IF(E1789="","",IFERROR(VLOOKUP(E1789,Listas!$A$2:$C$1048576,3,FALSE),""))</f>
        <v/>
      </c>
    </row>
    <row r="1790" spans="10:12" x14ac:dyDescent="0.25">
      <c r="J1790" t="str">
        <f>IF(H1790="","",IFERROR(VLOOKUP(H1790,Listas!$J$2:$K$1048576,2,FALSE),""))</f>
        <v/>
      </c>
      <c r="K1790" s="5" t="str">
        <f>IF(OR(I1790="",G1790=""),"",IF(G1790="Saída",-I1790,I1790))</f>
        <v/>
      </c>
      <c r="L1790" t="str">
        <f>IF(E1790="","",IFERROR(VLOOKUP(E1790,Listas!$A$2:$C$1048576,3,FALSE),""))</f>
        <v/>
      </c>
    </row>
    <row r="1791" spans="10:12" x14ac:dyDescent="0.25">
      <c r="J1791" t="str">
        <f>IF(H1791="","",IFERROR(VLOOKUP(H1791,Listas!$J$2:$K$1048576,2,FALSE),""))</f>
        <v/>
      </c>
      <c r="K1791" s="5" t="str">
        <f>IF(OR(I1791="",G1791=""),"",IF(G1791="Saída",-I1791,I1791))</f>
        <v/>
      </c>
      <c r="L1791" t="str">
        <f>IF(E1791="","",IFERROR(VLOOKUP(E1791,Listas!$A$2:$C$1048576,3,FALSE),""))</f>
        <v/>
      </c>
    </row>
    <row r="1792" spans="10:12" x14ac:dyDescent="0.25">
      <c r="J1792" t="str">
        <f>IF(H1792="","",IFERROR(VLOOKUP(H1792,Listas!$J$2:$K$1048576,2,FALSE),""))</f>
        <v/>
      </c>
      <c r="K1792" s="5" t="str">
        <f>IF(OR(I1792="",G1792=""),"",IF(G1792="Saída",-I1792,I1792))</f>
        <v/>
      </c>
      <c r="L1792" t="str">
        <f>IF(E1792="","",IFERROR(VLOOKUP(E1792,Listas!$A$2:$C$1048576,3,FALSE),""))</f>
        <v/>
      </c>
    </row>
    <row r="1793" spans="10:12" x14ac:dyDescent="0.25">
      <c r="J1793" t="str">
        <f>IF(H1793="","",IFERROR(VLOOKUP(H1793,Listas!$J$2:$K$1048576,2,FALSE),""))</f>
        <v/>
      </c>
      <c r="K1793" s="5" t="str">
        <f>IF(OR(I1793="",G1793=""),"",IF(G1793="Saída",-I1793,I1793))</f>
        <v/>
      </c>
      <c r="L1793" t="str">
        <f>IF(E1793="","",IFERROR(VLOOKUP(E1793,Listas!$A$2:$C$1048576,3,FALSE),""))</f>
        <v/>
      </c>
    </row>
    <row r="1794" spans="10:12" x14ac:dyDescent="0.25">
      <c r="J1794" t="str">
        <f>IF(H1794="","",IFERROR(VLOOKUP(H1794,Listas!$J$2:$K$1048576,2,FALSE),""))</f>
        <v/>
      </c>
      <c r="K1794" s="5" t="str">
        <f>IF(OR(I1794="",G1794=""),"",IF(G1794="Saída",-I1794,I1794))</f>
        <v/>
      </c>
      <c r="L1794" t="str">
        <f>IF(E1794="","",IFERROR(VLOOKUP(E1794,Listas!$A$2:$C$1048576,3,FALSE),""))</f>
        <v/>
      </c>
    </row>
    <row r="1795" spans="10:12" x14ac:dyDescent="0.25">
      <c r="J1795" t="str">
        <f>IF(H1795="","",IFERROR(VLOOKUP(H1795,Listas!$J$2:$K$1048576,2,FALSE),""))</f>
        <v/>
      </c>
      <c r="K1795" s="5" t="str">
        <f>IF(OR(I1795="",G1795=""),"",IF(G1795="Saída",-I1795,I1795))</f>
        <v/>
      </c>
      <c r="L1795" t="str">
        <f>IF(E1795="","",IFERROR(VLOOKUP(E1795,Listas!$A$2:$C$1048576,3,FALSE),""))</f>
        <v/>
      </c>
    </row>
    <row r="1796" spans="10:12" x14ac:dyDescent="0.25">
      <c r="J1796" t="str">
        <f>IF(H1796="","",IFERROR(VLOOKUP(H1796,Listas!$J$2:$K$1048576,2,FALSE),""))</f>
        <v/>
      </c>
      <c r="K1796" s="5" t="str">
        <f>IF(OR(I1796="",G1796=""),"",IF(G1796="Saída",-I1796,I1796))</f>
        <v/>
      </c>
      <c r="L1796" t="str">
        <f>IF(E1796="","",IFERROR(VLOOKUP(E1796,Listas!$A$2:$C$1048576,3,FALSE),""))</f>
        <v/>
      </c>
    </row>
    <row r="1797" spans="10:12" x14ac:dyDescent="0.25">
      <c r="J1797" t="str">
        <f>IF(H1797="","",IFERROR(VLOOKUP(H1797,Listas!$J$2:$K$1048576,2,FALSE),""))</f>
        <v/>
      </c>
      <c r="K1797" s="5" t="str">
        <f>IF(OR(I1797="",G1797=""),"",IF(G1797="Saída",-I1797,I1797))</f>
        <v/>
      </c>
      <c r="L1797" t="str">
        <f>IF(E1797="","",IFERROR(VLOOKUP(E1797,Listas!$A$2:$C$1048576,3,FALSE),""))</f>
        <v/>
      </c>
    </row>
    <row r="1798" spans="10:12" x14ac:dyDescent="0.25">
      <c r="J1798" t="str">
        <f>IF(H1798="","",IFERROR(VLOOKUP(H1798,Listas!$J$2:$K$1048576,2,FALSE),""))</f>
        <v/>
      </c>
      <c r="K1798" s="5" t="str">
        <f>IF(OR(I1798="",G1798=""),"",IF(G1798="Saída",-I1798,I1798))</f>
        <v/>
      </c>
      <c r="L1798" t="str">
        <f>IF(E1798="","",IFERROR(VLOOKUP(E1798,Listas!$A$2:$C$1048576,3,FALSE),""))</f>
        <v/>
      </c>
    </row>
    <row r="1799" spans="10:12" x14ac:dyDescent="0.25">
      <c r="J1799" t="str">
        <f>IF(H1799="","",IFERROR(VLOOKUP(H1799,Listas!$J$2:$K$1048576,2,FALSE),""))</f>
        <v/>
      </c>
      <c r="K1799" s="5" t="str">
        <f>IF(OR(I1799="",G1799=""),"",IF(G1799="Saída",-I1799,I1799))</f>
        <v/>
      </c>
      <c r="L1799" t="str">
        <f>IF(E1799="","",IFERROR(VLOOKUP(E1799,Listas!$A$2:$C$1048576,3,FALSE),""))</f>
        <v/>
      </c>
    </row>
    <row r="1800" spans="10:12" x14ac:dyDescent="0.25">
      <c r="J1800" t="str">
        <f>IF(H1800="","",IFERROR(VLOOKUP(H1800,Listas!$J$2:$K$1048576,2,FALSE),""))</f>
        <v/>
      </c>
      <c r="K1800" s="5" t="str">
        <f>IF(OR(I1800="",G1800=""),"",IF(G1800="Saída",-I1800,I1800))</f>
        <v/>
      </c>
      <c r="L1800" t="str">
        <f>IF(E1800="","",IFERROR(VLOOKUP(E1800,Listas!$A$2:$C$1048576,3,FALSE),""))</f>
        <v/>
      </c>
    </row>
    <row r="1801" spans="10:12" x14ac:dyDescent="0.25">
      <c r="J1801" t="str">
        <f>IF(H1801="","",IFERROR(VLOOKUP(H1801,Listas!$J$2:$K$1048576,2,FALSE),""))</f>
        <v/>
      </c>
      <c r="K1801" s="5" t="str">
        <f>IF(OR(I1801="",G1801=""),"",IF(G1801="Saída",-I1801,I1801))</f>
        <v/>
      </c>
      <c r="L1801" t="str">
        <f>IF(E1801="","",IFERROR(VLOOKUP(E1801,Listas!$A$2:$C$1048576,3,FALSE),""))</f>
        <v/>
      </c>
    </row>
    <row r="1802" spans="10:12" x14ac:dyDescent="0.25">
      <c r="J1802" t="str">
        <f>IF(H1802="","",IFERROR(VLOOKUP(H1802,Listas!$J$2:$K$1048576,2,FALSE),""))</f>
        <v/>
      </c>
      <c r="K1802" s="5" t="str">
        <f>IF(OR(I1802="",G1802=""),"",IF(G1802="Saída",-I1802,I1802))</f>
        <v/>
      </c>
      <c r="L1802" t="str">
        <f>IF(E1802="","",IFERROR(VLOOKUP(E1802,Listas!$A$2:$C$1048576,3,FALSE),""))</f>
        <v/>
      </c>
    </row>
    <row r="1803" spans="10:12" x14ac:dyDescent="0.25">
      <c r="J1803" t="str">
        <f>IF(H1803="","",IFERROR(VLOOKUP(H1803,Listas!$J$2:$K$1048576,2,FALSE),""))</f>
        <v/>
      </c>
      <c r="K1803" s="5" t="str">
        <f>IF(OR(I1803="",G1803=""),"",IF(G1803="Saída",-I1803,I1803))</f>
        <v/>
      </c>
      <c r="L1803" t="str">
        <f>IF(E1803="","",IFERROR(VLOOKUP(E1803,Listas!$A$2:$C$1048576,3,FALSE),""))</f>
        <v/>
      </c>
    </row>
    <row r="1804" spans="10:12" x14ac:dyDescent="0.25">
      <c r="J1804" t="str">
        <f>IF(H1804="","",IFERROR(VLOOKUP(H1804,Listas!$J$2:$K$1048576,2,FALSE),""))</f>
        <v/>
      </c>
      <c r="K1804" s="5" t="str">
        <f>IF(OR(I1804="",G1804=""),"",IF(G1804="Saída",-I1804,I1804))</f>
        <v/>
      </c>
      <c r="L1804" t="str">
        <f>IF(E1804="","",IFERROR(VLOOKUP(E1804,Listas!$A$2:$C$1048576,3,FALSE),""))</f>
        <v/>
      </c>
    </row>
    <row r="1805" spans="10:12" x14ac:dyDescent="0.25">
      <c r="J1805" t="str">
        <f>IF(H1805="","",IFERROR(VLOOKUP(H1805,Listas!$J$2:$K$1048576,2,FALSE),""))</f>
        <v/>
      </c>
      <c r="K1805" s="5" t="str">
        <f>IF(OR(I1805="",G1805=""),"",IF(G1805="Saída",-I1805,I1805))</f>
        <v/>
      </c>
      <c r="L1805" t="str">
        <f>IF(E1805="","",IFERROR(VLOOKUP(E1805,Listas!$A$2:$C$1048576,3,FALSE),""))</f>
        <v/>
      </c>
    </row>
    <row r="1806" spans="10:12" x14ac:dyDescent="0.25">
      <c r="J1806" t="str">
        <f>IF(H1806="","",IFERROR(VLOOKUP(H1806,Listas!$J$2:$K$1048576,2,FALSE),""))</f>
        <v/>
      </c>
      <c r="K1806" s="5" t="str">
        <f>IF(OR(I1806="",G1806=""),"",IF(G1806="Saída",-I1806,I1806))</f>
        <v/>
      </c>
      <c r="L1806" t="str">
        <f>IF(E1806="","",IFERROR(VLOOKUP(E1806,Listas!$A$2:$C$1048576,3,FALSE),""))</f>
        <v/>
      </c>
    </row>
    <row r="1807" spans="10:12" x14ac:dyDescent="0.25">
      <c r="J1807" t="str">
        <f>IF(H1807="","",IFERROR(VLOOKUP(H1807,Listas!$J$2:$K$1048576,2,FALSE),""))</f>
        <v/>
      </c>
      <c r="K1807" s="5" t="str">
        <f>IF(OR(I1807="",G1807=""),"",IF(G1807="Saída",-I1807,I1807))</f>
        <v/>
      </c>
      <c r="L1807" t="str">
        <f>IF(E1807="","",IFERROR(VLOOKUP(E1807,Listas!$A$2:$C$1048576,3,FALSE),""))</f>
        <v/>
      </c>
    </row>
    <row r="1808" spans="10:12" x14ac:dyDescent="0.25">
      <c r="J1808" t="str">
        <f>IF(H1808="","",IFERROR(VLOOKUP(H1808,Listas!$J$2:$K$1048576,2,FALSE),""))</f>
        <v/>
      </c>
      <c r="K1808" s="5" t="str">
        <f>IF(OR(I1808="",G1808=""),"",IF(G1808="Saída",-I1808,I1808))</f>
        <v/>
      </c>
      <c r="L1808" t="str">
        <f>IF(E1808="","",IFERROR(VLOOKUP(E1808,Listas!$A$2:$C$1048576,3,FALSE),""))</f>
        <v/>
      </c>
    </row>
    <row r="1809" spans="10:12" x14ac:dyDescent="0.25">
      <c r="J1809" t="str">
        <f>IF(H1809="","",IFERROR(VLOOKUP(H1809,Listas!$J$2:$K$1048576,2,FALSE),""))</f>
        <v/>
      </c>
      <c r="K1809" s="5" t="str">
        <f>IF(OR(I1809="",G1809=""),"",IF(G1809="Saída",-I1809,I1809))</f>
        <v/>
      </c>
      <c r="L1809" t="str">
        <f>IF(E1809="","",IFERROR(VLOOKUP(E1809,Listas!$A$2:$C$1048576,3,FALSE),""))</f>
        <v/>
      </c>
    </row>
    <row r="1810" spans="10:12" x14ac:dyDescent="0.25">
      <c r="J1810" t="str">
        <f>IF(H1810="","",IFERROR(VLOOKUP(H1810,Listas!$J$2:$K$1048576,2,FALSE),""))</f>
        <v/>
      </c>
      <c r="K1810" s="5" t="str">
        <f>IF(OR(I1810="",G1810=""),"",IF(G1810="Saída",-I1810,I1810))</f>
        <v/>
      </c>
      <c r="L1810" t="str">
        <f>IF(E1810="","",IFERROR(VLOOKUP(E1810,Listas!$A$2:$C$1048576,3,FALSE),""))</f>
        <v/>
      </c>
    </row>
    <row r="1811" spans="10:12" x14ac:dyDescent="0.25">
      <c r="J1811" t="str">
        <f>IF(H1811="","",IFERROR(VLOOKUP(H1811,Listas!$J$2:$K$1048576,2,FALSE),""))</f>
        <v/>
      </c>
      <c r="K1811" s="5" t="str">
        <f>IF(OR(I1811="",G1811=""),"",IF(G1811="Saída",-I1811,I1811))</f>
        <v/>
      </c>
      <c r="L1811" t="str">
        <f>IF(E1811="","",IFERROR(VLOOKUP(E1811,Listas!$A$2:$C$1048576,3,FALSE),""))</f>
        <v/>
      </c>
    </row>
    <row r="1812" spans="10:12" x14ac:dyDescent="0.25">
      <c r="J1812" t="str">
        <f>IF(H1812="","",IFERROR(VLOOKUP(H1812,Listas!$J$2:$K$1048576,2,FALSE),""))</f>
        <v/>
      </c>
      <c r="K1812" s="5" t="str">
        <f>IF(OR(I1812="",G1812=""),"",IF(G1812="Saída",-I1812,I1812))</f>
        <v/>
      </c>
      <c r="L1812" t="str">
        <f>IF(E1812="","",IFERROR(VLOOKUP(E1812,Listas!$A$2:$C$1048576,3,FALSE),""))</f>
        <v/>
      </c>
    </row>
    <row r="1813" spans="10:12" x14ac:dyDescent="0.25">
      <c r="J1813" t="str">
        <f>IF(H1813="","",IFERROR(VLOOKUP(H1813,Listas!$J$2:$K$1048576,2,FALSE),""))</f>
        <v/>
      </c>
      <c r="K1813" s="5" t="str">
        <f>IF(OR(I1813="",G1813=""),"",IF(G1813="Saída",-I1813,I1813))</f>
        <v/>
      </c>
      <c r="L1813" t="str">
        <f>IF(E1813="","",IFERROR(VLOOKUP(E1813,Listas!$A$2:$C$1048576,3,FALSE),""))</f>
        <v/>
      </c>
    </row>
    <row r="1814" spans="10:12" x14ac:dyDescent="0.25">
      <c r="J1814" t="str">
        <f>IF(H1814="","",IFERROR(VLOOKUP(H1814,Listas!$J$2:$K$1048576,2,FALSE),""))</f>
        <v/>
      </c>
      <c r="K1814" s="5" t="str">
        <f>IF(OR(I1814="",G1814=""),"",IF(G1814="Saída",-I1814,I1814))</f>
        <v/>
      </c>
      <c r="L1814" t="str">
        <f>IF(E1814="","",IFERROR(VLOOKUP(E1814,Listas!$A$2:$C$1048576,3,FALSE),""))</f>
        <v/>
      </c>
    </row>
    <row r="1815" spans="10:12" x14ac:dyDescent="0.25">
      <c r="J1815" t="str">
        <f>IF(H1815="","",IFERROR(VLOOKUP(H1815,Listas!$J$2:$K$1048576,2,FALSE),""))</f>
        <v/>
      </c>
      <c r="K1815" s="5" t="str">
        <f>IF(OR(I1815="",G1815=""),"",IF(G1815="Saída",-I1815,I1815))</f>
        <v/>
      </c>
      <c r="L1815" t="str">
        <f>IF(E1815="","",IFERROR(VLOOKUP(E1815,Listas!$A$2:$C$1048576,3,FALSE),""))</f>
        <v/>
      </c>
    </row>
    <row r="1816" spans="10:12" x14ac:dyDescent="0.25">
      <c r="J1816" t="str">
        <f>IF(H1816="","",IFERROR(VLOOKUP(H1816,Listas!$J$2:$K$1048576,2,FALSE),""))</f>
        <v/>
      </c>
      <c r="K1816" s="5" t="str">
        <f>IF(OR(I1816="",G1816=""),"",IF(G1816="Saída",-I1816,I1816))</f>
        <v/>
      </c>
      <c r="L1816" t="str">
        <f>IF(E1816="","",IFERROR(VLOOKUP(E1816,Listas!$A$2:$C$1048576,3,FALSE),""))</f>
        <v/>
      </c>
    </row>
    <row r="1817" spans="10:12" x14ac:dyDescent="0.25">
      <c r="J1817" t="str">
        <f>IF(H1817="","",IFERROR(VLOOKUP(H1817,Listas!$J$2:$K$1048576,2,FALSE),""))</f>
        <v/>
      </c>
      <c r="K1817" s="5" t="str">
        <f>IF(OR(I1817="",G1817=""),"",IF(G1817="Saída",-I1817,I1817))</f>
        <v/>
      </c>
      <c r="L1817" t="str">
        <f>IF(E1817="","",IFERROR(VLOOKUP(E1817,Listas!$A$2:$C$1048576,3,FALSE),""))</f>
        <v/>
      </c>
    </row>
    <row r="1818" spans="10:12" x14ac:dyDescent="0.25">
      <c r="J1818" t="str">
        <f>IF(H1818="","",IFERROR(VLOOKUP(H1818,Listas!$J$2:$K$1048576,2,FALSE),""))</f>
        <v/>
      </c>
      <c r="K1818" s="5" t="str">
        <f>IF(OR(I1818="",G1818=""),"",IF(G1818="Saída",-I1818,I1818))</f>
        <v/>
      </c>
      <c r="L1818" t="str">
        <f>IF(E1818="","",IFERROR(VLOOKUP(E1818,Listas!$A$2:$C$1048576,3,FALSE),""))</f>
        <v/>
      </c>
    </row>
    <row r="1819" spans="10:12" x14ac:dyDescent="0.25">
      <c r="J1819" t="str">
        <f>IF(H1819="","",IFERROR(VLOOKUP(H1819,Listas!$J$2:$K$1048576,2,FALSE),""))</f>
        <v/>
      </c>
      <c r="K1819" s="5" t="str">
        <f>IF(OR(I1819="",G1819=""),"",IF(G1819="Saída",-I1819,I1819))</f>
        <v/>
      </c>
      <c r="L1819" t="str">
        <f>IF(E1819="","",IFERROR(VLOOKUP(E1819,Listas!$A$2:$C$1048576,3,FALSE),""))</f>
        <v/>
      </c>
    </row>
    <row r="1820" spans="10:12" x14ac:dyDescent="0.25">
      <c r="J1820" t="str">
        <f>IF(H1820="","",IFERROR(VLOOKUP(H1820,Listas!$J$2:$K$1048576,2,FALSE),""))</f>
        <v/>
      </c>
      <c r="K1820" s="5" t="str">
        <f>IF(OR(I1820="",G1820=""),"",IF(G1820="Saída",-I1820,I1820))</f>
        <v/>
      </c>
      <c r="L1820" t="str">
        <f>IF(E1820="","",IFERROR(VLOOKUP(E1820,Listas!$A$2:$C$1048576,3,FALSE),""))</f>
        <v/>
      </c>
    </row>
    <row r="1821" spans="10:12" x14ac:dyDescent="0.25">
      <c r="J1821" t="str">
        <f>IF(H1821="","",IFERROR(VLOOKUP(H1821,Listas!$J$2:$K$1048576,2,FALSE),""))</f>
        <v/>
      </c>
      <c r="K1821" s="5" t="str">
        <f>IF(OR(I1821="",G1821=""),"",IF(G1821="Saída",-I1821,I1821))</f>
        <v/>
      </c>
      <c r="L1821" t="str">
        <f>IF(E1821="","",IFERROR(VLOOKUP(E1821,Listas!$A$2:$C$1048576,3,FALSE),""))</f>
        <v/>
      </c>
    </row>
    <row r="1822" spans="10:12" x14ac:dyDescent="0.25">
      <c r="J1822" t="str">
        <f>IF(H1822="","",IFERROR(VLOOKUP(H1822,Listas!$J$2:$K$1048576,2,FALSE),""))</f>
        <v/>
      </c>
      <c r="K1822" s="5" t="str">
        <f>IF(OR(I1822="",G1822=""),"",IF(G1822="Saída",-I1822,I1822))</f>
        <v/>
      </c>
      <c r="L1822" t="str">
        <f>IF(E1822="","",IFERROR(VLOOKUP(E1822,Listas!$A$2:$C$1048576,3,FALSE),""))</f>
        <v/>
      </c>
    </row>
    <row r="1823" spans="10:12" x14ac:dyDescent="0.25">
      <c r="J1823" t="str">
        <f>IF(H1823="","",IFERROR(VLOOKUP(H1823,Listas!$J$2:$K$1048576,2,FALSE),""))</f>
        <v/>
      </c>
      <c r="K1823" s="5" t="str">
        <f>IF(OR(I1823="",G1823=""),"",IF(G1823="Saída",-I1823,I1823))</f>
        <v/>
      </c>
      <c r="L1823" t="str">
        <f>IF(E1823="","",IFERROR(VLOOKUP(E1823,Listas!$A$2:$C$1048576,3,FALSE),""))</f>
        <v/>
      </c>
    </row>
    <row r="1824" spans="10:12" x14ac:dyDescent="0.25">
      <c r="J1824" t="str">
        <f>IF(H1824="","",IFERROR(VLOOKUP(H1824,Listas!$J$2:$K$1048576,2,FALSE),""))</f>
        <v/>
      </c>
      <c r="K1824" s="5" t="str">
        <f>IF(OR(I1824="",G1824=""),"",IF(G1824="Saída",-I1824,I1824))</f>
        <v/>
      </c>
      <c r="L1824" t="str">
        <f>IF(E1824="","",IFERROR(VLOOKUP(E1824,Listas!$A$2:$C$1048576,3,FALSE),""))</f>
        <v/>
      </c>
    </row>
    <row r="1825" spans="10:12" x14ac:dyDescent="0.25">
      <c r="J1825" t="str">
        <f>IF(H1825="","",IFERROR(VLOOKUP(H1825,Listas!$J$2:$K$1048576,2,FALSE),""))</f>
        <v/>
      </c>
      <c r="K1825" s="5" t="str">
        <f>IF(OR(I1825="",G1825=""),"",IF(G1825="Saída",-I1825,I1825))</f>
        <v/>
      </c>
      <c r="L1825" t="str">
        <f>IF(E1825="","",IFERROR(VLOOKUP(E1825,Listas!$A$2:$C$1048576,3,FALSE),""))</f>
        <v/>
      </c>
    </row>
    <row r="1826" spans="10:12" x14ac:dyDescent="0.25">
      <c r="J1826" t="str">
        <f>IF(H1826="","",IFERROR(VLOOKUP(H1826,Listas!$J$2:$K$1048576,2,FALSE),""))</f>
        <v/>
      </c>
      <c r="K1826" s="5" t="str">
        <f>IF(OR(I1826="",G1826=""),"",IF(G1826="Saída",-I1826,I1826))</f>
        <v/>
      </c>
      <c r="L1826" t="str">
        <f>IF(E1826="","",IFERROR(VLOOKUP(E1826,Listas!$A$2:$C$1048576,3,FALSE),""))</f>
        <v/>
      </c>
    </row>
    <row r="1827" spans="10:12" x14ac:dyDescent="0.25">
      <c r="J1827" t="str">
        <f>IF(H1827="","",IFERROR(VLOOKUP(H1827,Listas!$J$2:$K$1048576,2,FALSE),""))</f>
        <v/>
      </c>
      <c r="K1827" s="5" t="str">
        <f>IF(OR(I1827="",G1827=""),"",IF(G1827="Saída",-I1827,I1827))</f>
        <v/>
      </c>
      <c r="L1827" t="str">
        <f>IF(E1827="","",IFERROR(VLOOKUP(E1827,Listas!$A$2:$C$1048576,3,FALSE),""))</f>
        <v/>
      </c>
    </row>
    <row r="1828" spans="10:12" x14ac:dyDescent="0.25">
      <c r="J1828" t="str">
        <f>IF(H1828="","",IFERROR(VLOOKUP(H1828,Listas!$J$2:$K$1048576,2,FALSE),""))</f>
        <v/>
      </c>
      <c r="K1828" s="5" t="str">
        <f>IF(OR(I1828="",G1828=""),"",IF(G1828="Saída",-I1828,I1828))</f>
        <v/>
      </c>
      <c r="L1828" t="str">
        <f>IF(E1828="","",IFERROR(VLOOKUP(E1828,Listas!$A$2:$C$1048576,3,FALSE),""))</f>
        <v/>
      </c>
    </row>
    <row r="1829" spans="10:12" x14ac:dyDescent="0.25">
      <c r="J1829" t="str">
        <f>IF(H1829="","",IFERROR(VLOOKUP(H1829,Listas!$J$2:$K$1048576,2,FALSE),""))</f>
        <v/>
      </c>
      <c r="K1829" s="5" t="str">
        <f>IF(OR(I1829="",G1829=""),"",IF(G1829="Saída",-I1829,I1829))</f>
        <v/>
      </c>
      <c r="L1829" t="str">
        <f>IF(E1829="","",IFERROR(VLOOKUP(E1829,Listas!$A$2:$C$1048576,3,FALSE),""))</f>
        <v/>
      </c>
    </row>
    <row r="1830" spans="10:12" x14ac:dyDescent="0.25">
      <c r="J1830" t="str">
        <f>IF(H1830="","",IFERROR(VLOOKUP(H1830,Listas!$J$2:$K$1048576,2,FALSE),""))</f>
        <v/>
      </c>
      <c r="K1830" s="5" t="str">
        <f>IF(OR(I1830="",G1830=""),"",IF(G1830="Saída",-I1830,I1830))</f>
        <v/>
      </c>
      <c r="L1830" t="str">
        <f>IF(E1830="","",IFERROR(VLOOKUP(E1830,Listas!$A$2:$C$1048576,3,FALSE),""))</f>
        <v/>
      </c>
    </row>
    <row r="1831" spans="10:12" x14ac:dyDescent="0.25">
      <c r="J1831" t="str">
        <f>IF(H1831="","",IFERROR(VLOOKUP(H1831,Listas!$J$2:$K$1048576,2,FALSE),""))</f>
        <v/>
      </c>
      <c r="K1831" s="5" t="str">
        <f>IF(OR(I1831="",G1831=""),"",IF(G1831="Saída",-I1831,I1831))</f>
        <v/>
      </c>
      <c r="L1831" t="str">
        <f>IF(E1831="","",IFERROR(VLOOKUP(E1831,Listas!$A$2:$C$1048576,3,FALSE),""))</f>
        <v/>
      </c>
    </row>
    <row r="1832" spans="10:12" x14ac:dyDescent="0.25">
      <c r="J1832" t="str">
        <f>IF(H1832="","",IFERROR(VLOOKUP(H1832,Listas!$J$2:$K$1048576,2,FALSE),""))</f>
        <v/>
      </c>
      <c r="K1832" s="5" t="str">
        <f>IF(OR(I1832="",G1832=""),"",IF(G1832="Saída",-I1832,I1832))</f>
        <v/>
      </c>
      <c r="L1832" t="str">
        <f>IF(E1832="","",IFERROR(VLOOKUP(E1832,Listas!$A$2:$C$1048576,3,FALSE),""))</f>
        <v/>
      </c>
    </row>
    <row r="1833" spans="10:12" x14ac:dyDescent="0.25">
      <c r="J1833" t="str">
        <f>IF(H1833="","",IFERROR(VLOOKUP(H1833,Listas!$J$2:$K$1048576,2,FALSE),""))</f>
        <v/>
      </c>
      <c r="K1833" s="5" t="str">
        <f>IF(OR(I1833="",G1833=""),"",IF(G1833="Saída",-I1833,I1833))</f>
        <v/>
      </c>
      <c r="L1833" t="str">
        <f>IF(E1833="","",IFERROR(VLOOKUP(E1833,Listas!$A$2:$C$1048576,3,FALSE),""))</f>
        <v/>
      </c>
    </row>
    <row r="1834" spans="10:12" x14ac:dyDescent="0.25">
      <c r="J1834" t="str">
        <f>IF(H1834="","",IFERROR(VLOOKUP(H1834,Listas!$J$2:$K$1048576,2,FALSE),""))</f>
        <v/>
      </c>
      <c r="K1834" s="5" t="str">
        <f>IF(OR(I1834="",G1834=""),"",IF(G1834="Saída",-I1834,I1834))</f>
        <v/>
      </c>
      <c r="L1834" t="str">
        <f>IF(E1834="","",IFERROR(VLOOKUP(E1834,Listas!$A$2:$C$1048576,3,FALSE),""))</f>
        <v/>
      </c>
    </row>
    <row r="1835" spans="10:12" x14ac:dyDescent="0.25">
      <c r="J1835" t="str">
        <f>IF(H1835="","",IFERROR(VLOOKUP(H1835,Listas!$J$2:$K$1048576,2,FALSE),""))</f>
        <v/>
      </c>
      <c r="K1835" s="5" t="str">
        <f>IF(OR(I1835="",G1835=""),"",IF(G1835="Saída",-I1835,I1835))</f>
        <v/>
      </c>
      <c r="L1835" t="str">
        <f>IF(E1835="","",IFERROR(VLOOKUP(E1835,Listas!$A$2:$C$1048576,3,FALSE),""))</f>
        <v/>
      </c>
    </row>
    <row r="1836" spans="10:12" x14ac:dyDescent="0.25">
      <c r="J1836" t="str">
        <f>IF(H1836="","",IFERROR(VLOOKUP(H1836,Listas!$J$2:$K$1048576,2,FALSE),""))</f>
        <v/>
      </c>
      <c r="K1836" s="5" t="str">
        <f>IF(OR(I1836="",G1836=""),"",IF(G1836="Saída",-I1836,I1836))</f>
        <v/>
      </c>
      <c r="L1836" t="str">
        <f>IF(E1836="","",IFERROR(VLOOKUP(E1836,Listas!$A$2:$C$1048576,3,FALSE),""))</f>
        <v/>
      </c>
    </row>
    <row r="1837" spans="10:12" x14ac:dyDescent="0.25">
      <c r="J1837" t="str">
        <f>IF(H1837="","",IFERROR(VLOOKUP(H1837,Listas!$J$2:$K$1048576,2,FALSE),""))</f>
        <v/>
      </c>
      <c r="K1837" s="5" t="str">
        <f>IF(OR(I1837="",G1837=""),"",IF(G1837="Saída",-I1837,I1837))</f>
        <v/>
      </c>
      <c r="L1837" t="str">
        <f>IF(E1837="","",IFERROR(VLOOKUP(E1837,Listas!$A$2:$C$1048576,3,FALSE),""))</f>
        <v/>
      </c>
    </row>
    <row r="1838" spans="10:12" x14ac:dyDescent="0.25">
      <c r="J1838" t="str">
        <f>IF(H1838="","",IFERROR(VLOOKUP(H1838,Listas!$J$2:$K$1048576,2,FALSE),""))</f>
        <v/>
      </c>
      <c r="K1838" s="5" t="str">
        <f>IF(OR(I1838="",G1838=""),"",IF(G1838="Saída",-I1838,I1838))</f>
        <v/>
      </c>
      <c r="L1838" t="str">
        <f>IF(E1838="","",IFERROR(VLOOKUP(E1838,Listas!$A$2:$C$1048576,3,FALSE),""))</f>
        <v/>
      </c>
    </row>
    <row r="1839" spans="10:12" x14ac:dyDescent="0.25">
      <c r="J1839" t="str">
        <f>IF(H1839="","",IFERROR(VLOOKUP(H1839,Listas!$J$2:$K$1048576,2,FALSE),""))</f>
        <v/>
      </c>
      <c r="K1839" s="5" t="str">
        <f>IF(OR(I1839="",G1839=""),"",IF(G1839="Saída",-I1839,I1839))</f>
        <v/>
      </c>
      <c r="L1839" t="str">
        <f>IF(E1839="","",IFERROR(VLOOKUP(E1839,Listas!$A$2:$C$1048576,3,FALSE),""))</f>
        <v/>
      </c>
    </row>
    <row r="1840" spans="10:12" x14ac:dyDescent="0.25">
      <c r="J1840" t="str">
        <f>IF(H1840="","",IFERROR(VLOOKUP(H1840,Listas!$J$2:$K$1048576,2,FALSE),""))</f>
        <v/>
      </c>
      <c r="K1840" s="5" t="str">
        <f>IF(OR(I1840="",G1840=""),"",IF(G1840="Saída",-I1840,I1840))</f>
        <v/>
      </c>
      <c r="L1840" t="str">
        <f>IF(E1840="","",IFERROR(VLOOKUP(E1840,Listas!$A$2:$C$1048576,3,FALSE),""))</f>
        <v/>
      </c>
    </row>
    <row r="1841" spans="10:12" x14ac:dyDescent="0.25">
      <c r="J1841" t="str">
        <f>IF(H1841="","",IFERROR(VLOOKUP(H1841,Listas!$J$2:$K$1048576,2,FALSE),""))</f>
        <v/>
      </c>
      <c r="K1841" s="5" t="str">
        <f>IF(OR(I1841="",G1841=""),"",IF(G1841="Saída",-I1841,I1841))</f>
        <v/>
      </c>
      <c r="L1841" t="str">
        <f>IF(E1841="","",IFERROR(VLOOKUP(E1841,Listas!$A$2:$C$1048576,3,FALSE),""))</f>
        <v/>
      </c>
    </row>
    <row r="1842" spans="10:12" x14ac:dyDescent="0.25">
      <c r="J1842" t="str">
        <f>IF(H1842="","",IFERROR(VLOOKUP(H1842,Listas!$J$2:$K$1048576,2,FALSE),""))</f>
        <v/>
      </c>
      <c r="K1842" s="5" t="str">
        <f>IF(OR(I1842="",G1842=""),"",IF(G1842="Saída",-I1842,I1842))</f>
        <v/>
      </c>
      <c r="L1842" t="str">
        <f>IF(E1842="","",IFERROR(VLOOKUP(E1842,Listas!$A$2:$C$1048576,3,FALSE),""))</f>
        <v/>
      </c>
    </row>
    <row r="1843" spans="10:12" x14ac:dyDescent="0.25">
      <c r="J1843" t="str">
        <f>IF(H1843="","",IFERROR(VLOOKUP(H1843,Listas!$J$2:$K$1048576,2,FALSE),""))</f>
        <v/>
      </c>
      <c r="K1843" s="5" t="str">
        <f>IF(OR(I1843="",G1843=""),"",IF(G1843="Saída",-I1843,I1843))</f>
        <v/>
      </c>
      <c r="L1843" t="str">
        <f>IF(E1843="","",IFERROR(VLOOKUP(E1843,Listas!$A$2:$C$1048576,3,FALSE),""))</f>
        <v/>
      </c>
    </row>
    <row r="1844" spans="10:12" x14ac:dyDescent="0.25">
      <c r="J1844" t="str">
        <f>IF(H1844="","",IFERROR(VLOOKUP(H1844,Listas!$J$2:$K$1048576,2,FALSE),""))</f>
        <v/>
      </c>
      <c r="K1844" s="5" t="str">
        <f>IF(OR(I1844="",G1844=""),"",IF(G1844="Saída",-I1844,I1844))</f>
        <v/>
      </c>
      <c r="L1844" t="str">
        <f>IF(E1844="","",IFERROR(VLOOKUP(E1844,Listas!$A$2:$C$1048576,3,FALSE),""))</f>
        <v/>
      </c>
    </row>
    <row r="1845" spans="10:12" x14ac:dyDescent="0.25">
      <c r="J1845" t="str">
        <f>IF(H1845="","",IFERROR(VLOOKUP(H1845,Listas!$J$2:$K$1048576,2,FALSE),""))</f>
        <v/>
      </c>
      <c r="K1845" s="5" t="str">
        <f>IF(OR(I1845="",G1845=""),"",IF(G1845="Saída",-I1845,I1845))</f>
        <v/>
      </c>
      <c r="L1845" t="str">
        <f>IF(E1845="","",IFERROR(VLOOKUP(E1845,Listas!$A$2:$C$1048576,3,FALSE),""))</f>
        <v/>
      </c>
    </row>
    <row r="1846" spans="10:12" x14ac:dyDescent="0.25">
      <c r="J1846" t="str">
        <f>IF(H1846="","",IFERROR(VLOOKUP(H1846,Listas!$J$2:$K$1048576,2,FALSE),""))</f>
        <v/>
      </c>
      <c r="K1846" s="5" t="str">
        <f>IF(OR(I1846="",G1846=""),"",IF(G1846="Saída",-I1846,I1846))</f>
        <v/>
      </c>
      <c r="L1846" t="str">
        <f>IF(E1846="","",IFERROR(VLOOKUP(E1846,Listas!$A$2:$C$1048576,3,FALSE),""))</f>
        <v/>
      </c>
    </row>
    <row r="1847" spans="10:12" x14ac:dyDescent="0.25">
      <c r="J1847" t="str">
        <f>IF(H1847="","",IFERROR(VLOOKUP(H1847,Listas!$J$2:$K$1048576,2,FALSE),""))</f>
        <v/>
      </c>
      <c r="K1847" s="5" t="str">
        <f>IF(OR(I1847="",G1847=""),"",IF(G1847="Saída",-I1847,I1847))</f>
        <v/>
      </c>
      <c r="L1847" t="str">
        <f>IF(E1847="","",IFERROR(VLOOKUP(E1847,Listas!$A$2:$C$1048576,3,FALSE),""))</f>
        <v/>
      </c>
    </row>
    <row r="1848" spans="10:12" x14ac:dyDescent="0.25">
      <c r="J1848" t="str">
        <f>IF(H1848="","",IFERROR(VLOOKUP(H1848,Listas!$J$2:$K$1048576,2,FALSE),""))</f>
        <v/>
      </c>
      <c r="K1848" s="5" t="str">
        <f>IF(OR(I1848="",G1848=""),"",IF(G1848="Saída",-I1848,I1848))</f>
        <v/>
      </c>
      <c r="L1848" t="str">
        <f>IF(E1848="","",IFERROR(VLOOKUP(E1848,Listas!$A$2:$C$1048576,3,FALSE),""))</f>
        <v/>
      </c>
    </row>
    <row r="1849" spans="10:12" x14ac:dyDescent="0.25">
      <c r="J1849" t="str">
        <f>IF(H1849="","",IFERROR(VLOOKUP(H1849,Listas!$J$2:$K$1048576,2,FALSE),""))</f>
        <v/>
      </c>
      <c r="K1849" s="5" t="str">
        <f>IF(OR(I1849="",G1849=""),"",IF(G1849="Saída",-I1849,I1849))</f>
        <v/>
      </c>
      <c r="L1849" t="str">
        <f>IF(E1849="","",IFERROR(VLOOKUP(E1849,Listas!$A$2:$C$1048576,3,FALSE),""))</f>
        <v/>
      </c>
    </row>
    <row r="1850" spans="10:12" x14ac:dyDescent="0.25">
      <c r="J1850" t="str">
        <f>IF(H1850="","",IFERROR(VLOOKUP(H1850,Listas!$J$2:$K$1048576,2,FALSE),""))</f>
        <v/>
      </c>
      <c r="K1850" s="5" t="str">
        <f>IF(OR(I1850="",G1850=""),"",IF(G1850="Saída",-I1850,I1850))</f>
        <v/>
      </c>
      <c r="L1850" t="str">
        <f>IF(E1850="","",IFERROR(VLOOKUP(E1850,Listas!$A$2:$C$1048576,3,FALSE),""))</f>
        <v/>
      </c>
    </row>
    <row r="1851" spans="10:12" x14ac:dyDescent="0.25">
      <c r="J1851" t="str">
        <f>IF(H1851="","",IFERROR(VLOOKUP(H1851,Listas!$J$2:$K$1048576,2,FALSE),""))</f>
        <v/>
      </c>
      <c r="K1851" s="5" t="str">
        <f>IF(OR(I1851="",G1851=""),"",IF(G1851="Saída",-I1851,I1851))</f>
        <v/>
      </c>
      <c r="L1851" t="str">
        <f>IF(E1851="","",IFERROR(VLOOKUP(E1851,Listas!$A$2:$C$1048576,3,FALSE),""))</f>
        <v/>
      </c>
    </row>
    <row r="1852" spans="10:12" x14ac:dyDescent="0.25">
      <c r="J1852" t="str">
        <f>IF(H1852="","",IFERROR(VLOOKUP(H1852,Listas!$J$2:$K$1048576,2,FALSE),""))</f>
        <v/>
      </c>
      <c r="K1852" s="5" t="str">
        <f>IF(OR(I1852="",G1852=""),"",IF(G1852="Saída",-I1852,I1852))</f>
        <v/>
      </c>
      <c r="L1852" t="str">
        <f>IF(E1852="","",IFERROR(VLOOKUP(E1852,Listas!$A$2:$C$1048576,3,FALSE),""))</f>
        <v/>
      </c>
    </row>
    <row r="1853" spans="10:12" x14ac:dyDescent="0.25">
      <c r="J1853" t="str">
        <f>IF(H1853="","",IFERROR(VLOOKUP(H1853,Listas!$J$2:$K$1048576,2,FALSE),""))</f>
        <v/>
      </c>
      <c r="K1853" s="5" t="str">
        <f>IF(OR(I1853="",G1853=""),"",IF(G1853="Saída",-I1853,I1853))</f>
        <v/>
      </c>
      <c r="L1853" t="str">
        <f>IF(E1853="","",IFERROR(VLOOKUP(E1853,Listas!$A$2:$C$1048576,3,FALSE),""))</f>
        <v/>
      </c>
    </row>
    <row r="1854" spans="10:12" x14ac:dyDescent="0.25">
      <c r="J1854" t="str">
        <f>IF(H1854="","",IFERROR(VLOOKUP(H1854,Listas!$J$2:$K$1048576,2,FALSE),""))</f>
        <v/>
      </c>
      <c r="K1854" s="5" t="str">
        <f>IF(OR(I1854="",G1854=""),"",IF(G1854="Saída",-I1854,I1854))</f>
        <v/>
      </c>
      <c r="L1854" t="str">
        <f>IF(E1854="","",IFERROR(VLOOKUP(E1854,Listas!$A$2:$C$1048576,3,FALSE),""))</f>
        <v/>
      </c>
    </row>
    <row r="1855" spans="10:12" x14ac:dyDescent="0.25">
      <c r="J1855" t="str">
        <f>IF(H1855="","",IFERROR(VLOOKUP(H1855,Listas!$J$2:$K$1048576,2,FALSE),""))</f>
        <v/>
      </c>
      <c r="K1855" s="5" t="str">
        <f>IF(OR(I1855="",G1855=""),"",IF(G1855="Saída",-I1855,I1855))</f>
        <v/>
      </c>
      <c r="L1855" t="str">
        <f>IF(E1855="","",IFERROR(VLOOKUP(E1855,Listas!$A$2:$C$1048576,3,FALSE),""))</f>
        <v/>
      </c>
    </row>
    <row r="1856" spans="10:12" x14ac:dyDescent="0.25">
      <c r="J1856" t="str">
        <f>IF(H1856="","",IFERROR(VLOOKUP(H1856,Listas!$J$2:$K$1048576,2,FALSE),""))</f>
        <v/>
      </c>
      <c r="K1856" s="5" t="str">
        <f>IF(OR(I1856="",G1856=""),"",IF(G1856="Saída",-I1856,I1856))</f>
        <v/>
      </c>
      <c r="L1856" t="str">
        <f>IF(E1856="","",IFERROR(VLOOKUP(E1856,Listas!$A$2:$C$1048576,3,FALSE),""))</f>
        <v/>
      </c>
    </row>
    <row r="1857" spans="10:12" x14ac:dyDescent="0.25">
      <c r="J1857" t="str">
        <f>IF(H1857="","",IFERROR(VLOOKUP(H1857,Listas!$J$2:$K$1048576,2,FALSE),""))</f>
        <v/>
      </c>
      <c r="K1857" s="5" t="str">
        <f>IF(OR(I1857="",G1857=""),"",IF(G1857="Saída",-I1857,I1857))</f>
        <v/>
      </c>
      <c r="L1857" t="str">
        <f>IF(E1857="","",IFERROR(VLOOKUP(E1857,Listas!$A$2:$C$1048576,3,FALSE),""))</f>
        <v/>
      </c>
    </row>
    <row r="1858" spans="10:12" x14ac:dyDescent="0.25">
      <c r="J1858" t="str">
        <f>IF(H1858="","",IFERROR(VLOOKUP(H1858,Listas!$J$2:$K$1048576,2,FALSE),""))</f>
        <v/>
      </c>
      <c r="K1858" s="5" t="str">
        <f>IF(OR(I1858="",G1858=""),"",IF(G1858="Saída",-I1858,I1858))</f>
        <v/>
      </c>
      <c r="L1858" t="str">
        <f>IF(E1858="","",IFERROR(VLOOKUP(E1858,Listas!$A$2:$C$1048576,3,FALSE),""))</f>
        <v/>
      </c>
    </row>
    <row r="1859" spans="10:12" x14ac:dyDescent="0.25">
      <c r="J1859" t="str">
        <f>IF(H1859="","",IFERROR(VLOOKUP(H1859,Listas!$J$2:$K$1048576,2,FALSE),""))</f>
        <v/>
      </c>
      <c r="K1859" s="5" t="str">
        <f>IF(OR(I1859="",G1859=""),"",IF(G1859="Saída",-I1859,I1859))</f>
        <v/>
      </c>
      <c r="L1859" t="str">
        <f>IF(E1859="","",IFERROR(VLOOKUP(E1859,Listas!$A$2:$C$1048576,3,FALSE),""))</f>
        <v/>
      </c>
    </row>
    <row r="1860" spans="10:12" x14ac:dyDescent="0.25">
      <c r="J1860" t="str">
        <f>IF(H1860="","",IFERROR(VLOOKUP(H1860,Listas!$J$2:$K$1048576,2,FALSE),""))</f>
        <v/>
      </c>
      <c r="K1860" s="5" t="str">
        <f>IF(OR(I1860="",G1860=""),"",IF(G1860="Saída",-I1860,I1860))</f>
        <v/>
      </c>
      <c r="L1860" t="str">
        <f>IF(E1860="","",IFERROR(VLOOKUP(E1860,Listas!$A$2:$C$1048576,3,FALSE),""))</f>
        <v/>
      </c>
    </row>
    <row r="1861" spans="10:12" x14ac:dyDescent="0.25">
      <c r="J1861" t="str">
        <f>IF(H1861="","",IFERROR(VLOOKUP(H1861,Listas!$J$2:$K$1048576,2,FALSE),""))</f>
        <v/>
      </c>
      <c r="K1861" s="5" t="str">
        <f>IF(OR(I1861="",G1861=""),"",IF(G1861="Saída",-I1861,I1861))</f>
        <v/>
      </c>
      <c r="L1861" t="str">
        <f>IF(E1861="","",IFERROR(VLOOKUP(E1861,Listas!$A$2:$C$1048576,3,FALSE),""))</f>
        <v/>
      </c>
    </row>
    <row r="1862" spans="10:12" x14ac:dyDescent="0.25">
      <c r="J1862" t="str">
        <f>IF(H1862="","",IFERROR(VLOOKUP(H1862,Listas!$J$2:$K$1048576,2,FALSE),""))</f>
        <v/>
      </c>
      <c r="K1862" s="5" t="str">
        <f>IF(OR(I1862="",G1862=""),"",IF(G1862="Saída",-I1862,I1862))</f>
        <v/>
      </c>
      <c r="L1862" t="str">
        <f>IF(E1862="","",IFERROR(VLOOKUP(E1862,Listas!$A$2:$C$1048576,3,FALSE),""))</f>
        <v/>
      </c>
    </row>
    <row r="1863" spans="10:12" x14ac:dyDescent="0.25">
      <c r="J1863" t="str">
        <f>IF(H1863="","",IFERROR(VLOOKUP(H1863,Listas!$J$2:$K$1048576,2,FALSE),""))</f>
        <v/>
      </c>
      <c r="K1863" s="5" t="str">
        <f>IF(OR(I1863="",G1863=""),"",IF(G1863="Saída",-I1863,I1863))</f>
        <v/>
      </c>
      <c r="L1863" t="str">
        <f>IF(E1863="","",IFERROR(VLOOKUP(E1863,Listas!$A$2:$C$1048576,3,FALSE),""))</f>
        <v/>
      </c>
    </row>
    <row r="1864" spans="10:12" x14ac:dyDescent="0.25">
      <c r="J1864" t="str">
        <f>IF(H1864="","",IFERROR(VLOOKUP(H1864,Listas!$J$2:$K$1048576,2,FALSE),""))</f>
        <v/>
      </c>
      <c r="K1864" s="5" t="str">
        <f>IF(OR(I1864="",G1864=""),"",IF(G1864="Saída",-I1864,I1864))</f>
        <v/>
      </c>
      <c r="L1864" t="str">
        <f>IF(E1864="","",IFERROR(VLOOKUP(E1864,Listas!$A$2:$C$1048576,3,FALSE),""))</f>
        <v/>
      </c>
    </row>
    <row r="1865" spans="10:12" x14ac:dyDescent="0.25">
      <c r="J1865" t="str">
        <f>IF(H1865="","",IFERROR(VLOOKUP(H1865,Listas!$J$2:$K$1048576,2,FALSE),""))</f>
        <v/>
      </c>
      <c r="K1865" s="5" t="str">
        <f>IF(OR(I1865="",G1865=""),"",IF(G1865="Saída",-I1865,I1865))</f>
        <v/>
      </c>
      <c r="L1865" t="str">
        <f>IF(E1865="","",IFERROR(VLOOKUP(E1865,Listas!$A$2:$C$1048576,3,FALSE),""))</f>
        <v/>
      </c>
    </row>
    <row r="1866" spans="10:12" x14ac:dyDescent="0.25">
      <c r="J1866" t="str">
        <f>IF(H1866="","",IFERROR(VLOOKUP(H1866,Listas!$J$2:$K$1048576,2,FALSE),""))</f>
        <v/>
      </c>
      <c r="K1866" s="5" t="str">
        <f>IF(OR(I1866="",G1866=""),"",IF(G1866="Saída",-I1866,I1866))</f>
        <v/>
      </c>
      <c r="L1866" t="str">
        <f>IF(E1866="","",IFERROR(VLOOKUP(E1866,Listas!$A$2:$C$1048576,3,FALSE),""))</f>
        <v/>
      </c>
    </row>
    <row r="1867" spans="10:12" x14ac:dyDescent="0.25">
      <c r="J1867" t="str">
        <f>IF(H1867="","",IFERROR(VLOOKUP(H1867,Listas!$J$2:$K$1048576,2,FALSE),""))</f>
        <v/>
      </c>
      <c r="K1867" s="5" t="str">
        <f>IF(OR(I1867="",G1867=""),"",IF(G1867="Saída",-I1867,I1867))</f>
        <v/>
      </c>
      <c r="L1867" t="str">
        <f>IF(E1867="","",IFERROR(VLOOKUP(E1867,Listas!$A$2:$C$1048576,3,FALSE),""))</f>
        <v/>
      </c>
    </row>
    <row r="1868" spans="10:12" x14ac:dyDescent="0.25">
      <c r="J1868" t="str">
        <f>IF(H1868="","",IFERROR(VLOOKUP(H1868,Listas!$J$2:$K$1048576,2,FALSE),""))</f>
        <v/>
      </c>
      <c r="K1868" s="5" t="str">
        <f>IF(OR(I1868="",G1868=""),"",IF(G1868="Saída",-I1868,I1868))</f>
        <v/>
      </c>
      <c r="L1868" t="str">
        <f>IF(E1868="","",IFERROR(VLOOKUP(E1868,Listas!$A$2:$C$1048576,3,FALSE),""))</f>
        <v/>
      </c>
    </row>
    <row r="1869" spans="10:12" x14ac:dyDescent="0.25">
      <c r="J1869" t="str">
        <f>IF(H1869="","",IFERROR(VLOOKUP(H1869,Listas!$J$2:$K$1048576,2,FALSE),""))</f>
        <v/>
      </c>
      <c r="K1869" s="5" t="str">
        <f>IF(OR(I1869="",G1869=""),"",IF(G1869="Saída",-I1869,I1869))</f>
        <v/>
      </c>
      <c r="L1869" t="str">
        <f>IF(E1869="","",IFERROR(VLOOKUP(E1869,Listas!$A$2:$C$1048576,3,FALSE),""))</f>
        <v/>
      </c>
    </row>
    <row r="1870" spans="10:12" x14ac:dyDescent="0.25">
      <c r="J1870" t="str">
        <f>IF(H1870="","",IFERROR(VLOOKUP(H1870,Listas!$J$2:$K$1048576,2,FALSE),""))</f>
        <v/>
      </c>
      <c r="K1870" s="5" t="str">
        <f>IF(OR(I1870="",G1870=""),"",IF(G1870="Saída",-I1870,I1870))</f>
        <v/>
      </c>
      <c r="L1870" t="str">
        <f>IF(E1870="","",IFERROR(VLOOKUP(E1870,Listas!$A$2:$C$1048576,3,FALSE),""))</f>
        <v/>
      </c>
    </row>
    <row r="1871" spans="10:12" x14ac:dyDescent="0.25">
      <c r="J1871" t="str">
        <f>IF(H1871="","",IFERROR(VLOOKUP(H1871,Listas!$J$2:$K$1048576,2,FALSE),""))</f>
        <v/>
      </c>
      <c r="K1871" s="5" t="str">
        <f>IF(OR(I1871="",G1871=""),"",IF(G1871="Saída",-I1871,I1871))</f>
        <v/>
      </c>
      <c r="L1871" t="str">
        <f>IF(E1871="","",IFERROR(VLOOKUP(E1871,Listas!$A$2:$C$1048576,3,FALSE),""))</f>
        <v/>
      </c>
    </row>
    <row r="1872" spans="10:12" x14ac:dyDescent="0.25">
      <c r="J1872" t="str">
        <f>IF(H1872="","",IFERROR(VLOOKUP(H1872,Listas!$J$2:$K$1048576,2,FALSE),""))</f>
        <v/>
      </c>
      <c r="K1872" s="5" t="str">
        <f>IF(OR(I1872="",G1872=""),"",IF(G1872="Saída",-I1872,I1872))</f>
        <v/>
      </c>
      <c r="L1872" t="str">
        <f>IF(E1872="","",IFERROR(VLOOKUP(E1872,Listas!$A$2:$C$1048576,3,FALSE),""))</f>
        <v/>
      </c>
    </row>
    <row r="1873" spans="10:12" x14ac:dyDescent="0.25">
      <c r="J1873" t="str">
        <f>IF(H1873="","",IFERROR(VLOOKUP(H1873,Listas!$J$2:$K$1048576,2,FALSE),""))</f>
        <v/>
      </c>
      <c r="K1873" s="5" t="str">
        <f>IF(OR(I1873="",G1873=""),"",IF(G1873="Saída",-I1873,I1873))</f>
        <v/>
      </c>
      <c r="L1873" t="str">
        <f>IF(E1873="","",IFERROR(VLOOKUP(E1873,Listas!$A$2:$C$1048576,3,FALSE),""))</f>
        <v/>
      </c>
    </row>
    <row r="1874" spans="10:12" x14ac:dyDescent="0.25">
      <c r="J1874" t="str">
        <f>IF(H1874="","",IFERROR(VLOOKUP(H1874,Listas!$J$2:$K$1048576,2,FALSE),""))</f>
        <v/>
      </c>
      <c r="K1874" s="5" t="str">
        <f>IF(OR(I1874="",G1874=""),"",IF(G1874="Saída",-I1874,I1874))</f>
        <v/>
      </c>
      <c r="L1874" t="str">
        <f>IF(E1874="","",IFERROR(VLOOKUP(E1874,Listas!$A$2:$C$1048576,3,FALSE),""))</f>
        <v/>
      </c>
    </row>
    <row r="1875" spans="10:12" x14ac:dyDescent="0.25">
      <c r="J1875" t="str">
        <f>IF(H1875="","",IFERROR(VLOOKUP(H1875,Listas!$J$2:$K$1048576,2,FALSE),""))</f>
        <v/>
      </c>
      <c r="K1875" s="5" t="str">
        <f>IF(OR(I1875="",G1875=""),"",IF(G1875="Saída",-I1875,I1875))</f>
        <v/>
      </c>
      <c r="L1875" t="str">
        <f>IF(E1875="","",IFERROR(VLOOKUP(E1875,Listas!$A$2:$C$1048576,3,FALSE),""))</f>
        <v/>
      </c>
    </row>
    <row r="1876" spans="10:12" x14ac:dyDescent="0.25">
      <c r="J1876" t="str">
        <f>IF(H1876="","",IFERROR(VLOOKUP(H1876,Listas!$J$2:$K$1048576,2,FALSE),""))</f>
        <v/>
      </c>
      <c r="K1876" s="5" t="str">
        <f>IF(OR(I1876="",G1876=""),"",IF(G1876="Saída",-I1876,I1876))</f>
        <v/>
      </c>
      <c r="L1876" t="str">
        <f>IF(E1876="","",IFERROR(VLOOKUP(E1876,Listas!$A$2:$C$1048576,3,FALSE),""))</f>
        <v/>
      </c>
    </row>
    <row r="1877" spans="10:12" x14ac:dyDescent="0.25">
      <c r="J1877" t="str">
        <f>IF(H1877="","",IFERROR(VLOOKUP(H1877,Listas!$J$2:$K$1048576,2,FALSE),""))</f>
        <v/>
      </c>
      <c r="K1877" s="5" t="str">
        <f>IF(OR(I1877="",G1877=""),"",IF(G1877="Saída",-I1877,I1877))</f>
        <v/>
      </c>
      <c r="L1877" t="str">
        <f>IF(E1877="","",IFERROR(VLOOKUP(E1877,Listas!$A$2:$C$1048576,3,FALSE),""))</f>
        <v/>
      </c>
    </row>
    <row r="1878" spans="10:12" x14ac:dyDescent="0.25">
      <c r="J1878" t="str">
        <f>IF(H1878="","",IFERROR(VLOOKUP(H1878,Listas!$J$2:$K$1048576,2,FALSE),""))</f>
        <v/>
      </c>
      <c r="K1878" s="5" t="str">
        <f>IF(OR(I1878="",G1878=""),"",IF(G1878="Saída",-I1878,I1878))</f>
        <v/>
      </c>
      <c r="L1878" t="str">
        <f>IF(E1878="","",IFERROR(VLOOKUP(E1878,Listas!$A$2:$C$1048576,3,FALSE),""))</f>
        <v/>
      </c>
    </row>
    <row r="1879" spans="10:12" x14ac:dyDescent="0.25">
      <c r="J1879" t="str">
        <f>IF(H1879="","",IFERROR(VLOOKUP(H1879,Listas!$J$2:$K$1048576,2,FALSE),""))</f>
        <v/>
      </c>
      <c r="K1879" s="5" t="str">
        <f>IF(OR(I1879="",G1879=""),"",IF(G1879="Saída",-I1879,I1879))</f>
        <v/>
      </c>
      <c r="L1879" t="str">
        <f>IF(E1879="","",IFERROR(VLOOKUP(E1879,Listas!$A$2:$C$1048576,3,FALSE),""))</f>
        <v/>
      </c>
    </row>
    <row r="1880" spans="10:12" x14ac:dyDescent="0.25">
      <c r="J1880" t="str">
        <f>IF(H1880="","",IFERROR(VLOOKUP(H1880,Listas!$J$2:$K$1048576,2,FALSE),""))</f>
        <v/>
      </c>
      <c r="K1880" s="5" t="str">
        <f>IF(OR(I1880="",G1880=""),"",IF(G1880="Saída",-I1880,I1880))</f>
        <v/>
      </c>
      <c r="L1880" t="str">
        <f>IF(E1880="","",IFERROR(VLOOKUP(E1880,Listas!$A$2:$C$1048576,3,FALSE),""))</f>
        <v/>
      </c>
    </row>
    <row r="1881" spans="10:12" x14ac:dyDescent="0.25">
      <c r="J1881" t="str">
        <f>IF(H1881="","",IFERROR(VLOOKUP(H1881,Listas!$J$2:$K$1048576,2,FALSE),""))</f>
        <v/>
      </c>
      <c r="K1881" s="5" t="str">
        <f>IF(OR(I1881="",G1881=""),"",IF(G1881="Saída",-I1881,I1881))</f>
        <v/>
      </c>
      <c r="L1881" t="str">
        <f>IF(E1881="","",IFERROR(VLOOKUP(E1881,Listas!$A$2:$C$1048576,3,FALSE),""))</f>
        <v/>
      </c>
    </row>
    <row r="1882" spans="10:12" x14ac:dyDescent="0.25">
      <c r="J1882" t="str">
        <f>IF(H1882="","",IFERROR(VLOOKUP(H1882,Listas!$J$2:$K$1048576,2,FALSE),""))</f>
        <v/>
      </c>
      <c r="K1882" s="5" t="str">
        <f>IF(OR(I1882="",G1882=""),"",IF(G1882="Saída",-I1882,I1882))</f>
        <v/>
      </c>
      <c r="L1882" t="str">
        <f>IF(E1882="","",IFERROR(VLOOKUP(E1882,Listas!$A$2:$C$1048576,3,FALSE),""))</f>
        <v/>
      </c>
    </row>
    <row r="1883" spans="10:12" x14ac:dyDescent="0.25">
      <c r="J1883" t="str">
        <f>IF(H1883="","",IFERROR(VLOOKUP(H1883,Listas!$J$2:$K$1048576,2,FALSE),""))</f>
        <v/>
      </c>
      <c r="K1883" s="5" t="str">
        <f>IF(OR(I1883="",G1883=""),"",IF(G1883="Saída",-I1883,I1883))</f>
        <v/>
      </c>
      <c r="L1883" t="str">
        <f>IF(E1883="","",IFERROR(VLOOKUP(E1883,Listas!$A$2:$C$1048576,3,FALSE),""))</f>
        <v/>
      </c>
    </row>
    <row r="1884" spans="10:12" x14ac:dyDescent="0.25">
      <c r="J1884" t="str">
        <f>IF(H1884="","",IFERROR(VLOOKUP(H1884,Listas!$J$2:$K$1048576,2,FALSE),""))</f>
        <v/>
      </c>
      <c r="K1884" s="5" t="str">
        <f>IF(OR(I1884="",G1884=""),"",IF(G1884="Saída",-I1884,I1884))</f>
        <v/>
      </c>
      <c r="L1884" t="str">
        <f>IF(E1884="","",IFERROR(VLOOKUP(E1884,Listas!$A$2:$C$1048576,3,FALSE),""))</f>
        <v/>
      </c>
    </row>
    <row r="1885" spans="10:12" x14ac:dyDescent="0.25">
      <c r="J1885" t="str">
        <f>IF(H1885="","",IFERROR(VLOOKUP(H1885,Listas!$J$2:$K$1048576,2,FALSE),""))</f>
        <v/>
      </c>
      <c r="K1885" s="5" t="str">
        <f>IF(OR(I1885="",G1885=""),"",IF(G1885="Saída",-I1885,I1885))</f>
        <v/>
      </c>
      <c r="L1885" t="str">
        <f>IF(E1885="","",IFERROR(VLOOKUP(E1885,Listas!$A$2:$C$1048576,3,FALSE),""))</f>
        <v/>
      </c>
    </row>
    <row r="1886" spans="10:12" x14ac:dyDescent="0.25">
      <c r="J1886" t="str">
        <f>IF(H1886="","",IFERROR(VLOOKUP(H1886,Listas!$J$2:$K$1048576,2,FALSE),""))</f>
        <v/>
      </c>
      <c r="K1886" s="5" t="str">
        <f>IF(OR(I1886="",G1886=""),"",IF(G1886="Saída",-I1886,I1886))</f>
        <v/>
      </c>
      <c r="L1886" t="str">
        <f>IF(E1886="","",IFERROR(VLOOKUP(E1886,Listas!$A$2:$C$1048576,3,FALSE),""))</f>
        <v/>
      </c>
    </row>
    <row r="1887" spans="10:12" x14ac:dyDescent="0.25">
      <c r="J1887" t="str">
        <f>IF(H1887="","",IFERROR(VLOOKUP(H1887,Listas!$J$2:$K$1048576,2,FALSE),""))</f>
        <v/>
      </c>
      <c r="K1887" s="5" t="str">
        <f>IF(OR(I1887="",G1887=""),"",IF(G1887="Saída",-I1887,I1887))</f>
        <v/>
      </c>
      <c r="L1887" t="str">
        <f>IF(E1887="","",IFERROR(VLOOKUP(E1887,Listas!$A$2:$C$1048576,3,FALSE),""))</f>
        <v/>
      </c>
    </row>
    <row r="1888" spans="10:12" x14ac:dyDescent="0.25">
      <c r="J1888" t="str">
        <f>IF(H1888="","",IFERROR(VLOOKUP(H1888,Listas!$J$2:$K$1048576,2,FALSE),""))</f>
        <v/>
      </c>
      <c r="K1888" s="5" t="str">
        <f>IF(OR(I1888="",G1888=""),"",IF(G1888="Saída",-I1888,I1888))</f>
        <v/>
      </c>
      <c r="L1888" t="str">
        <f>IF(E1888="","",IFERROR(VLOOKUP(E1888,Listas!$A$2:$C$1048576,3,FALSE),""))</f>
        <v/>
      </c>
    </row>
    <row r="1889" spans="10:12" x14ac:dyDescent="0.25">
      <c r="J1889" t="str">
        <f>IF(H1889="","",IFERROR(VLOOKUP(H1889,Listas!$J$2:$K$1048576,2,FALSE),""))</f>
        <v/>
      </c>
      <c r="K1889" s="5" t="str">
        <f>IF(OR(I1889="",G1889=""),"",IF(G1889="Saída",-I1889,I1889))</f>
        <v/>
      </c>
      <c r="L1889" t="str">
        <f>IF(E1889="","",IFERROR(VLOOKUP(E1889,Listas!$A$2:$C$1048576,3,FALSE),""))</f>
        <v/>
      </c>
    </row>
    <row r="1890" spans="10:12" x14ac:dyDescent="0.25">
      <c r="J1890" t="str">
        <f>IF(H1890="","",IFERROR(VLOOKUP(H1890,Listas!$J$2:$K$1048576,2,FALSE),""))</f>
        <v/>
      </c>
      <c r="K1890" s="5" t="str">
        <f>IF(OR(I1890="",G1890=""),"",IF(G1890="Saída",-I1890,I1890))</f>
        <v/>
      </c>
      <c r="L1890" t="str">
        <f>IF(E1890="","",IFERROR(VLOOKUP(E1890,Listas!$A$2:$C$1048576,3,FALSE),""))</f>
        <v/>
      </c>
    </row>
    <row r="1891" spans="10:12" x14ac:dyDescent="0.25">
      <c r="J1891" t="str">
        <f>IF(H1891="","",IFERROR(VLOOKUP(H1891,Listas!$J$2:$K$1048576,2,FALSE),""))</f>
        <v/>
      </c>
      <c r="K1891" s="5" t="str">
        <f>IF(OR(I1891="",G1891=""),"",IF(G1891="Saída",-I1891,I1891))</f>
        <v/>
      </c>
      <c r="L1891" t="str">
        <f>IF(E1891="","",IFERROR(VLOOKUP(E1891,Listas!$A$2:$C$1048576,3,FALSE),""))</f>
        <v/>
      </c>
    </row>
    <row r="1892" spans="10:12" x14ac:dyDescent="0.25">
      <c r="J1892" t="str">
        <f>IF(H1892="","",IFERROR(VLOOKUP(H1892,Listas!$J$2:$K$1048576,2,FALSE),""))</f>
        <v/>
      </c>
      <c r="K1892" s="5" t="str">
        <f>IF(OR(I1892="",G1892=""),"",IF(G1892="Saída",-I1892,I1892))</f>
        <v/>
      </c>
      <c r="L1892" t="str">
        <f>IF(E1892="","",IFERROR(VLOOKUP(E1892,Listas!$A$2:$C$1048576,3,FALSE),""))</f>
        <v/>
      </c>
    </row>
    <row r="1893" spans="10:12" x14ac:dyDescent="0.25">
      <c r="J1893" t="str">
        <f>IF(H1893="","",IFERROR(VLOOKUP(H1893,Listas!$J$2:$K$1048576,2,FALSE),""))</f>
        <v/>
      </c>
      <c r="K1893" s="5" t="str">
        <f>IF(OR(I1893="",G1893=""),"",IF(G1893="Saída",-I1893,I1893))</f>
        <v/>
      </c>
      <c r="L1893" t="str">
        <f>IF(E1893="","",IFERROR(VLOOKUP(E1893,Listas!$A$2:$C$1048576,3,FALSE),""))</f>
        <v/>
      </c>
    </row>
    <row r="1894" spans="10:12" x14ac:dyDescent="0.25">
      <c r="J1894" t="str">
        <f>IF(H1894="","",IFERROR(VLOOKUP(H1894,Listas!$J$2:$K$1048576,2,FALSE),""))</f>
        <v/>
      </c>
      <c r="K1894" s="5" t="str">
        <f>IF(OR(I1894="",G1894=""),"",IF(G1894="Saída",-I1894,I1894))</f>
        <v/>
      </c>
      <c r="L1894" t="str">
        <f>IF(E1894="","",IFERROR(VLOOKUP(E1894,Listas!$A$2:$C$1048576,3,FALSE),""))</f>
        <v/>
      </c>
    </row>
    <row r="1895" spans="10:12" x14ac:dyDescent="0.25">
      <c r="J1895" t="str">
        <f>IF(H1895="","",IFERROR(VLOOKUP(H1895,Listas!$J$2:$K$1048576,2,FALSE),""))</f>
        <v/>
      </c>
      <c r="K1895" s="5" t="str">
        <f>IF(OR(I1895="",G1895=""),"",IF(G1895="Saída",-I1895,I1895))</f>
        <v/>
      </c>
      <c r="L1895" t="str">
        <f>IF(E1895="","",IFERROR(VLOOKUP(E1895,Listas!$A$2:$C$1048576,3,FALSE),""))</f>
        <v/>
      </c>
    </row>
    <row r="1896" spans="10:12" x14ac:dyDescent="0.25">
      <c r="J1896" t="str">
        <f>IF(H1896="","",IFERROR(VLOOKUP(H1896,Listas!$J$2:$K$1048576,2,FALSE),""))</f>
        <v/>
      </c>
      <c r="K1896" s="5" t="str">
        <f>IF(OR(I1896="",G1896=""),"",IF(G1896="Saída",-I1896,I1896))</f>
        <v/>
      </c>
      <c r="L1896" t="str">
        <f>IF(E1896="","",IFERROR(VLOOKUP(E1896,Listas!$A$2:$C$1048576,3,FALSE),""))</f>
        <v/>
      </c>
    </row>
    <row r="1897" spans="10:12" x14ac:dyDescent="0.25">
      <c r="J1897" t="str">
        <f>IF(H1897="","",IFERROR(VLOOKUP(H1897,Listas!$J$2:$K$1048576,2,FALSE),""))</f>
        <v/>
      </c>
      <c r="K1897" s="5" t="str">
        <f>IF(OR(I1897="",G1897=""),"",IF(G1897="Saída",-I1897,I1897))</f>
        <v/>
      </c>
      <c r="L1897" t="str">
        <f>IF(E1897="","",IFERROR(VLOOKUP(E1897,Listas!$A$2:$C$1048576,3,FALSE),""))</f>
        <v/>
      </c>
    </row>
    <row r="1898" spans="10:12" x14ac:dyDescent="0.25">
      <c r="J1898" t="str">
        <f>IF(H1898="","",IFERROR(VLOOKUP(H1898,Listas!$J$2:$K$1048576,2,FALSE),""))</f>
        <v/>
      </c>
      <c r="K1898" s="5" t="str">
        <f>IF(OR(I1898="",G1898=""),"",IF(G1898="Saída",-I1898,I1898))</f>
        <v/>
      </c>
      <c r="L1898" t="str">
        <f>IF(E1898="","",IFERROR(VLOOKUP(E1898,Listas!$A$2:$C$1048576,3,FALSE),""))</f>
        <v/>
      </c>
    </row>
    <row r="1899" spans="10:12" x14ac:dyDescent="0.25">
      <c r="J1899" t="str">
        <f>IF(H1899="","",IFERROR(VLOOKUP(H1899,Listas!$J$2:$K$1048576,2,FALSE),""))</f>
        <v/>
      </c>
      <c r="K1899" s="5" t="str">
        <f>IF(OR(I1899="",G1899=""),"",IF(G1899="Saída",-I1899,I1899))</f>
        <v/>
      </c>
      <c r="L1899" t="str">
        <f>IF(E1899="","",IFERROR(VLOOKUP(E1899,Listas!$A$2:$C$1048576,3,FALSE),""))</f>
        <v/>
      </c>
    </row>
    <row r="1900" spans="10:12" x14ac:dyDescent="0.25">
      <c r="J1900" t="str">
        <f>IF(H1900="","",IFERROR(VLOOKUP(H1900,Listas!$J$2:$K$1048576,2,FALSE),""))</f>
        <v/>
      </c>
      <c r="K1900" s="5" t="str">
        <f>IF(OR(I1900="",G1900=""),"",IF(G1900="Saída",-I1900,I1900))</f>
        <v/>
      </c>
      <c r="L1900" t="str">
        <f>IF(E1900="","",IFERROR(VLOOKUP(E1900,Listas!$A$2:$C$1048576,3,FALSE),""))</f>
        <v/>
      </c>
    </row>
    <row r="1901" spans="10:12" x14ac:dyDescent="0.25">
      <c r="J1901" t="str">
        <f>IF(H1901="","",IFERROR(VLOOKUP(H1901,Listas!$J$2:$K$1048576,2,FALSE),""))</f>
        <v/>
      </c>
      <c r="K1901" s="5" t="str">
        <f>IF(OR(I1901="",G1901=""),"",IF(G1901="Saída",-I1901,I1901))</f>
        <v/>
      </c>
      <c r="L1901" t="str">
        <f>IF(E1901="","",IFERROR(VLOOKUP(E1901,Listas!$A$2:$C$1048576,3,FALSE),""))</f>
        <v/>
      </c>
    </row>
    <row r="1902" spans="10:12" x14ac:dyDescent="0.25">
      <c r="J1902" t="str">
        <f>IF(H1902="","",IFERROR(VLOOKUP(H1902,Listas!$J$2:$K$1048576,2,FALSE),""))</f>
        <v/>
      </c>
      <c r="K1902" s="5" t="str">
        <f>IF(OR(I1902="",G1902=""),"",IF(G1902="Saída",-I1902,I1902))</f>
        <v/>
      </c>
      <c r="L1902" t="str">
        <f>IF(E1902="","",IFERROR(VLOOKUP(E1902,Listas!$A$2:$C$1048576,3,FALSE),""))</f>
        <v/>
      </c>
    </row>
    <row r="1903" spans="10:12" x14ac:dyDescent="0.25">
      <c r="J1903" t="str">
        <f>IF(H1903="","",IFERROR(VLOOKUP(H1903,Listas!$J$2:$K$1048576,2,FALSE),""))</f>
        <v/>
      </c>
      <c r="K1903" s="5" t="str">
        <f>IF(OR(I1903="",G1903=""),"",IF(G1903="Saída",-I1903,I1903))</f>
        <v/>
      </c>
      <c r="L1903" t="str">
        <f>IF(E1903="","",IFERROR(VLOOKUP(E1903,Listas!$A$2:$C$1048576,3,FALSE),""))</f>
        <v/>
      </c>
    </row>
    <row r="1904" spans="10:12" x14ac:dyDescent="0.25">
      <c r="J1904" t="str">
        <f>IF(H1904="","",IFERROR(VLOOKUP(H1904,Listas!$J$2:$K$1048576,2,FALSE),""))</f>
        <v/>
      </c>
      <c r="K1904" s="5" t="str">
        <f>IF(OR(I1904="",G1904=""),"",IF(G1904="Saída",-I1904,I1904))</f>
        <v/>
      </c>
      <c r="L1904" t="str">
        <f>IF(E1904="","",IFERROR(VLOOKUP(E1904,Listas!$A$2:$C$1048576,3,FALSE),""))</f>
        <v/>
      </c>
    </row>
    <row r="1905" spans="10:12" x14ac:dyDescent="0.25">
      <c r="J1905" t="str">
        <f>IF(H1905="","",IFERROR(VLOOKUP(H1905,Listas!$J$2:$K$1048576,2,FALSE),""))</f>
        <v/>
      </c>
      <c r="K1905" s="5" t="str">
        <f>IF(OR(I1905="",G1905=""),"",IF(G1905="Saída",-I1905,I1905))</f>
        <v/>
      </c>
      <c r="L1905" t="str">
        <f>IF(E1905="","",IFERROR(VLOOKUP(E1905,Listas!$A$2:$C$1048576,3,FALSE),""))</f>
        <v/>
      </c>
    </row>
    <row r="1906" spans="10:12" x14ac:dyDescent="0.25">
      <c r="J1906" t="str">
        <f>IF(H1906="","",IFERROR(VLOOKUP(H1906,Listas!$J$2:$K$1048576,2,FALSE),""))</f>
        <v/>
      </c>
      <c r="K1906" s="5" t="str">
        <f>IF(OR(I1906="",G1906=""),"",IF(G1906="Saída",-I1906,I1906))</f>
        <v/>
      </c>
      <c r="L1906" t="str">
        <f>IF(E1906="","",IFERROR(VLOOKUP(E1906,Listas!$A$2:$C$1048576,3,FALSE),""))</f>
        <v/>
      </c>
    </row>
    <row r="1907" spans="10:12" x14ac:dyDescent="0.25">
      <c r="J1907" t="str">
        <f>IF(H1907="","",IFERROR(VLOOKUP(H1907,Listas!$J$2:$K$1048576,2,FALSE),""))</f>
        <v/>
      </c>
      <c r="K1907" s="5" t="str">
        <f>IF(OR(I1907="",G1907=""),"",IF(G1907="Saída",-I1907,I1907))</f>
        <v/>
      </c>
      <c r="L1907" t="str">
        <f>IF(E1907="","",IFERROR(VLOOKUP(E1907,Listas!$A$2:$C$1048576,3,FALSE),""))</f>
        <v/>
      </c>
    </row>
    <row r="1908" spans="10:12" x14ac:dyDescent="0.25">
      <c r="J1908" t="str">
        <f>IF(H1908="","",IFERROR(VLOOKUP(H1908,Listas!$J$2:$K$1048576,2,FALSE),""))</f>
        <v/>
      </c>
      <c r="K1908" s="5" t="str">
        <f>IF(OR(I1908="",G1908=""),"",IF(G1908="Saída",-I1908,I1908))</f>
        <v/>
      </c>
      <c r="L1908" t="str">
        <f>IF(E1908="","",IFERROR(VLOOKUP(E1908,Listas!$A$2:$C$1048576,3,FALSE),""))</f>
        <v/>
      </c>
    </row>
    <row r="1909" spans="10:12" x14ac:dyDescent="0.25">
      <c r="J1909" t="str">
        <f>IF(H1909="","",IFERROR(VLOOKUP(H1909,Listas!$J$2:$K$1048576,2,FALSE),""))</f>
        <v/>
      </c>
      <c r="K1909" s="5" t="str">
        <f>IF(OR(I1909="",G1909=""),"",IF(G1909="Saída",-I1909,I1909))</f>
        <v/>
      </c>
      <c r="L1909" t="str">
        <f>IF(E1909="","",IFERROR(VLOOKUP(E1909,Listas!$A$2:$C$1048576,3,FALSE),""))</f>
        <v/>
      </c>
    </row>
    <row r="1910" spans="10:12" x14ac:dyDescent="0.25">
      <c r="J1910" t="str">
        <f>IF(H1910="","",IFERROR(VLOOKUP(H1910,Listas!$J$2:$K$1048576,2,FALSE),""))</f>
        <v/>
      </c>
      <c r="K1910" s="5" t="str">
        <f>IF(OR(I1910="",G1910=""),"",IF(G1910="Saída",-I1910,I1910))</f>
        <v/>
      </c>
      <c r="L1910" t="str">
        <f>IF(E1910="","",IFERROR(VLOOKUP(E1910,Listas!$A$2:$C$1048576,3,FALSE),""))</f>
        <v/>
      </c>
    </row>
    <row r="1911" spans="10:12" x14ac:dyDescent="0.25">
      <c r="J1911" t="str">
        <f>IF(H1911="","",IFERROR(VLOOKUP(H1911,Listas!$J$2:$K$1048576,2,FALSE),""))</f>
        <v/>
      </c>
      <c r="K1911" s="5" t="str">
        <f>IF(OR(I1911="",G1911=""),"",IF(G1911="Saída",-I1911,I1911))</f>
        <v/>
      </c>
      <c r="L1911" t="str">
        <f>IF(E1911="","",IFERROR(VLOOKUP(E1911,Listas!$A$2:$C$1048576,3,FALSE),""))</f>
        <v/>
      </c>
    </row>
    <row r="1912" spans="10:12" x14ac:dyDescent="0.25">
      <c r="J1912" t="str">
        <f>IF(H1912="","",IFERROR(VLOOKUP(H1912,Listas!$J$2:$K$1048576,2,FALSE),""))</f>
        <v/>
      </c>
      <c r="K1912" s="5" t="str">
        <f>IF(OR(I1912="",G1912=""),"",IF(G1912="Saída",-I1912,I1912))</f>
        <v/>
      </c>
      <c r="L1912" t="str">
        <f>IF(E1912="","",IFERROR(VLOOKUP(E1912,Listas!$A$2:$C$1048576,3,FALSE),""))</f>
        <v/>
      </c>
    </row>
    <row r="1913" spans="10:12" x14ac:dyDescent="0.25">
      <c r="J1913" t="str">
        <f>IF(H1913="","",IFERROR(VLOOKUP(H1913,Listas!$J$2:$K$1048576,2,FALSE),""))</f>
        <v/>
      </c>
      <c r="K1913" s="5" t="str">
        <f>IF(OR(I1913="",G1913=""),"",IF(G1913="Saída",-I1913,I1913))</f>
        <v/>
      </c>
      <c r="L1913" t="str">
        <f>IF(E1913="","",IFERROR(VLOOKUP(E1913,Listas!$A$2:$C$1048576,3,FALSE),""))</f>
        <v/>
      </c>
    </row>
    <row r="1914" spans="10:12" x14ac:dyDescent="0.25">
      <c r="J1914" t="str">
        <f>IF(H1914="","",IFERROR(VLOOKUP(H1914,Listas!$J$2:$K$1048576,2,FALSE),""))</f>
        <v/>
      </c>
      <c r="K1914" s="5" t="str">
        <f>IF(OR(I1914="",G1914=""),"",IF(G1914="Saída",-I1914,I1914))</f>
        <v/>
      </c>
      <c r="L1914" t="str">
        <f>IF(E1914="","",IFERROR(VLOOKUP(E1914,Listas!$A$2:$C$1048576,3,FALSE),""))</f>
        <v/>
      </c>
    </row>
    <row r="1915" spans="10:12" x14ac:dyDescent="0.25">
      <c r="J1915" t="str">
        <f>IF(H1915="","",IFERROR(VLOOKUP(H1915,Listas!$J$2:$K$1048576,2,FALSE),""))</f>
        <v/>
      </c>
      <c r="K1915" s="5" t="str">
        <f>IF(OR(I1915="",G1915=""),"",IF(G1915="Saída",-I1915,I1915))</f>
        <v/>
      </c>
      <c r="L1915" t="str">
        <f>IF(E1915="","",IFERROR(VLOOKUP(E1915,Listas!$A$2:$C$1048576,3,FALSE),""))</f>
        <v/>
      </c>
    </row>
    <row r="1916" spans="10:12" x14ac:dyDescent="0.25">
      <c r="J1916" t="str">
        <f>IF(H1916="","",IFERROR(VLOOKUP(H1916,Listas!$J$2:$K$1048576,2,FALSE),""))</f>
        <v/>
      </c>
      <c r="K1916" s="5" t="str">
        <f>IF(OR(I1916="",G1916=""),"",IF(G1916="Saída",-I1916,I1916))</f>
        <v/>
      </c>
      <c r="L1916" t="str">
        <f>IF(E1916="","",IFERROR(VLOOKUP(E1916,Listas!$A$2:$C$1048576,3,FALSE),""))</f>
        <v/>
      </c>
    </row>
    <row r="1917" spans="10:12" x14ac:dyDescent="0.25">
      <c r="J1917" t="str">
        <f>IF(H1917="","",IFERROR(VLOOKUP(H1917,Listas!$J$2:$K$1048576,2,FALSE),""))</f>
        <v/>
      </c>
      <c r="K1917" s="5" t="str">
        <f>IF(OR(I1917="",G1917=""),"",IF(G1917="Saída",-I1917,I1917))</f>
        <v/>
      </c>
      <c r="L1917" t="str">
        <f>IF(E1917="","",IFERROR(VLOOKUP(E1917,Listas!$A$2:$C$1048576,3,FALSE),""))</f>
        <v/>
      </c>
    </row>
    <row r="1918" spans="10:12" x14ac:dyDescent="0.25">
      <c r="J1918" t="str">
        <f>IF(H1918="","",IFERROR(VLOOKUP(H1918,Listas!$J$2:$K$1048576,2,FALSE),""))</f>
        <v/>
      </c>
      <c r="K1918" s="5" t="str">
        <f>IF(OR(I1918="",G1918=""),"",IF(G1918="Saída",-I1918,I1918))</f>
        <v/>
      </c>
      <c r="L1918" t="str">
        <f>IF(E1918="","",IFERROR(VLOOKUP(E1918,Listas!$A$2:$C$1048576,3,FALSE),""))</f>
        <v/>
      </c>
    </row>
    <row r="1919" spans="10:12" x14ac:dyDescent="0.25">
      <c r="J1919" t="str">
        <f>IF(H1919="","",IFERROR(VLOOKUP(H1919,Listas!$J$2:$K$1048576,2,FALSE),""))</f>
        <v/>
      </c>
      <c r="K1919" s="5" t="str">
        <f>IF(OR(I1919="",G1919=""),"",IF(G1919="Saída",-I1919,I1919))</f>
        <v/>
      </c>
      <c r="L1919" t="str">
        <f>IF(E1919="","",IFERROR(VLOOKUP(E1919,Listas!$A$2:$C$1048576,3,FALSE),""))</f>
        <v/>
      </c>
    </row>
    <row r="1920" spans="10:12" x14ac:dyDescent="0.25">
      <c r="J1920" t="str">
        <f>IF(H1920="","",IFERROR(VLOOKUP(H1920,Listas!$J$2:$K$1048576,2,FALSE),""))</f>
        <v/>
      </c>
      <c r="K1920" s="5" t="str">
        <f>IF(OR(I1920="",G1920=""),"",IF(G1920="Saída",-I1920,I1920))</f>
        <v/>
      </c>
      <c r="L1920" t="str">
        <f>IF(E1920="","",IFERROR(VLOOKUP(E1920,Listas!$A$2:$C$1048576,3,FALSE),""))</f>
        <v/>
      </c>
    </row>
    <row r="1921" spans="10:12" x14ac:dyDescent="0.25">
      <c r="J1921" t="str">
        <f>IF(H1921="","",IFERROR(VLOOKUP(H1921,Listas!$J$2:$K$1048576,2,FALSE),""))</f>
        <v/>
      </c>
      <c r="K1921" s="5" t="str">
        <f>IF(OR(I1921="",G1921=""),"",IF(G1921="Saída",-I1921,I1921))</f>
        <v/>
      </c>
      <c r="L1921" t="str">
        <f>IF(E1921="","",IFERROR(VLOOKUP(E1921,Listas!$A$2:$C$1048576,3,FALSE),""))</f>
        <v/>
      </c>
    </row>
    <row r="1922" spans="10:12" x14ac:dyDescent="0.25">
      <c r="J1922" t="str">
        <f>IF(H1922="","",IFERROR(VLOOKUP(H1922,Listas!$J$2:$K$1048576,2,FALSE),""))</f>
        <v/>
      </c>
      <c r="K1922" s="5" t="str">
        <f>IF(OR(I1922="",G1922=""),"",IF(G1922="Saída",-I1922,I1922))</f>
        <v/>
      </c>
      <c r="L1922" t="str">
        <f>IF(E1922="","",IFERROR(VLOOKUP(E1922,Listas!$A$2:$C$1048576,3,FALSE),""))</f>
        <v/>
      </c>
    </row>
    <row r="1923" spans="10:12" x14ac:dyDescent="0.25">
      <c r="J1923" t="str">
        <f>IF(H1923="","",IFERROR(VLOOKUP(H1923,Listas!$J$2:$K$1048576,2,FALSE),""))</f>
        <v/>
      </c>
      <c r="K1923" s="5" t="str">
        <f>IF(OR(I1923="",G1923=""),"",IF(G1923="Saída",-I1923,I1923))</f>
        <v/>
      </c>
      <c r="L1923" t="str">
        <f>IF(E1923="","",IFERROR(VLOOKUP(E1923,Listas!$A$2:$C$1048576,3,FALSE),""))</f>
        <v/>
      </c>
    </row>
    <row r="1924" spans="10:12" x14ac:dyDescent="0.25">
      <c r="J1924" t="str">
        <f>IF(H1924="","",IFERROR(VLOOKUP(H1924,Listas!$J$2:$K$1048576,2,FALSE),""))</f>
        <v/>
      </c>
      <c r="K1924" s="5" t="str">
        <f>IF(OR(I1924="",G1924=""),"",IF(G1924="Saída",-I1924,I1924))</f>
        <v/>
      </c>
      <c r="L1924" t="str">
        <f>IF(E1924="","",IFERROR(VLOOKUP(E1924,Listas!$A$2:$C$1048576,3,FALSE),""))</f>
        <v/>
      </c>
    </row>
    <row r="1925" spans="10:12" x14ac:dyDescent="0.25">
      <c r="J1925" t="str">
        <f>IF(H1925="","",IFERROR(VLOOKUP(H1925,Listas!$J$2:$K$1048576,2,FALSE),""))</f>
        <v/>
      </c>
      <c r="K1925" s="5" t="str">
        <f>IF(OR(I1925="",G1925=""),"",IF(G1925="Saída",-I1925,I1925))</f>
        <v/>
      </c>
      <c r="L1925" t="str">
        <f>IF(E1925="","",IFERROR(VLOOKUP(E1925,Listas!$A$2:$C$1048576,3,FALSE),""))</f>
        <v/>
      </c>
    </row>
    <row r="1926" spans="10:12" x14ac:dyDescent="0.25">
      <c r="J1926" t="str">
        <f>IF(H1926="","",IFERROR(VLOOKUP(H1926,Listas!$J$2:$K$1048576,2,FALSE),""))</f>
        <v/>
      </c>
      <c r="K1926" s="5" t="str">
        <f>IF(OR(I1926="",G1926=""),"",IF(G1926="Saída",-I1926,I1926))</f>
        <v/>
      </c>
      <c r="L1926" t="str">
        <f>IF(E1926="","",IFERROR(VLOOKUP(E1926,Listas!$A$2:$C$1048576,3,FALSE),""))</f>
        <v/>
      </c>
    </row>
    <row r="1927" spans="10:12" x14ac:dyDescent="0.25">
      <c r="J1927" t="str">
        <f>IF(H1927="","",IFERROR(VLOOKUP(H1927,Listas!$J$2:$K$1048576,2,FALSE),""))</f>
        <v/>
      </c>
      <c r="K1927" s="5" t="str">
        <f>IF(OR(I1927="",G1927=""),"",IF(G1927="Saída",-I1927,I1927))</f>
        <v/>
      </c>
      <c r="L1927" t="str">
        <f>IF(E1927="","",IFERROR(VLOOKUP(E1927,Listas!$A$2:$C$1048576,3,FALSE),""))</f>
        <v/>
      </c>
    </row>
    <row r="1928" spans="10:12" x14ac:dyDescent="0.25">
      <c r="J1928" t="str">
        <f>IF(H1928="","",IFERROR(VLOOKUP(H1928,Listas!$J$2:$K$1048576,2,FALSE),""))</f>
        <v/>
      </c>
      <c r="K1928" s="5" t="str">
        <f>IF(OR(I1928="",G1928=""),"",IF(G1928="Saída",-I1928,I1928))</f>
        <v/>
      </c>
      <c r="L1928" t="str">
        <f>IF(E1928="","",IFERROR(VLOOKUP(E1928,Listas!$A$2:$C$1048576,3,FALSE),""))</f>
        <v/>
      </c>
    </row>
    <row r="1929" spans="10:12" x14ac:dyDescent="0.25">
      <c r="J1929" t="str">
        <f>IF(H1929="","",IFERROR(VLOOKUP(H1929,Listas!$J$2:$K$1048576,2,FALSE),""))</f>
        <v/>
      </c>
      <c r="K1929" s="5" t="str">
        <f>IF(OR(I1929="",G1929=""),"",IF(G1929="Saída",-I1929,I1929))</f>
        <v/>
      </c>
      <c r="L1929" t="str">
        <f>IF(E1929="","",IFERROR(VLOOKUP(E1929,Listas!$A$2:$C$1048576,3,FALSE),""))</f>
        <v/>
      </c>
    </row>
    <row r="1930" spans="10:12" x14ac:dyDescent="0.25">
      <c r="J1930" t="str">
        <f>IF(H1930="","",IFERROR(VLOOKUP(H1930,Listas!$J$2:$K$1048576,2,FALSE),""))</f>
        <v/>
      </c>
      <c r="K1930" s="5" t="str">
        <f>IF(OR(I1930="",G1930=""),"",IF(G1930="Saída",-I1930,I1930))</f>
        <v/>
      </c>
      <c r="L1930" t="str">
        <f>IF(E1930="","",IFERROR(VLOOKUP(E1930,Listas!$A$2:$C$1048576,3,FALSE),""))</f>
        <v/>
      </c>
    </row>
    <row r="1931" spans="10:12" x14ac:dyDescent="0.25">
      <c r="J1931" t="str">
        <f>IF(H1931="","",IFERROR(VLOOKUP(H1931,Listas!$J$2:$K$1048576,2,FALSE),""))</f>
        <v/>
      </c>
      <c r="K1931" s="5" t="str">
        <f>IF(OR(I1931="",G1931=""),"",IF(G1931="Saída",-I1931,I1931))</f>
        <v/>
      </c>
      <c r="L1931" t="str">
        <f>IF(E1931="","",IFERROR(VLOOKUP(E1931,Listas!$A$2:$C$1048576,3,FALSE),""))</f>
        <v/>
      </c>
    </row>
    <row r="1932" spans="10:12" x14ac:dyDescent="0.25">
      <c r="J1932" t="str">
        <f>IF(H1932="","",IFERROR(VLOOKUP(H1932,Listas!$J$2:$K$1048576,2,FALSE),""))</f>
        <v/>
      </c>
      <c r="K1932" s="5" t="str">
        <f>IF(OR(I1932="",G1932=""),"",IF(G1932="Saída",-I1932,I1932))</f>
        <v/>
      </c>
      <c r="L1932" t="str">
        <f>IF(E1932="","",IFERROR(VLOOKUP(E1932,Listas!$A$2:$C$1048576,3,FALSE),""))</f>
        <v/>
      </c>
    </row>
    <row r="1933" spans="10:12" x14ac:dyDescent="0.25">
      <c r="J1933" t="str">
        <f>IF(H1933="","",IFERROR(VLOOKUP(H1933,Listas!$J$2:$K$1048576,2,FALSE),""))</f>
        <v/>
      </c>
      <c r="K1933" s="5" t="str">
        <f>IF(OR(I1933="",G1933=""),"",IF(G1933="Saída",-I1933,I1933))</f>
        <v/>
      </c>
      <c r="L1933" t="str">
        <f>IF(E1933="","",IFERROR(VLOOKUP(E1933,Listas!$A$2:$C$1048576,3,FALSE),""))</f>
        <v/>
      </c>
    </row>
    <row r="1934" spans="10:12" x14ac:dyDescent="0.25">
      <c r="J1934" t="str">
        <f>IF(H1934="","",IFERROR(VLOOKUP(H1934,Listas!$J$2:$K$1048576,2,FALSE),""))</f>
        <v/>
      </c>
      <c r="K1934" s="5" t="str">
        <f>IF(OR(I1934="",G1934=""),"",IF(G1934="Saída",-I1934,I1934))</f>
        <v/>
      </c>
      <c r="L1934" t="str">
        <f>IF(E1934="","",IFERROR(VLOOKUP(E1934,Listas!$A$2:$C$1048576,3,FALSE),""))</f>
        <v/>
      </c>
    </row>
    <row r="1935" spans="10:12" x14ac:dyDescent="0.25">
      <c r="J1935" t="str">
        <f>IF(H1935="","",IFERROR(VLOOKUP(H1935,Listas!$J$2:$K$1048576,2,FALSE),""))</f>
        <v/>
      </c>
      <c r="K1935" s="5" t="str">
        <f>IF(OR(I1935="",G1935=""),"",IF(G1935="Saída",-I1935,I1935))</f>
        <v/>
      </c>
      <c r="L1935" t="str">
        <f>IF(E1935="","",IFERROR(VLOOKUP(E1935,Listas!$A$2:$C$1048576,3,FALSE),""))</f>
        <v/>
      </c>
    </row>
    <row r="1936" spans="10:12" x14ac:dyDescent="0.25">
      <c r="J1936" t="str">
        <f>IF(H1936="","",IFERROR(VLOOKUP(H1936,Listas!$J$2:$K$1048576,2,FALSE),""))</f>
        <v/>
      </c>
      <c r="K1936" s="5" t="str">
        <f>IF(OR(I1936="",G1936=""),"",IF(G1936="Saída",-I1936,I1936))</f>
        <v/>
      </c>
      <c r="L1936" t="str">
        <f>IF(E1936="","",IFERROR(VLOOKUP(E1936,Listas!$A$2:$C$1048576,3,FALSE),""))</f>
        <v/>
      </c>
    </row>
    <row r="1937" spans="10:12" x14ac:dyDescent="0.25">
      <c r="J1937" t="str">
        <f>IF(H1937="","",IFERROR(VLOOKUP(H1937,Listas!$J$2:$K$1048576,2,FALSE),""))</f>
        <v/>
      </c>
      <c r="K1937" s="5" t="str">
        <f>IF(OR(I1937="",G1937=""),"",IF(G1937="Saída",-I1937,I1937))</f>
        <v/>
      </c>
      <c r="L1937" t="str">
        <f>IF(E1937="","",IFERROR(VLOOKUP(E1937,Listas!$A$2:$C$1048576,3,FALSE),""))</f>
        <v/>
      </c>
    </row>
    <row r="1938" spans="10:12" x14ac:dyDescent="0.25">
      <c r="J1938" t="str">
        <f>IF(H1938="","",IFERROR(VLOOKUP(H1938,Listas!$J$2:$K$1048576,2,FALSE),""))</f>
        <v/>
      </c>
      <c r="K1938" s="5" t="str">
        <f>IF(OR(I1938="",G1938=""),"",IF(G1938="Saída",-I1938,I1938))</f>
        <v/>
      </c>
      <c r="L1938" t="str">
        <f>IF(E1938="","",IFERROR(VLOOKUP(E1938,Listas!$A$2:$C$1048576,3,FALSE),""))</f>
        <v/>
      </c>
    </row>
    <row r="1939" spans="10:12" x14ac:dyDescent="0.25">
      <c r="J1939" t="str">
        <f>IF(H1939="","",IFERROR(VLOOKUP(H1939,Listas!$J$2:$K$1048576,2,FALSE),""))</f>
        <v/>
      </c>
      <c r="K1939" s="5" t="str">
        <f>IF(OR(I1939="",G1939=""),"",IF(G1939="Saída",-I1939,I1939))</f>
        <v/>
      </c>
      <c r="L1939" t="str">
        <f>IF(E1939="","",IFERROR(VLOOKUP(E1939,Listas!$A$2:$C$1048576,3,FALSE),""))</f>
        <v/>
      </c>
    </row>
    <row r="1940" spans="10:12" x14ac:dyDescent="0.25">
      <c r="J1940" t="str">
        <f>IF(H1940="","",IFERROR(VLOOKUP(H1940,Listas!$J$2:$K$1048576,2,FALSE),""))</f>
        <v/>
      </c>
      <c r="K1940" s="5" t="str">
        <f>IF(OR(I1940="",G1940=""),"",IF(G1940="Saída",-I1940,I1940))</f>
        <v/>
      </c>
      <c r="L1940" t="str">
        <f>IF(E1940="","",IFERROR(VLOOKUP(E1940,Listas!$A$2:$C$1048576,3,FALSE),""))</f>
        <v/>
      </c>
    </row>
    <row r="1941" spans="10:12" x14ac:dyDescent="0.25">
      <c r="J1941" t="str">
        <f>IF(H1941="","",IFERROR(VLOOKUP(H1941,Listas!$J$2:$K$1048576,2,FALSE),""))</f>
        <v/>
      </c>
      <c r="K1941" s="5" t="str">
        <f>IF(OR(I1941="",G1941=""),"",IF(G1941="Saída",-I1941,I1941))</f>
        <v/>
      </c>
      <c r="L1941" t="str">
        <f>IF(E1941="","",IFERROR(VLOOKUP(E1941,Listas!$A$2:$C$1048576,3,FALSE),""))</f>
        <v/>
      </c>
    </row>
    <row r="1942" spans="10:12" x14ac:dyDescent="0.25">
      <c r="J1942" t="str">
        <f>IF(H1942="","",IFERROR(VLOOKUP(H1942,Listas!$J$2:$K$1048576,2,FALSE),""))</f>
        <v/>
      </c>
      <c r="K1942" s="5" t="str">
        <f>IF(OR(I1942="",G1942=""),"",IF(G1942="Saída",-I1942,I1942))</f>
        <v/>
      </c>
      <c r="L1942" t="str">
        <f>IF(E1942="","",IFERROR(VLOOKUP(E1942,Listas!$A$2:$C$1048576,3,FALSE),""))</f>
        <v/>
      </c>
    </row>
    <row r="1943" spans="10:12" x14ac:dyDescent="0.25">
      <c r="J1943" t="str">
        <f>IF(H1943="","",IFERROR(VLOOKUP(H1943,Listas!$J$2:$K$1048576,2,FALSE),""))</f>
        <v/>
      </c>
      <c r="K1943" s="5" t="str">
        <f>IF(OR(I1943="",G1943=""),"",IF(G1943="Saída",-I1943,I1943))</f>
        <v/>
      </c>
      <c r="L1943" t="str">
        <f>IF(E1943="","",IFERROR(VLOOKUP(E1943,Listas!$A$2:$C$1048576,3,FALSE),""))</f>
        <v/>
      </c>
    </row>
    <row r="1944" spans="10:12" x14ac:dyDescent="0.25">
      <c r="J1944" t="str">
        <f>IF(H1944="","",IFERROR(VLOOKUP(H1944,Listas!$J$2:$K$1048576,2,FALSE),""))</f>
        <v/>
      </c>
      <c r="K1944" s="5" t="str">
        <f>IF(OR(I1944="",G1944=""),"",IF(G1944="Saída",-I1944,I1944))</f>
        <v/>
      </c>
      <c r="L1944" t="str">
        <f>IF(E1944="","",IFERROR(VLOOKUP(E1944,Listas!$A$2:$C$1048576,3,FALSE),""))</f>
        <v/>
      </c>
    </row>
    <row r="1945" spans="10:12" x14ac:dyDescent="0.25">
      <c r="J1945" t="str">
        <f>IF(H1945="","",IFERROR(VLOOKUP(H1945,Listas!$J$2:$K$1048576,2,FALSE),""))</f>
        <v/>
      </c>
      <c r="K1945" s="5" t="str">
        <f>IF(OR(I1945="",G1945=""),"",IF(G1945="Saída",-I1945,I1945))</f>
        <v/>
      </c>
      <c r="L1945" t="str">
        <f>IF(E1945="","",IFERROR(VLOOKUP(E1945,Listas!$A$2:$C$1048576,3,FALSE),""))</f>
        <v/>
      </c>
    </row>
    <row r="1946" spans="10:12" x14ac:dyDescent="0.25">
      <c r="J1946" t="str">
        <f>IF(H1946="","",IFERROR(VLOOKUP(H1946,Listas!$J$2:$K$1048576,2,FALSE),""))</f>
        <v/>
      </c>
      <c r="K1946" s="5" t="str">
        <f>IF(OR(I1946="",G1946=""),"",IF(G1946="Saída",-I1946,I1946))</f>
        <v/>
      </c>
      <c r="L1946" t="str">
        <f>IF(E1946="","",IFERROR(VLOOKUP(E1946,Listas!$A$2:$C$1048576,3,FALSE),""))</f>
        <v/>
      </c>
    </row>
    <row r="1947" spans="10:12" x14ac:dyDescent="0.25">
      <c r="J1947" t="str">
        <f>IF(H1947="","",IFERROR(VLOOKUP(H1947,Listas!$J$2:$K$1048576,2,FALSE),""))</f>
        <v/>
      </c>
      <c r="K1947" s="5" t="str">
        <f>IF(OR(I1947="",G1947=""),"",IF(G1947="Saída",-I1947,I1947))</f>
        <v/>
      </c>
      <c r="L1947" t="str">
        <f>IF(E1947="","",IFERROR(VLOOKUP(E1947,Listas!$A$2:$C$1048576,3,FALSE),""))</f>
        <v/>
      </c>
    </row>
    <row r="1948" spans="10:12" x14ac:dyDescent="0.25">
      <c r="J1948" t="str">
        <f>IF(H1948="","",IFERROR(VLOOKUP(H1948,Listas!$J$2:$K$1048576,2,FALSE),""))</f>
        <v/>
      </c>
      <c r="K1948" s="5" t="str">
        <f>IF(OR(I1948="",G1948=""),"",IF(G1948="Saída",-I1948,I1948))</f>
        <v/>
      </c>
      <c r="L1948" t="str">
        <f>IF(E1948="","",IFERROR(VLOOKUP(E1948,Listas!$A$2:$C$1048576,3,FALSE),""))</f>
        <v/>
      </c>
    </row>
    <row r="1949" spans="10:12" x14ac:dyDescent="0.25">
      <c r="J1949" t="str">
        <f>IF(H1949="","",IFERROR(VLOOKUP(H1949,Listas!$J$2:$K$1048576,2,FALSE),""))</f>
        <v/>
      </c>
      <c r="K1949" s="5" t="str">
        <f>IF(OR(I1949="",G1949=""),"",IF(G1949="Saída",-I1949,I1949))</f>
        <v/>
      </c>
      <c r="L1949" t="str">
        <f>IF(E1949="","",IFERROR(VLOOKUP(E1949,Listas!$A$2:$C$1048576,3,FALSE),""))</f>
        <v/>
      </c>
    </row>
    <row r="1950" spans="10:12" x14ac:dyDescent="0.25">
      <c r="J1950" t="str">
        <f>IF(H1950="","",IFERROR(VLOOKUP(H1950,Listas!$J$2:$K$1048576,2,FALSE),""))</f>
        <v/>
      </c>
      <c r="K1950" s="5" t="str">
        <f>IF(OR(I1950="",G1950=""),"",IF(G1950="Saída",-I1950,I1950))</f>
        <v/>
      </c>
      <c r="L1950" t="str">
        <f>IF(E1950="","",IFERROR(VLOOKUP(E1950,Listas!$A$2:$C$1048576,3,FALSE),""))</f>
        <v/>
      </c>
    </row>
    <row r="1951" spans="10:12" x14ac:dyDescent="0.25">
      <c r="J1951" t="str">
        <f>IF(H1951="","",IFERROR(VLOOKUP(H1951,Listas!$J$2:$K$1048576,2,FALSE),""))</f>
        <v/>
      </c>
      <c r="K1951" s="5" t="str">
        <f>IF(OR(I1951="",G1951=""),"",IF(G1951="Saída",-I1951,I1951))</f>
        <v/>
      </c>
      <c r="L1951" t="str">
        <f>IF(E1951="","",IFERROR(VLOOKUP(E1951,Listas!$A$2:$C$1048576,3,FALSE),""))</f>
        <v/>
      </c>
    </row>
    <row r="1952" spans="10:12" x14ac:dyDescent="0.25">
      <c r="J1952" t="str">
        <f>IF(H1952="","",IFERROR(VLOOKUP(H1952,Listas!$J$2:$K$1048576,2,FALSE),""))</f>
        <v/>
      </c>
      <c r="K1952" s="5" t="str">
        <f>IF(OR(I1952="",G1952=""),"",IF(G1952="Saída",-I1952,I1952))</f>
        <v/>
      </c>
      <c r="L1952" t="str">
        <f>IF(E1952="","",IFERROR(VLOOKUP(E1952,Listas!$A$2:$C$1048576,3,FALSE),""))</f>
        <v/>
      </c>
    </row>
    <row r="1953" spans="10:12" x14ac:dyDescent="0.25">
      <c r="J1953" t="str">
        <f>IF(H1953="","",IFERROR(VLOOKUP(H1953,Listas!$J$2:$K$1048576,2,FALSE),""))</f>
        <v/>
      </c>
      <c r="K1953" s="5" t="str">
        <f>IF(OR(I1953="",G1953=""),"",IF(G1953="Saída",-I1953,I1953))</f>
        <v/>
      </c>
      <c r="L1953" t="str">
        <f>IF(E1953="","",IFERROR(VLOOKUP(E1953,Listas!$A$2:$C$1048576,3,FALSE),""))</f>
        <v/>
      </c>
    </row>
    <row r="1954" spans="10:12" x14ac:dyDescent="0.25">
      <c r="J1954" t="str">
        <f>IF(H1954="","",IFERROR(VLOOKUP(H1954,Listas!$J$2:$K$1048576,2,FALSE),""))</f>
        <v/>
      </c>
      <c r="K1954" s="5" t="str">
        <f>IF(OR(I1954="",G1954=""),"",IF(G1954="Saída",-I1954,I1954))</f>
        <v/>
      </c>
      <c r="L1954" t="str">
        <f>IF(E1954="","",IFERROR(VLOOKUP(E1954,Listas!$A$2:$C$1048576,3,FALSE),""))</f>
        <v/>
      </c>
    </row>
    <row r="1955" spans="10:12" x14ac:dyDescent="0.25">
      <c r="J1955" t="str">
        <f>IF(H1955="","",IFERROR(VLOOKUP(H1955,Listas!$J$2:$K$1048576,2,FALSE),""))</f>
        <v/>
      </c>
      <c r="K1955" s="5" t="str">
        <f>IF(OR(I1955="",G1955=""),"",IF(G1955="Saída",-I1955,I1955))</f>
        <v/>
      </c>
      <c r="L1955" t="str">
        <f>IF(E1955="","",IFERROR(VLOOKUP(E1955,Listas!$A$2:$C$1048576,3,FALSE),""))</f>
        <v/>
      </c>
    </row>
    <row r="1956" spans="10:12" x14ac:dyDescent="0.25">
      <c r="J1956" t="str">
        <f>IF(H1956="","",IFERROR(VLOOKUP(H1956,Listas!$J$2:$K$1048576,2,FALSE),""))</f>
        <v/>
      </c>
      <c r="K1956" s="5" t="str">
        <f>IF(OR(I1956="",G1956=""),"",IF(G1956="Saída",-I1956,I1956))</f>
        <v/>
      </c>
      <c r="L1956" t="str">
        <f>IF(E1956="","",IFERROR(VLOOKUP(E1956,Listas!$A$2:$C$1048576,3,FALSE),""))</f>
        <v/>
      </c>
    </row>
    <row r="1957" spans="10:12" x14ac:dyDescent="0.25">
      <c r="J1957" t="str">
        <f>IF(H1957="","",IFERROR(VLOOKUP(H1957,Listas!$J$2:$K$1048576,2,FALSE),""))</f>
        <v/>
      </c>
      <c r="K1957" s="5" t="str">
        <f>IF(OR(I1957="",G1957=""),"",IF(G1957="Saída",-I1957,I1957))</f>
        <v/>
      </c>
      <c r="L1957" t="str">
        <f>IF(E1957="","",IFERROR(VLOOKUP(E1957,Listas!$A$2:$C$1048576,3,FALSE),""))</f>
        <v/>
      </c>
    </row>
    <row r="1958" spans="10:12" x14ac:dyDescent="0.25">
      <c r="J1958" t="str">
        <f>IF(H1958="","",IFERROR(VLOOKUP(H1958,Listas!$J$2:$K$1048576,2,FALSE),""))</f>
        <v/>
      </c>
      <c r="K1958" s="5" t="str">
        <f>IF(OR(I1958="",G1958=""),"",IF(G1958="Saída",-I1958,I1958))</f>
        <v/>
      </c>
      <c r="L1958" t="str">
        <f>IF(E1958="","",IFERROR(VLOOKUP(E1958,Listas!$A$2:$C$1048576,3,FALSE),""))</f>
        <v/>
      </c>
    </row>
    <row r="1959" spans="10:12" x14ac:dyDescent="0.25">
      <c r="J1959" t="str">
        <f>IF(H1959="","",IFERROR(VLOOKUP(H1959,Listas!$J$2:$K$1048576,2,FALSE),""))</f>
        <v/>
      </c>
      <c r="K1959" s="5" t="str">
        <f>IF(OR(I1959="",G1959=""),"",IF(G1959="Saída",-I1959,I1959))</f>
        <v/>
      </c>
      <c r="L1959" t="str">
        <f>IF(E1959="","",IFERROR(VLOOKUP(E1959,Listas!$A$2:$C$1048576,3,FALSE),""))</f>
        <v/>
      </c>
    </row>
    <row r="1960" spans="10:12" x14ac:dyDescent="0.25">
      <c r="J1960" t="str">
        <f>IF(H1960="","",IFERROR(VLOOKUP(H1960,Listas!$J$2:$K$1048576,2,FALSE),""))</f>
        <v/>
      </c>
      <c r="K1960" s="5" t="str">
        <f>IF(OR(I1960="",G1960=""),"",IF(G1960="Saída",-I1960,I1960))</f>
        <v/>
      </c>
      <c r="L1960" t="str">
        <f>IF(E1960="","",IFERROR(VLOOKUP(E1960,Listas!$A$2:$C$1048576,3,FALSE),""))</f>
        <v/>
      </c>
    </row>
    <row r="1961" spans="10:12" x14ac:dyDescent="0.25">
      <c r="J1961" t="str">
        <f>IF(H1961="","",IFERROR(VLOOKUP(H1961,Listas!$J$2:$K$1048576,2,FALSE),""))</f>
        <v/>
      </c>
      <c r="K1961" s="5" t="str">
        <f>IF(OR(I1961="",G1961=""),"",IF(G1961="Saída",-I1961,I1961))</f>
        <v/>
      </c>
      <c r="L1961" t="str">
        <f>IF(E1961="","",IFERROR(VLOOKUP(E1961,Listas!$A$2:$C$1048576,3,FALSE),""))</f>
        <v/>
      </c>
    </row>
    <row r="1962" spans="10:12" x14ac:dyDescent="0.25">
      <c r="J1962" t="str">
        <f>IF(H1962="","",IFERROR(VLOOKUP(H1962,Listas!$J$2:$K$1048576,2,FALSE),""))</f>
        <v/>
      </c>
      <c r="K1962" s="5" t="str">
        <f>IF(OR(I1962="",G1962=""),"",IF(G1962="Saída",-I1962,I1962))</f>
        <v/>
      </c>
      <c r="L1962" t="str">
        <f>IF(E1962="","",IFERROR(VLOOKUP(E1962,Listas!$A$2:$C$1048576,3,FALSE),""))</f>
        <v/>
      </c>
    </row>
    <row r="1963" spans="10:12" x14ac:dyDescent="0.25">
      <c r="J1963" t="str">
        <f>IF(H1963="","",IFERROR(VLOOKUP(H1963,Listas!$J$2:$K$1048576,2,FALSE),""))</f>
        <v/>
      </c>
      <c r="K1963" s="5" t="str">
        <f>IF(OR(I1963="",G1963=""),"",IF(G1963="Saída",-I1963,I1963))</f>
        <v/>
      </c>
      <c r="L1963" t="str">
        <f>IF(E1963="","",IFERROR(VLOOKUP(E1963,Listas!$A$2:$C$1048576,3,FALSE),""))</f>
        <v/>
      </c>
    </row>
    <row r="1964" spans="10:12" x14ac:dyDescent="0.25">
      <c r="J1964" t="str">
        <f>IF(H1964="","",IFERROR(VLOOKUP(H1964,Listas!$J$2:$K$1048576,2,FALSE),""))</f>
        <v/>
      </c>
      <c r="K1964" s="5" t="str">
        <f>IF(OR(I1964="",G1964=""),"",IF(G1964="Saída",-I1964,I1964))</f>
        <v/>
      </c>
      <c r="L1964" t="str">
        <f>IF(E1964="","",IFERROR(VLOOKUP(E1964,Listas!$A$2:$C$1048576,3,FALSE),""))</f>
        <v/>
      </c>
    </row>
    <row r="1965" spans="10:12" x14ac:dyDescent="0.25">
      <c r="J1965" t="str">
        <f>IF(H1965="","",IFERROR(VLOOKUP(H1965,Listas!$J$2:$K$1048576,2,FALSE),""))</f>
        <v/>
      </c>
      <c r="K1965" s="5" t="str">
        <f>IF(OR(I1965="",G1965=""),"",IF(G1965="Saída",-I1965,I1965))</f>
        <v/>
      </c>
      <c r="L1965" t="str">
        <f>IF(E1965="","",IFERROR(VLOOKUP(E1965,Listas!$A$2:$C$1048576,3,FALSE),""))</f>
        <v/>
      </c>
    </row>
    <row r="1966" spans="10:12" x14ac:dyDescent="0.25">
      <c r="J1966" t="str">
        <f>IF(H1966="","",IFERROR(VLOOKUP(H1966,Listas!$J$2:$K$1048576,2,FALSE),""))</f>
        <v/>
      </c>
      <c r="K1966" s="5" t="str">
        <f>IF(OR(I1966="",G1966=""),"",IF(G1966="Saída",-I1966,I1966))</f>
        <v/>
      </c>
      <c r="L1966" t="str">
        <f>IF(E1966="","",IFERROR(VLOOKUP(E1966,Listas!$A$2:$C$1048576,3,FALSE),""))</f>
        <v/>
      </c>
    </row>
    <row r="1967" spans="10:12" x14ac:dyDescent="0.25">
      <c r="J1967" t="str">
        <f>IF(H1967="","",IFERROR(VLOOKUP(H1967,Listas!$J$2:$K$1048576,2,FALSE),""))</f>
        <v/>
      </c>
      <c r="K1967" s="5" t="str">
        <f>IF(OR(I1967="",G1967=""),"",IF(G1967="Saída",-I1967,I1967))</f>
        <v/>
      </c>
      <c r="L1967" t="str">
        <f>IF(E1967="","",IFERROR(VLOOKUP(E1967,Listas!$A$2:$C$1048576,3,FALSE),""))</f>
        <v/>
      </c>
    </row>
    <row r="1968" spans="10:12" x14ac:dyDescent="0.25">
      <c r="J1968" t="str">
        <f>IF(H1968="","",IFERROR(VLOOKUP(H1968,Listas!$J$2:$K$1048576,2,FALSE),""))</f>
        <v/>
      </c>
      <c r="K1968" s="5" t="str">
        <f>IF(OR(I1968="",G1968=""),"",IF(G1968="Saída",-I1968,I1968))</f>
        <v/>
      </c>
      <c r="L1968" t="str">
        <f>IF(E1968="","",IFERROR(VLOOKUP(E1968,Listas!$A$2:$C$1048576,3,FALSE),""))</f>
        <v/>
      </c>
    </row>
    <row r="1969" spans="10:12" x14ac:dyDescent="0.25">
      <c r="J1969" t="str">
        <f>IF(H1969="","",IFERROR(VLOOKUP(H1969,Listas!$J$2:$K$1048576,2,FALSE),""))</f>
        <v/>
      </c>
      <c r="K1969" s="5" t="str">
        <f>IF(OR(I1969="",G1969=""),"",IF(G1969="Saída",-I1969,I1969))</f>
        <v/>
      </c>
      <c r="L1969" t="str">
        <f>IF(E1969="","",IFERROR(VLOOKUP(E1969,Listas!$A$2:$C$1048576,3,FALSE),""))</f>
        <v/>
      </c>
    </row>
    <row r="1970" spans="10:12" x14ac:dyDescent="0.25">
      <c r="J1970" t="str">
        <f>IF(H1970="","",IFERROR(VLOOKUP(H1970,Listas!$J$2:$K$1048576,2,FALSE),""))</f>
        <v/>
      </c>
      <c r="K1970" s="5" t="str">
        <f>IF(OR(I1970="",G1970=""),"",IF(G1970="Saída",-I1970,I1970))</f>
        <v/>
      </c>
      <c r="L1970" t="str">
        <f>IF(E1970="","",IFERROR(VLOOKUP(E1970,Listas!$A$2:$C$1048576,3,FALSE),""))</f>
        <v/>
      </c>
    </row>
    <row r="1971" spans="10:12" x14ac:dyDescent="0.25">
      <c r="J1971" t="str">
        <f>IF(H1971="","",IFERROR(VLOOKUP(H1971,Listas!$J$2:$K$1048576,2,FALSE),""))</f>
        <v/>
      </c>
      <c r="K1971" s="5" t="str">
        <f>IF(OR(I1971="",G1971=""),"",IF(G1971="Saída",-I1971,I1971))</f>
        <v/>
      </c>
      <c r="L1971" t="str">
        <f>IF(E1971="","",IFERROR(VLOOKUP(E1971,Listas!$A$2:$C$1048576,3,FALSE),""))</f>
        <v/>
      </c>
    </row>
    <row r="1972" spans="10:12" x14ac:dyDescent="0.25">
      <c r="J1972" t="str">
        <f>IF(H1972="","",IFERROR(VLOOKUP(H1972,Listas!$J$2:$K$1048576,2,FALSE),""))</f>
        <v/>
      </c>
      <c r="K1972" s="5" t="str">
        <f>IF(OR(I1972="",G1972=""),"",IF(G1972="Saída",-I1972,I1972))</f>
        <v/>
      </c>
      <c r="L1972" t="str">
        <f>IF(E1972="","",IFERROR(VLOOKUP(E1972,Listas!$A$2:$C$1048576,3,FALSE),""))</f>
        <v/>
      </c>
    </row>
    <row r="1973" spans="10:12" x14ac:dyDescent="0.25">
      <c r="J1973" t="str">
        <f>IF(H1973="","",IFERROR(VLOOKUP(H1973,Listas!$J$2:$K$1048576,2,FALSE),""))</f>
        <v/>
      </c>
      <c r="K1973" s="5" t="str">
        <f>IF(OR(I1973="",G1973=""),"",IF(G1973="Saída",-I1973,I1973))</f>
        <v/>
      </c>
      <c r="L1973" t="str">
        <f>IF(E1973="","",IFERROR(VLOOKUP(E1973,Listas!$A$2:$C$1048576,3,FALSE),""))</f>
        <v/>
      </c>
    </row>
    <row r="1974" spans="10:12" x14ac:dyDescent="0.25">
      <c r="J1974" t="str">
        <f>IF(H1974="","",IFERROR(VLOOKUP(H1974,Listas!$J$2:$K$1048576,2,FALSE),""))</f>
        <v/>
      </c>
      <c r="K1974" s="5" t="str">
        <f>IF(OR(I1974="",G1974=""),"",IF(G1974="Saída",-I1974,I1974))</f>
        <v/>
      </c>
      <c r="L1974" t="str">
        <f>IF(E1974="","",IFERROR(VLOOKUP(E1974,Listas!$A$2:$C$1048576,3,FALSE),""))</f>
        <v/>
      </c>
    </row>
    <row r="1975" spans="10:12" x14ac:dyDescent="0.25">
      <c r="J1975" t="str">
        <f>IF(H1975="","",IFERROR(VLOOKUP(H1975,Listas!$J$2:$K$1048576,2,FALSE),""))</f>
        <v/>
      </c>
      <c r="K1975" s="5" t="str">
        <f>IF(OR(I1975="",G1975=""),"",IF(G1975="Saída",-I1975,I1975))</f>
        <v/>
      </c>
      <c r="L1975" t="str">
        <f>IF(E1975="","",IFERROR(VLOOKUP(E1975,Listas!$A$2:$C$1048576,3,FALSE),""))</f>
        <v/>
      </c>
    </row>
    <row r="1976" spans="10:12" x14ac:dyDescent="0.25">
      <c r="J1976" t="str">
        <f>IF(H1976="","",IFERROR(VLOOKUP(H1976,Listas!$J$2:$K$1048576,2,FALSE),""))</f>
        <v/>
      </c>
      <c r="K1976" s="5" t="str">
        <f>IF(OR(I1976="",G1976=""),"",IF(G1976="Saída",-I1976,I1976))</f>
        <v/>
      </c>
      <c r="L1976" t="str">
        <f>IF(E1976="","",IFERROR(VLOOKUP(E1976,Listas!$A$2:$C$1048576,3,FALSE),""))</f>
        <v/>
      </c>
    </row>
    <row r="1977" spans="10:12" x14ac:dyDescent="0.25">
      <c r="J1977" t="str">
        <f>IF(H1977="","",IFERROR(VLOOKUP(H1977,Listas!$J$2:$K$1048576,2,FALSE),""))</f>
        <v/>
      </c>
      <c r="K1977" s="5" t="str">
        <f>IF(OR(I1977="",G1977=""),"",IF(G1977="Saída",-I1977,I1977))</f>
        <v/>
      </c>
      <c r="L1977" t="str">
        <f>IF(E1977="","",IFERROR(VLOOKUP(E1977,Listas!$A$2:$C$1048576,3,FALSE),""))</f>
        <v/>
      </c>
    </row>
    <row r="1978" spans="10:12" x14ac:dyDescent="0.25">
      <c r="J1978" t="str">
        <f>IF(H1978="","",IFERROR(VLOOKUP(H1978,Listas!$J$2:$K$1048576,2,FALSE),""))</f>
        <v/>
      </c>
      <c r="K1978" s="5" t="str">
        <f>IF(OR(I1978="",G1978=""),"",IF(G1978="Saída",-I1978,I1978))</f>
        <v/>
      </c>
      <c r="L1978" t="str">
        <f>IF(E1978="","",IFERROR(VLOOKUP(E1978,Listas!$A$2:$C$1048576,3,FALSE),""))</f>
        <v/>
      </c>
    </row>
    <row r="1979" spans="10:12" x14ac:dyDescent="0.25">
      <c r="J1979" t="str">
        <f>IF(H1979="","",IFERROR(VLOOKUP(H1979,Listas!$J$2:$K$1048576,2,FALSE),""))</f>
        <v/>
      </c>
      <c r="K1979" s="5" t="str">
        <f>IF(OR(I1979="",G1979=""),"",IF(G1979="Saída",-I1979,I1979))</f>
        <v/>
      </c>
      <c r="L1979" t="str">
        <f>IF(E1979="","",IFERROR(VLOOKUP(E1979,Listas!$A$2:$C$1048576,3,FALSE),""))</f>
        <v/>
      </c>
    </row>
    <row r="1980" spans="10:12" x14ac:dyDescent="0.25">
      <c r="J1980" t="str">
        <f>IF(H1980="","",IFERROR(VLOOKUP(H1980,Listas!$J$2:$K$1048576,2,FALSE),""))</f>
        <v/>
      </c>
      <c r="K1980" s="5" t="str">
        <f>IF(OR(I1980="",G1980=""),"",IF(G1980="Saída",-I1980,I1980))</f>
        <v/>
      </c>
      <c r="L1980" t="str">
        <f>IF(E1980="","",IFERROR(VLOOKUP(E1980,Listas!$A$2:$C$1048576,3,FALSE),""))</f>
        <v/>
      </c>
    </row>
    <row r="1981" spans="10:12" x14ac:dyDescent="0.25">
      <c r="J1981" t="str">
        <f>IF(H1981="","",IFERROR(VLOOKUP(H1981,Listas!$J$2:$K$1048576,2,FALSE),""))</f>
        <v/>
      </c>
      <c r="K1981" s="5" t="str">
        <f>IF(OR(I1981="",G1981=""),"",IF(G1981="Saída",-I1981,I1981))</f>
        <v/>
      </c>
      <c r="L1981" t="str">
        <f>IF(E1981="","",IFERROR(VLOOKUP(E1981,Listas!$A$2:$C$1048576,3,FALSE),""))</f>
        <v/>
      </c>
    </row>
    <row r="1982" spans="10:12" x14ac:dyDescent="0.25">
      <c r="J1982" t="str">
        <f>IF(H1982="","",IFERROR(VLOOKUP(H1982,Listas!$J$2:$K$1048576,2,FALSE),""))</f>
        <v/>
      </c>
      <c r="K1982" s="5" t="str">
        <f>IF(OR(I1982="",G1982=""),"",IF(G1982="Saída",-I1982,I1982))</f>
        <v/>
      </c>
      <c r="L1982" t="str">
        <f>IF(E1982="","",IFERROR(VLOOKUP(E1982,Listas!$A$2:$C$1048576,3,FALSE),""))</f>
        <v/>
      </c>
    </row>
    <row r="1983" spans="10:12" x14ac:dyDescent="0.25">
      <c r="J1983" t="str">
        <f>IF(H1983="","",IFERROR(VLOOKUP(H1983,Listas!$J$2:$K$1048576,2,FALSE),""))</f>
        <v/>
      </c>
      <c r="K1983" s="5" t="str">
        <f>IF(OR(I1983="",G1983=""),"",IF(G1983="Saída",-I1983,I1983))</f>
        <v/>
      </c>
      <c r="L1983" t="str">
        <f>IF(E1983="","",IFERROR(VLOOKUP(E1983,Listas!$A$2:$C$1048576,3,FALSE),""))</f>
        <v/>
      </c>
    </row>
    <row r="1984" spans="10:12" x14ac:dyDescent="0.25">
      <c r="J1984" t="str">
        <f>IF(H1984="","",IFERROR(VLOOKUP(H1984,Listas!$J$2:$K$1048576,2,FALSE),""))</f>
        <v/>
      </c>
      <c r="K1984" s="5" t="str">
        <f>IF(OR(I1984="",G1984=""),"",IF(G1984="Saída",-I1984,I1984))</f>
        <v/>
      </c>
      <c r="L1984" t="str">
        <f>IF(E1984="","",IFERROR(VLOOKUP(E1984,Listas!$A$2:$C$1048576,3,FALSE),""))</f>
        <v/>
      </c>
    </row>
    <row r="1985" spans="10:12" x14ac:dyDescent="0.25">
      <c r="J1985" t="str">
        <f>IF(H1985="","",IFERROR(VLOOKUP(H1985,Listas!$J$2:$K$1048576,2,FALSE),""))</f>
        <v/>
      </c>
      <c r="K1985" s="5" t="str">
        <f>IF(OR(I1985="",G1985=""),"",IF(G1985="Saída",-I1985,I1985))</f>
        <v/>
      </c>
      <c r="L1985" t="str">
        <f>IF(E1985="","",IFERROR(VLOOKUP(E1985,Listas!$A$2:$C$1048576,3,FALSE),""))</f>
        <v/>
      </c>
    </row>
    <row r="1986" spans="10:12" x14ac:dyDescent="0.25">
      <c r="J1986" t="str">
        <f>IF(H1986="","",IFERROR(VLOOKUP(H1986,Listas!$J$2:$K$1048576,2,FALSE),""))</f>
        <v/>
      </c>
      <c r="K1986" s="5" t="str">
        <f>IF(OR(I1986="",G1986=""),"",IF(G1986="Saída",-I1986,I1986))</f>
        <v/>
      </c>
      <c r="L1986" t="str">
        <f>IF(E1986="","",IFERROR(VLOOKUP(E1986,Listas!$A$2:$C$1048576,3,FALSE),""))</f>
        <v/>
      </c>
    </row>
    <row r="1987" spans="10:12" x14ac:dyDescent="0.25">
      <c r="J1987" t="str">
        <f>IF(H1987="","",IFERROR(VLOOKUP(H1987,Listas!$J$2:$K$1048576,2,FALSE),""))</f>
        <v/>
      </c>
      <c r="K1987" s="5" t="str">
        <f>IF(OR(I1987="",G1987=""),"",IF(G1987="Saída",-I1987,I1987))</f>
        <v/>
      </c>
      <c r="L1987" t="str">
        <f>IF(E1987="","",IFERROR(VLOOKUP(E1987,Listas!$A$2:$C$1048576,3,FALSE),""))</f>
        <v/>
      </c>
    </row>
    <row r="1988" spans="10:12" x14ac:dyDescent="0.25">
      <c r="J1988" t="str">
        <f>IF(H1988="","",IFERROR(VLOOKUP(H1988,Listas!$J$2:$K$1048576,2,FALSE),""))</f>
        <v/>
      </c>
      <c r="K1988" s="5" t="str">
        <f>IF(OR(I1988="",G1988=""),"",IF(G1988="Saída",-I1988,I1988))</f>
        <v/>
      </c>
      <c r="L1988" t="str">
        <f>IF(E1988="","",IFERROR(VLOOKUP(E1988,Listas!$A$2:$C$1048576,3,FALSE),""))</f>
        <v/>
      </c>
    </row>
    <row r="1989" spans="10:12" x14ac:dyDescent="0.25">
      <c r="J1989" t="str">
        <f>IF(H1989="","",IFERROR(VLOOKUP(H1989,Listas!$J$2:$K$1048576,2,FALSE),""))</f>
        <v/>
      </c>
      <c r="K1989" s="5" t="str">
        <f>IF(OR(I1989="",G1989=""),"",IF(G1989="Saída",-I1989,I1989))</f>
        <v/>
      </c>
      <c r="L1989" t="str">
        <f>IF(E1989="","",IFERROR(VLOOKUP(E1989,Listas!$A$2:$C$1048576,3,FALSE),""))</f>
        <v/>
      </c>
    </row>
    <row r="1990" spans="10:12" x14ac:dyDescent="0.25">
      <c r="J1990" t="str">
        <f>IF(H1990="","",IFERROR(VLOOKUP(H1990,Listas!$J$2:$K$1048576,2,FALSE),""))</f>
        <v/>
      </c>
      <c r="K1990" s="5" t="str">
        <f>IF(OR(I1990="",G1990=""),"",IF(G1990="Saída",-I1990,I1990))</f>
        <v/>
      </c>
      <c r="L1990" t="str">
        <f>IF(E1990="","",IFERROR(VLOOKUP(E1990,Listas!$A$2:$C$1048576,3,FALSE),""))</f>
        <v/>
      </c>
    </row>
    <row r="1991" spans="10:12" x14ac:dyDescent="0.25">
      <c r="J1991" t="str">
        <f>IF(H1991="","",IFERROR(VLOOKUP(H1991,Listas!$J$2:$K$1048576,2,FALSE),""))</f>
        <v/>
      </c>
      <c r="K1991" s="5" t="str">
        <f>IF(OR(I1991="",G1991=""),"",IF(G1991="Saída",-I1991,I1991))</f>
        <v/>
      </c>
      <c r="L1991" t="str">
        <f>IF(E1991="","",IFERROR(VLOOKUP(E1991,Listas!$A$2:$C$1048576,3,FALSE),""))</f>
        <v/>
      </c>
    </row>
    <row r="1992" spans="10:12" x14ac:dyDescent="0.25">
      <c r="J1992" t="str">
        <f>IF(H1992="","",IFERROR(VLOOKUP(H1992,Listas!$J$2:$K$1048576,2,FALSE),""))</f>
        <v/>
      </c>
      <c r="K1992" s="5" t="str">
        <f>IF(OR(I1992="",G1992=""),"",IF(G1992="Saída",-I1992,I1992))</f>
        <v/>
      </c>
      <c r="L1992" t="str">
        <f>IF(E1992="","",IFERROR(VLOOKUP(E1992,Listas!$A$2:$C$1048576,3,FALSE),""))</f>
        <v/>
      </c>
    </row>
    <row r="1993" spans="10:12" x14ac:dyDescent="0.25">
      <c r="J1993" t="str">
        <f>IF(H1993="","",IFERROR(VLOOKUP(H1993,Listas!$J$2:$K$1048576,2,FALSE),""))</f>
        <v/>
      </c>
      <c r="K1993" s="5" t="str">
        <f>IF(OR(I1993="",G1993=""),"",IF(G1993="Saída",-I1993,I1993))</f>
        <v/>
      </c>
      <c r="L1993" t="str">
        <f>IF(E1993="","",IFERROR(VLOOKUP(E1993,Listas!$A$2:$C$1048576,3,FALSE),""))</f>
        <v/>
      </c>
    </row>
    <row r="1994" spans="10:12" x14ac:dyDescent="0.25">
      <c r="J1994" t="str">
        <f>IF(H1994="","",IFERROR(VLOOKUP(H1994,Listas!$J$2:$K$1048576,2,FALSE),""))</f>
        <v/>
      </c>
      <c r="K1994" s="5" t="str">
        <f>IF(OR(I1994="",G1994=""),"",IF(G1994="Saída",-I1994,I1994))</f>
        <v/>
      </c>
      <c r="L1994" t="str">
        <f>IF(E1994="","",IFERROR(VLOOKUP(E1994,Listas!$A$2:$C$1048576,3,FALSE),""))</f>
        <v/>
      </c>
    </row>
    <row r="1995" spans="10:12" x14ac:dyDescent="0.25">
      <c r="J1995" t="str">
        <f>IF(H1995="","",IFERROR(VLOOKUP(H1995,Listas!$J$2:$K$1048576,2,FALSE),""))</f>
        <v/>
      </c>
      <c r="K1995" s="5" t="str">
        <f>IF(OR(I1995="",G1995=""),"",IF(G1995="Saída",-I1995,I1995))</f>
        <v/>
      </c>
      <c r="L1995" t="str">
        <f>IF(E1995="","",IFERROR(VLOOKUP(E1995,Listas!$A$2:$C$1048576,3,FALSE),""))</f>
        <v/>
      </c>
    </row>
    <row r="1996" spans="10:12" x14ac:dyDescent="0.25">
      <c r="J1996" t="str">
        <f>IF(H1996="","",IFERROR(VLOOKUP(H1996,Listas!$J$2:$K$1048576,2,FALSE),""))</f>
        <v/>
      </c>
      <c r="K1996" s="5" t="str">
        <f>IF(OR(I1996="",G1996=""),"",IF(G1996="Saída",-I1996,I1996))</f>
        <v/>
      </c>
      <c r="L1996" t="str">
        <f>IF(E1996="","",IFERROR(VLOOKUP(E1996,Listas!$A$2:$C$1048576,3,FALSE),""))</f>
        <v/>
      </c>
    </row>
    <row r="1997" spans="10:12" x14ac:dyDescent="0.25">
      <c r="J1997" t="str">
        <f>IF(H1997="","",IFERROR(VLOOKUP(H1997,Listas!$J$2:$K$1048576,2,FALSE),""))</f>
        <v/>
      </c>
      <c r="K1997" s="5" t="str">
        <f>IF(OR(I1997="",G1997=""),"",IF(G1997="Saída",-I1997,I1997))</f>
        <v/>
      </c>
      <c r="L1997" t="str">
        <f>IF(E1997="","",IFERROR(VLOOKUP(E1997,Listas!$A$2:$C$1048576,3,FALSE),""))</f>
        <v/>
      </c>
    </row>
    <row r="1998" spans="10:12" x14ac:dyDescent="0.25">
      <c r="J1998" t="str">
        <f>IF(H1998="","",IFERROR(VLOOKUP(H1998,Listas!$J$2:$K$1048576,2,FALSE),""))</f>
        <v/>
      </c>
      <c r="K1998" s="5" t="str">
        <f>IF(OR(I1998="",G1998=""),"",IF(G1998="Saída",-I1998,I1998))</f>
        <v/>
      </c>
      <c r="L1998" t="str">
        <f>IF(E1998="","",IFERROR(VLOOKUP(E1998,Listas!$A$2:$C$1048576,3,FALSE),""))</f>
        <v/>
      </c>
    </row>
    <row r="1999" spans="10:12" x14ac:dyDescent="0.25">
      <c r="J1999" t="str">
        <f>IF(H1999="","",IFERROR(VLOOKUP(H1999,Listas!$J$2:$K$1048576,2,FALSE),""))</f>
        <v/>
      </c>
      <c r="K1999" s="5" t="str">
        <f>IF(OR(I1999="",G1999=""),"",IF(G1999="Saída",-I1999,I1999))</f>
        <v/>
      </c>
      <c r="L1999" t="str">
        <f>IF(E1999="","",IFERROR(VLOOKUP(E1999,Listas!$A$2:$C$1048576,3,FALSE),""))</f>
        <v/>
      </c>
    </row>
    <row r="2000" spans="10:12" x14ac:dyDescent="0.25">
      <c r="J2000" t="str">
        <f>IF(H2000="","",IFERROR(VLOOKUP(H2000,Listas!$J$2:$K$1048576,2,FALSE),""))</f>
        <v/>
      </c>
      <c r="K2000" s="5" t="str">
        <f>IF(OR(I2000="",G2000=""),"",IF(G2000="Saída",-I2000,I2000))</f>
        <v/>
      </c>
      <c r="L2000" t="str">
        <f>IF(E2000="","",IFERROR(VLOOKUP(E2000,Listas!$A$2:$C$1048576,3,FALSE),""))</f>
        <v/>
      </c>
    </row>
    <row r="2001" spans="10:12" x14ac:dyDescent="0.25">
      <c r="J2001" t="str">
        <f>IF(H2001="","",IFERROR(VLOOKUP(H2001,Listas!$J$2:$K$1048576,2,FALSE),""))</f>
        <v/>
      </c>
      <c r="K2001" s="5" t="str">
        <f>IF(OR(I2001="",G2001=""),"",IF(G2001="Saída",-I2001,I2001))</f>
        <v/>
      </c>
      <c r="L2001" t="str">
        <f>IF(E2001="","",IFERROR(VLOOKUP(E2001,Listas!$A$2:$C$1048576,3,FALSE),""))</f>
        <v/>
      </c>
    </row>
    <row r="2002" spans="10:12" x14ac:dyDescent="0.25">
      <c r="J2002" t="str">
        <f>IF(H2002="","",IFERROR(VLOOKUP(H2002,Listas!$J$2:$K$1048576,2,FALSE),""))</f>
        <v/>
      </c>
      <c r="K2002" s="5" t="str">
        <f>IF(OR(I2002="",G2002=""),"",IF(G2002="Saída",-I2002,I2002))</f>
        <v/>
      </c>
      <c r="L2002" t="str">
        <f>IF(E2002="","",IFERROR(VLOOKUP(E2002,Listas!$A$2:$C$1048576,3,FALSE),""))</f>
        <v/>
      </c>
    </row>
    <row r="2003" spans="10:12" x14ac:dyDescent="0.25">
      <c r="J2003" t="str">
        <f>IF(H2003="","",IFERROR(VLOOKUP(H2003,Listas!$J$2:$K$1048576,2,FALSE),""))</f>
        <v/>
      </c>
      <c r="K2003" s="5" t="str">
        <f>IF(OR(I2003="",G2003=""),"",IF(G2003="Saída",-I2003,I2003))</f>
        <v/>
      </c>
      <c r="L2003" t="str">
        <f>IF(E2003="","",IFERROR(VLOOKUP(E2003,Listas!$A$2:$C$1048576,3,FALSE),""))</f>
        <v/>
      </c>
    </row>
    <row r="2004" spans="10:12" x14ac:dyDescent="0.25">
      <c r="J2004" t="str">
        <f>IF(H2004="","",IFERROR(VLOOKUP(H2004,Listas!$J$2:$K$1048576,2,FALSE),""))</f>
        <v/>
      </c>
      <c r="K2004" s="5" t="str">
        <f>IF(OR(I2004="",G2004=""),"",IF(G2004="Saída",-I2004,I2004))</f>
        <v/>
      </c>
      <c r="L2004" t="str">
        <f>IF(E2004="","",IFERROR(VLOOKUP(E2004,Listas!$A$2:$C$1048576,3,FALSE),""))</f>
        <v/>
      </c>
    </row>
    <row r="2005" spans="10:12" x14ac:dyDescent="0.25">
      <c r="J2005" t="str">
        <f>IF(H2005="","",IFERROR(VLOOKUP(H2005,Listas!$J$2:$K$1048576,2,FALSE),""))</f>
        <v/>
      </c>
      <c r="K2005" s="5" t="str">
        <f>IF(OR(I2005="",G2005=""),"",IF(G2005="Saída",-I2005,I2005))</f>
        <v/>
      </c>
      <c r="L2005" t="str">
        <f>IF(E2005="","",IFERROR(VLOOKUP(E2005,Listas!$A$2:$C$1048576,3,FALSE),""))</f>
        <v/>
      </c>
    </row>
    <row r="2006" spans="10:12" x14ac:dyDescent="0.25">
      <c r="J2006" t="str">
        <f>IF(H2006="","",IFERROR(VLOOKUP(H2006,Listas!$J$2:$K$1048576,2,FALSE),""))</f>
        <v/>
      </c>
      <c r="K2006" s="5" t="str">
        <f>IF(OR(I2006="",G2006=""),"",IF(G2006="Saída",-I2006,I2006))</f>
        <v/>
      </c>
      <c r="L2006" t="str">
        <f>IF(E2006="","",IFERROR(VLOOKUP(E2006,Listas!$A$2:$C$1048576,3,FALSE),""))</f>
        <v/>
      </c>
    </row>
    <row r="2007" spans="10:12" x14ac:dyDescent="0.25">
      <c r="J2007" t="str">
        <f>IF(H2007="","",IFERROR(VLOOKUP(H2007,Listas!$J$2:$K$1048576,2,FALSE),""))</f>
        <v/>
      </c>
      <c r="K2007" s="5" t="str">
        <f>IF(OR(I2007="",G2007=""),"",IF(G2007="Saída",-I2007,I2007))</f>
        <v/>
      </c>
      <c r="L2007" t="str">
        <f>IF(E2007="","",IFERROR(VLOOKUP(E2007,Listas!$A$2:$C$1048576,3,FALSE),""))</f>
        <v/>
      </c>
    </row>
    <row r="2008" spans="10:12" x14ac:dyDescent="0.25">
      <c r="J2008" t="str">
        <f>IF(H2008="","",IFERROR(VLOOKUP(H2008,Listas!$J$2:$K$1048576,2,FALSE),""))</f>
        <v/>
      </c>
      <c r="K2008" s="5" t="str">
        <f>IF(OR(I2008="",G2008=""),"",IF(G2008="Saída",-I2008,I2008))</f>
        <v/>
      </c>
      <c r="L2008" t="str">
        <f>IF(E2008="","",IFERROR(VLOOKUP(E2008,Listas!$A$2:$C$1048576,3,FALSE),""))</f>
        <v/>
      </c>
    </row>
    <row r="2009" spans="10:12" x14ac:dyDescent="0.25">
      <c r="J2009" t="str">
        <f>IF(H2009="","",IFERROR(VLOOKUP(H2009,Listas!$J$2:$K$1048576,2,FALSE),""))</f>
        <v/>
      </c>
      <c r="K2009" s="5" t="str">
        <f>IF(OR(I2009="",G2009=""),"",IF(G2009="Saída",-I2009,I2009))</f>
        <v/>
      </c>
      <c r="L2009" t="str">
        <f>IF(E2009="","",IFERROR(VLOOKUP(E2009,Listas!$A$2:$C$1048576,3,FALSE),""))</f>
        <v/>
      </c>
    </row>
    <row r="2010" spans="10:12" x14ac:dyDescent="0.25">
      <c r="J2010" t="str">
        <f>IF(H2010="","",IFERROR(VLOOKUP(H2010,Listas!$J$2:$K$1048576,2,FALSE),""))</f>
        <v/>
      </c>
      <c r="K2010" s="5" t="str">
        <f>IF(OR(I2010="",G2010=""),"",IF(G2010="Saída",-I2010,I2010))</f>
        <v/>
      </c>
      <c r="L2010" t="str">
        <f>IF(E2010="","",IFERROR(VLOOKUP(E2010,Listas!$A$2:$C$1048576,3,FALSE),""))</f>
        <v/>
      </c>
    </row>
    <row r="2011" spans="10:12" x14ac:dyDescent="0.25">
      <c r="J2011" t="str">
        <f>IF(H2011="","",IFERROR(VLOOKUP(H2011,Listas!$J$2:$K$1048576,2,FALSE),""))</f>
        <v/>
      </c>
      <c r="K2011" s="5" t="str">
        <f>IF(OR(I2011="",G2011=""),"",IF(G2011="Saída",-I2011,I2011))</f>
        <v/>
      </c>
      <c r="L2011" t="str">
        <f>IF(E2011="","",IFERROR(VLOOKUP(E2011,Listas!$A$2:$C$1048576,3,FALSE),""))</f>
        <v/>
      </c>
    </row>
    <row r="2012" spans="10:12" x14ac:dyDescent="0.25">
      <c r="J2012" t="str">
        <f>IF(H2012="","",IFERROR(VLOOKUP(H2012,Listas!$J$2:$K$1048576,2,FALSE),""))</f>
        <v/>
      </c>
      <c r="K2012" s="5" t="str">
        <f>IF(OR(I2012="",G2012=""),"",IF(G2012="Saída",-I2012,I2012))</f>
        <v/>
      </c>
      <c r="L2012" t="str">
        <f>IF(E2012="","",IFERROR(VLOOKUP(E2012,Listas!$A$2:$C$1048576,3,FALSE),""))</f>
        <v/>
      </c>
    </row>
    <row r="2013" spans="10:12" x14ac:dyDescent="0.25">
      <c r="J2013" t="str">
        <f>IF(H2013="","",IFERROR(VLOOKUP(H2013,Listas!$J$2:$K$1048576,2,FALSE),""))</f>
        <v/>
      </c>
      <c r="K2013" s="5" t="str">
        <f>IF(OR(I2013="",G2013=""),"",IF(G2013="Saída",-I2013,I2013))</f>
        <v/>
      </c>
      <c r="L2013" t="str">
        <f>IF(E2013="","",IFERROR(VLOOKUP(E2013,Listas!$A$2:$C$1048576,3,FALSE),""))</f>
        <v/>
      </c>
    </row>
    <row r="2014" spans="10:12" x14ac:dyDescent="0.25">
      <c r="J2014" t="str">
        <f>IF(H2014="","",IFERROR(VLOOKUP(H2014,Listas!$J$2:$K$1048576,2,FALSE),""))</f>
        <v/>
      </c>
      <c r="K2014" s="5" t="str">
        <f>IF(OR(I2014="",G2014=""),"",IF(G2014="Saída",-I2014,I2014))</f>
        <v/>
      </c>
      <c r="L2014" t="str">
        <f>IF(E2014="","",IFERROR(VLOOKUP(E2014,Listas!$A$2:$C$1048576,3,FALSE),""))</f>
        <v/>
      </c>
    </row>
    <row r="2015" spans="10:12" x14ac:dyDescent="0.25">
      <c r="J2015" t="str">
        <f>IF(H2015="","",IFERROR(VLOOKUP(H2015,Listas!$J$2:$K$1048576,2,FALSE),""))</f>
        <v/>
      </c>
      <c r="K2015" s="5" t="str">
        <f>IF(OR(I2015="",G2015=""),"",IF(G2015="Saída",-I2015,I2015))</f>
        <v/>
      </c>
      <c r="L2015" t="str">
        <f>IF(E2015="","",IFERROR(VLOOKUP(E2015,Listas!$A$2:$C$1048576,3,FALSE),""))</f>
        <v/>
      </c>
    </row>
    <row r="2016" spans="10:12" x14ac:dyDescent="0.25">
      <c r="J2016" t="str">
        <f>IF(H2016="","",IFERROR(VLOOKUP(H2016,Listas!$J$2:$K$1048576,2,FALSE),""))</f>
        <v/>
      </c>
      <c r="K2016" s="5" t="str">
        <f>IF(OR(I2016="",G2016=""),"",IF(G2016="Saída",-I2016,I2016))</f>
        <v/>
      </c>
      <c r="L2016" t="str">
        <f>IF(E2016="","",IFERROR(VLOOKUP(E2016,Listas!$A$2:$C$1048576,3,FALSE),""))</f>
        <v/>
      </c>
    </row>
    <row r="2017" spans="10:12" x14ac:dyDescent="0.25">
      <c r="J2017" t="str">
        <f>IF(H2017="","",IFERROR(VLOOKUP(H2017,Listas!$J$2:$K$1048576,2,FALSE),""))</f>
        <v/>
      </c>
      <c r="K2017" s="5" t="str">
        <f>IF(OR(I2017="",G2017=""),"",IF(G2017="Saída",-I2017,I2017))</f>
        <v/>
      </c>
      <c r="L2017" t="str">
        <f>IF(E2017="","",IFERROR(VLOOKUP(E2017,Listas!$A$2:$C$1048576,3,FALSE),""))</f>
        <v/>
      </c>
    </row>
    <row r="2018" spans="10:12" x14ac:dyDescent="0.25">
      <c r="J2018" t="str">
        <f>IF(H2018="","",IFERROR(VLOOKUP(H2018,Listas!$J$2:$K$1048576,2,FALSE),""))</f>
        <v/>
      </c>
      <c r="K2018" s="5" t="str">
        <f>IF(OR(I2018="",G2018=""),"",IF(G2018="Saída",-I2018,I2018))</f>
        <v/>
      </c>
      <c r="L2018" t="str">
        <f>IF(E2018="","",IFERROR(VLOOKUP(E2018,Listas!$A$2:$C$1048576,3,FALSE),""))</f>
        <v/>
      </c>
    </row>
    <row r="2019" spans="10:12" x14ac:dyDescent="0.25">
      <c r="J2019" t="str">
        <f>IF(H2019="","",IFERROR(VLOOKUP(H2019,Listas!$J$2:$K$1048576,2,FALSE),""))</f>
        <v/>
      </c>
      <c r="K2019" s="5" t="str">
        <f>IF(OR(I2019="",G2019=""),"",IF(G2019="Saída",-I2019,I2019))</f>
        <v/>
      </c>
      <c r="L2019" t="str">
        <f>IF(E2019="","",IFERROR(VLOOKUP(E2019,Listas!$A$2:$C$1048576,3,FALSE),""))</f>
        <v/>
      </c>
    </row>
    <row r="2020" spans="10:12" x14ac:dyDescent="0.25">
      <c r="J2020" t="str">
        <f>IF(H2020="","",IFERROR(VLOOKUP(H2020,Listas!$J$2:$K$1048576,2,FALSE),""))</f>
        <v/>
      </c>
      <c r="K2020" s="5" t="str">
        <f>IF(OR(I2020="",G2020=""),"",IF(G2020="Saída",-I2020,I2020))</f>
        <v/>
      </c>
      <c r="L2020" t="str">
        <f>IF(E2020="","",IFERROR(VLOOKUP(E2020,Listas!$A$2:$C$1048576,3,FALSE),""))</f>
        <v/>
      </c>
    </row>
    <row r="2021" spans="10:12" x14ac:dyDescent="0.25">
      <c r="J2021" t="str">
        <f>IF(H2021="","",IFERROR(VLOOKUP(H2021,Listas!$J$2:$K$1048576,2,FALSE),""))</f>
        <v/>
      </c>
      <c r="K2021" s="5" t="str">
        <f>IF(OR(I2021="",G2021=""),"",IF(G2021="Saída",-I2021,I2021))</f>
        <v/>
      </c>
      <c r="L2021" t="str">
        <f>IF(E2021="","",IFERROR(VLOOKUP(E2021,Listas!$A$2:$C$1048576,3,FALSE),""))</f>
        <v/>
      </c>
    </row>
    <row r="2022" spans="10:12" x14ac:dyDescent="0.25">
      <c r="J2022" t="str">
        <f>IF(H2022="","",IFERROR(VLOOKUP(H2022,Listas!$J$2:$K$1048576,2,FALSE),""))</f>
        <v/>
      </c>
      <c r="K2022" s="5" t="str">
        <f>IF(OR(I2022="",G2022=""),"",IF(G2022="Saída",-I2022,I2022))</f>
        <v/>
      </c>
      <c r="L2022" t="str">
        <f>IF(E2022="","",IFERROR(VLOOKUP(E2022,Listas!$A$2:$C$1048576,3,FALSE),""))</f>
        <v/>
      </c>
    </row>
    <row r="2023" spans="10:12" x14ac:dyDescent="0.25">
      <c r="J2023" t="str">
        <f>IF(H2023="","",IFERROR(VLOOKUP(H2023,Listas!$J$2:$K$1048576,2,FALSE),""))</f>
        <v/>
      </c>
      <c r="K2023" s="5" t="str">
        <f>IF(OR(I2023="",G2023=""),"",IF(G2023="Saída",-I2023,I2023))</f>
        <v/>
      </c>
      <c r="L2023" t="str">
        <f>IF(E2023="","",IFERROR(VLOOKUP(E2023,Listas!$A$2:$C$1048576,3,FALSE),""))</f>
        <v/>
      </c>
    </row>
    <row r="2024" spans="10:12" x14ac:dyDescent="0.25">
      <c r="J2024" t="str">
        <f>IF(H2024="","",IFERROR(VLOOKUP(H2024,Listas!$J$2:$K$1048576,2,FALSE),""))</f>
        <v/>
      </c>
      <c r="K2024" s="5" t="str">
        <f>IF(OR(I2024="",G2024=""),"",IF(G2024="Saída",-I2024,I2024))</f>
        <v/>
      </c>
      <c r="L2024" t="str">
        <f>IF(E2024="","",IFERROR(VLOOKUP(E2024,Listas!$A$2:$C$1048576,3,FALSE),""))</f>
        <v/>
      </c>
    </row>
    <row r="2025" spans="10:12" x14ac:dyDescent="0.25">
      <c r="J2025" t="str">
        <f>IF(H2025="","",IFERROR(VLOOKUP(H2025,Listas!$J$2:$K$1048576,2,FALSE),""))</f>
        <v/>
      </c>
      <c r="K2025" s="5" t="str">
        <f>IF(OR(I2025="",G2025=""),"",IF(G2025="Saída",-I2025,I2025))</f>
        <v/>
      </c>
      <c r="L2025" t="str">
        <f>IF(E2025="","",IFERROR(VLOOKUP(E2025,Listas!$A$2:$C$1048576,3,FALSE),""))</f>
        <v/>
      </c>
    </row>
    <row r="2026" spans="10:12" x14ac:dyDescent="0.25">
      <c r="J2026" t="str">
        <f>IF(H2026="","",IFERROR(VLOOKUP(H2026,Listas!$J$2:$K$1048576,2,FALSE),""))</f>
        <v/>
      </c>
      <c r="K2026" s="5" t="str">
        <f>IF(OR(I2026="",G2026=""),"",IF(G2026="Saída",-I2026,I2026))</f>
        <v/>
      </c>
      <c r="L2026" t="str">
        <f>IF(E2026="","",IFERROR(VLOOKUP(E2026,Listas!$A$2:$C$1048576,3,FALSE),""))</f>
        <v/>
      </c>
    </row>
    <row r="2027" spans="10:12" x14ac:dyDescent="0.25">
      <c r="J2027" t="str">
        <f>IF(H2027="","",IFERROR(VLOOKUP(H2027,Listas!$J$2:$K$1048576,2,FALSE),""))</f>
        <v/>
      </c>
      <c r="K2027" s="5" t="str">
        <f>IF(OR(I2027="",G2027=""),"",IF(G2027="Saída",-I2027,I2027))</f>
        <v/>
      </c>
      <c r="L2027" t="str">
        <f>IF(E2027="","",IFERROR(VLOOKUP(E2027,Listas!$A$2:$C$1048576,3,FALSE),""))</f>
        <v/>
      </c>
    </row>
    <row r="2028" spans="10:12" x14ac:dyDescent="0.25">
      <c r="J2028" t="str">
        <f>IF(H2028="","",IFERROR(VLOOKUP(H2028,Listas!$J$2:$K$1048576,2,FALSE),""))</f>
        <v/>
      </c>
      <c r="K2028" s="5" t="str">
        <f>IF(OR(I2028="",G2028=""),"",IF(G2028="Saída",-I2028,I2028))</f>
        <v/>
      </c>
      <c r="L2028" t="str">
        <f>IF(E2028="","",IFERROR(VLOOKUP(E2028,Listas!$A$2:$C$1048576,3,FALSE),""))</f>
        <v/>
      </c>
    </row>
    <row r="2029" spans="10:12" x14ac:dyDescent="0.25">
      <c r="J2029" t="str">
        <f>IF(H2029="","",IFERROR(VLOOKUP(H2029,Listas!$J$2:$K$1048576,2,FALSE),""))</f>
        <v/>
      </c>
      <c r="K2029" s="5" t="str">
        <f>IF(OR(I2029="",G2029=""),"",IF(G2029="Saída",-I2029,I2029))</f>
        <v/>
      </c>
      <c r="L2029" t="str">
        <f>IF(E2029="","",IFERROR(VLOOKUP(E2029,Listas!$A$2:$C$1048576,3,FALSE),""))</f>
        <v/>
      </c>
    </row>
    <row r="2030" spans="10:12" x14ac:dyDescent="0.25">
      <c r="J2030" t="str">
        <f>IF(H2030="","",IFERROR(VLOOKUP(H2030,Listas!$J$2:$K$1048576,2,FALSE),""))</f>
        <v/>
      </c>
      <c r="K2030" s="5" t="str">
        <f>IF(OR(I2030="",G2030=""),"",IF(G2030="Saída",-I2030,I2030))</f>
        <v/>
      </c>
      <c r="L2030" t="str">
        <f>IF(E2030="","",IFERROR(VLOOKUP(E2030,Listas!$A$2:$C$1048576,3,FALSE),""))</f>
        <v/>
      </c>
    </row>
    <row r="2031" spans="10:12" x14ac:dyDescent="0.25">
      <c r="J2031" t="str">
        <f>IF(H2031="","",IFERROR(VLOOKUP(H2031,Listas!$J$2:$K$1048576,2,FALSE),""))</f>
        <v/>
      </c>
      <c r="K2031" s="5" t="str">
        <f>IF(OR(I2031="",G2031=""),"",IF(G2031="Saída",-I2031,I2031))</f>
        <v/>
      </c>
      <c r="L2031" t="str">
        <f>IF(E2031="","",IFERROR(VLOOKUP(E2031,Listas!$A$2:$C$1048576,3,FALSE),""))</f>
        <v/>
      </c>
    </row>
    <row r="2032" spans="10:12" x14ac:dyDescent="0.25">
      <c r="J2032" t="str">
        <f>IF(H2032="","",IFERROR(VLOOKUP(H2032,Listas!$J$2:$K$1048576,2,FALSE),""))</f>
        <v/>
      </c>
      <c r="K2032" s="5" t="str">
        <f>IF(OR(I2032="",G2032=""),"",IF(G2032="Saída",-I2032,I2032))</f>
        <v/>
      </c>
      <c r="L2032" t="str">
        <f>IF(E2032="","",IFERROR(VLOOKUP(E2032,Listas!$A$2:$C$1048576,3,FALSE),""))</f>
        <v/>
      </c>
    </row>
    <row r="2033" spans="10:12" x14ac:dyDescent="0.25">
      <c r="J2033" t="str">
        <f>IF(H2033="","",IFERROR(VLOOKUP(H2033,Listas!$J$2:$K$1048576,2,FALSE),""))</f>
        <v/>
      </c>
      <c r="K2033" s="5" t="str">
        <f>IF(OR(I2033="",G2033=""),"",IF(G2033="Saída",-I2033,I2033))</f>
        <v/>
      </c>
      <c r="L2033" t="str">
        <f>IF(E2033="","",IFERROR(VLOOKUP(E2033,Listas!$A$2:$C$1048576,3,FALSE),""))</f>
        <v/>
      </c>
    </row>
    <row r="2034" spans="10:12" x14ac:dyDescent="0.25">
      <c r="J2034" t="str">
        <f>IF(H2034="","",IFERROR(VLOOKUP(H2034,Listas!$J$2:$K$1048576,2,FALSE),""))</f>
        <v/>
      </c>
      <c r="K2034" s="5" t="str">
        <f>IF(OR(I2034="",G2034=""),"",IF(G2034="Saída",-I2034,I2034))</f>
        <v/>
      </c>
      <c r="L2034" t="str">
        <f>IF(E2034="","",IFERROR(VLOOKUP(E2034,Listas!$A$2:$C$1048576,3,FALSE),""))</f>
        <v/>
      </c>
    </row>
    <row r="2035" spans="10:12" x14ac:dyDescent="0.25">
      <c r="J2035" t="str">
        <f>IF(H2035="","",IFERROR(VLOOKUP(H2035,Listas!$J$2:$K$1048576,2,FALSE),""))</f>
        <v/>
      </c>
      <c r="K2035" s="5" t="str">
        <f>IF(OR(I2035="",G2035=""),"",IF(G2035="Saída",-I2035,I2035))</f>
        <v/>
      </c>
      <c r="L2035" t="str">
        <f>IF(E2035="","",IFERROR(VLOOKUP(E2035,Listas!$A$2:$C$1048576,3,FALSE),""))</f>
        <v/>
      </c>
    </row>
    <row r="2036" spans="10:12" x14ac:dyDescent="0.25">
      <c r="J2036" t="str">
        <f>IF(H2036="","",IFERROR(VLOOKUP(H2036,Listas!$J$2:$K$1048576,2,FALSE),""))</f>
        <v/>
      </c>
      <c r="K2036" s="5" t="str">
        <f>IF(OR(I2036="",G2036=""),"",IF(G2036="Saída",-I2036,I2036))</f>
        <v/>
      </c>
      <c r="L2036" t="str">
        <f>IF(E2036="","",IFERROR(VLOOKUP(E2036,Listas!$A$2:$C$1048576,3,FALSE),""))</f>
        <v/>
      </c>
    </row>
    <row r="2037" spans="10:12" x14ac:dyDescent="0.25">
      <c r="J2037" t="str">
        <f>IF(H2037="","",IFERROR(VLOOKUP(H2037,Listas!$J$2:$K$1048576,2,FALSE),""))</f>
        <v/>
      </c>
      <c r="K2037" s="5" t="str">
        <f>IF(OR(I2037="",G2037=""),"",IF(G2037="Saída",-I2037,I2037))</f>
        <v/>
      </c>
      <c r="L2037" t="str">
        <f>IF(E2037="","",IFERROR(VLOOKUP(E2037,Listas!$A$2:$C$1048576,3,FALSE),""))</f>
        <v/>
      </c>
    </row>
    <row r="2038" spans="10:12" x14ac:dyDescent="0.25">
      <c r="J2038" t="str">
        <f>IF(H2038="","",IFERROR(VLOOKUP(H2038,Listas!$J$2:$K$1048576,2,FALSE),""))</f>
        <v/>
      </c>
      <c r="K2038" s="5" t="str">
        <f>IF(OR(I2038="",G2038=""),"",IF(G2038="Saída",-I2038,I2038))</f>
        <v/>
      </c>
      <c r="L2038" t="str">
        <f>IF(E2038="","",IFERROR(VLOOKUP(E2038,Listas!$A$2:$C$1048576,3,FALSE),""))</f>
        <v/>
      </c>
    </row>
    <row r="2039" spans="10:12" x14ac:dyDescent="0.25">
      <c r="J2039" t="str">
        <f>IF(H2039="","",IFERROR(VLOOKUP(H2039,Listas!$J$2:$K$1048576,2,FALSE),""))</f>
        <v/>
      </c>
      <c r="K2039" s="5" t="str">
        <f>IF(OR(I2039="",G2039=""),"",IF(G2039="Saída",-I2039,I2039))</f>
        <v/>
      </c>
      <c r="L2039" t="str">
        <f>IF(E2039="","",IFERROR(VLOOKUP(E2039,Listas!$A$2:$C$1048576,3,FALSE),""))</f>
        <v/>
      </c>
    </row>
    <row r="2040" spans="10:12" x14ac:dyDescent="0.25">
      <c r="J2040" t="str">
        <f>IF(H2040="","",IFERROR(VLOOKUP(H2040,Listas!$J$2:$K$1048576,2,FALSE),""))</f>
        <v/>
      </c>
      <c r="K2040" s="5" t="str">
        <f>IF(OR(I2040="",G2040=""),"",IF(G2040="Saída",-I2040,I2040))</f>
        <v/>
      </c>
      <c r="L2040" t="str">
        <f>IF(E2040="","",IFERROR(VLOOKUP(E2040,Listas!$A$2:$C$1048576,3,FALSE),""))</f>
        <v/>
      </c>
    </row>
    <row r="2041" spans="10:12" x14ac:dyDescent="0.25">
      <c r="J2041" t="str">
        <f>IF(H2041="","",IFERROR(VLOOKUP(H2041,Listas!$J$2:$K$1048576,2,FALSE),""))</f>
        <v/>
      </c>
      <c r="K2041" s="5" t="str">
        <f>IF(OR(I2041="",G2041=""),"",IF(G2041="Saída",-I2041,I2041))</f>
        <v/>
      </c>
      <c r="L2041" t="str">
        <f>IF(E2041="","",IFERROR(VLOOKUP(E2041,Listas!$A$2:$C$1048576,3,FALSE),""))</f>
        <v/>
      </c>
    </row>
    <row r="2042" spans="10:12" x14ac:dyDescent="0.25">
      <c r="J2042" t="str">
        <f>IF(H2042="","",IFERROR(VLOOKUP(H2042,Listas!$J$2:$K$1048576,2,FALSE),""))</f>
        <v/>
      </c>
      <c r="K2042" s="5" t="str">
        <f>IF(OR(I2042="",G2042=""),"",IF(G2042="Saída",-I2042,I2042))</f>
        <v/>
      </c>
      <c r="L2042" t="str">
        <f>IF(E2042="","",IFERROR(VLOOKUP(E2042,Listas!$A$2:$C$1048576,3,FALSE),""))</f>
        <v/>
      </c>
    </row>
    <row r="2043" spans="10:12" x14ac:dyDescent="0.25">
      <c r="J2043" t="str">
        <f>IF(H2043="","",IFERROR(VLOOKUP(H2043,Listas!$J$2:$K$1048576,2,FALSE),""))</f>
        <v/>
      </c>
      <c r="K2043" s="5" t="str">
        <f>IF(OR(I2043="",G2043=""),"",IF(G2043="Saída",-I2043,I2043))</f>
        <v/>
      </c>
      <c r="L2043" t="str">
        <f>IF(E2043="","",IFERROR(VLOOKUP(E2043,Listas!$A$2:$C$1048576,3,FALSE),""))</f>
        <v/>
      </c>
    </row>
    <row r="2044" spans="10:12" x14ac:dyDescent="0.25">
      <c r="J2044" t="str">
        <f>IF(H2044="","",IFERROR(VLOOKUP(H2044,Listas!$J$2:$K$1048576,2,FALSE),""))</f>
        <v/>
      </c>
      <c r="K2044" s="5" t="str">
        <f>IF(OR(I2044="",G2044=""),"",IF(G2044="Saída",-I2044,I2044))</f>
        <v/>
      </c>
      <c r="L2044" t="str">
        <f>IF(E2044="","",IFERROR(VLOOKUP(E2044,Listas!$A$2:$C$1048576,3,FALSE),""))</f>
        <v/>
      </c>
    </row>
    <row r="2045" spans="10:12" x14ac:dyDescent="0.25">
      <c r="J2045" t="str">
        <f>IF(H2045="","",IFERROR(VLOOKUP(H2045,Listas!$J$2:$K$1048576,2,FALSE),""))</f>
        <v/>
      </c>
      <c r="K2045" s="5" t="str">
        <f>IF(OR(I2045="",G2045=""),"",IF(G2045="Saída",-I2045,I2045))</f>
        <v/>
      </c>
      <c r="L2045" t="str">
        <f>IF(E2045="","",IFERROR(VLOOKUP(E2045,Listas!$A$2:$C$1048576,3,FALSE),""))</f>
        <v/>
      </c>
    </row>
    <row r="2046" spans="10:12" x14ac:dyDescent="0.25">
      <c r="J2046" t="str">
        <f>IF(H2046="","",IFERROR(VLOOKUP(H2046,Listas!$J$2:$K$1048576,2,FALSE),""))</f>
        <v/>
      </c>
      <c r="K2046" s="5" t="str">
        <f>IF(OR(I2046="",G2046=""),"",IF(G2046="Saída",-I2046,I2046))</f>
        <v/>
      </c>
      <c r="L2046" t="str">
        <f>IF(E2046="","",IFERROR(VLOOKUP(E2046,Listas!$A$2:$C$1048576,3,FALSE),""))</f>
        <v/>
      </c>
    </row>
    <row r="2047" spans="10:12" x14ac:dyDescent="0.25">
      <c r="J2047" t="str">
        <f>IF(H2047="","",IFERROR(VLOOKUP(H2047,Listas!$J$2:$K$1048576,2,FALSE),""))</f>
        <v/>
      </c>
      <c r="K2047" s="5" t="str">
        <f>IF(OR(I2047="",G2047=""),"",IF(G2047="Saída",-I2047,I2047))</f>
        <v/>
      </c>
      <c r="L2047" t="str">
        <f>IF(E2047="","",IFERROR(VLOOKUP(E2047,Listas!$A$2:$C$1048576,3,FALSE),""))</f>
        <v/>
      </c>
    </row>
    <row r="2048" spans="10:12" x14ac:dyDescent="0.25">
      <c r="J2048" t="str">
        <f>IF(H2048="","",IFERROR(VLOOKUP(H2048,Listas!$J$2:$K$1048576,2,FALSE),""))</f>
        <v/>
      </c>
      <c r="K2048" s="5" t="str">
        <f>IF(OR(I2048="",G2048=""),"",IF(G2048="Saída",-I2048,I2048))</f>
        <v/>
      </c>
      <c r="L2048" t="str">
        <f>IF(E2048="","",IFERROR(VLOOKUP(E2048,Listas!$A$2:$C$1048576,3,FALSE),""))</f>
        <v/>
      </c>
    </row>
    <row r="2049" spans="10:12" x14ac:dyDescent="0.25">
      <c r="J2049" t="str">
        <f>IF(H2049="","",IFERROR(VLOOKUP(H2049,Listas!$J$2:$K$1048576,2,FALSE),""))</f>
        <v/>
      </c>
      <c r="K2049" s="5" t="str">
        <f>IF(OR(I2049="",G2049=""),"",IF(G2049="Saída",-I2049,I2049))</f>
        <v/>
      </c>
      <c r="L2049" t="str">
        <f>IF(E2049="","",IFERROR(VLOOKUP(E2049,Listas!$A$2:$C$1048576,3,FALSE),""))</f>
        <v/>
      </c>
    </row>
    <row r="2050" spans="10:12" x14ac:dyDescent="0.25">
      <c r="J2050" t="str">
        <f>IF(H2050="","",IFERROR(VLOOKUP(H2050,Listas!$J$2:$K$1048576,2,FALSE),""))</f>
        <v/>
      </c>
      <c r="K2050" s="5" t="str">
        <f>IF(OR(I2050="",G2050=""),"",IF(G2050="Saída",-I2050,I2050))</f>
        <v/>
      </c>
      <c r="L2050" t="str">
        <f>IF(E2050="","",IFERROR(VLOOKUP(E2050,Listas!$A$2:$C$1048576,3,FALSE),""))</f>
        <v/>
      </c>
    </row>
    <row r="2051" spans="10:12" x14ac:dyDescent="0.25">
      <c r="J2051" t="str">
        <f>IF(H2051="","",IFERROR(VLOOKUP(H2051,Listas!$J$2:$K$1048576,2,FALSE),""))</f>
        <v/>
      </c>
      <c r="K2051" s="5" t="str">
        <f>IF(OR(I2051="",G2051=""),"",IF(G2051="Saída",-I2051,I2051))</f>
        <v/>
      </c>
      <c r="L2051" t="str">
        <f>IF(E2051="","",IFERROR(VLOOKUP(E2051,Listas!$A$2:$C$1048576,3,FALSE),""))</f>
        <v/>
      </c>
    </row>
    <row r="2052" spans="10:12" x14ac:dyDescent="0.25">
      <c r="J2052" t="str">
        <f>IF(H2052="","",IFERROR(VLOOKUP(H2052,Listas!$J$2:$K$1048576,2,FALSE),""))</f>
        <v/>
      </c>
      <c r="K2052" s="5" t="str">
        <f>IF(OR(I2052="",G2052=""),"",IF(G2052="Saída",-I2052,I2052))</f>
        <v/>
      </c>
      <c r="L2052" t="str">
        <f>IF(E2052="","",IFERROR(VLOOKUP(E2052,Listas!$A$2:$C$1048576,3,FALSE),""))</f>
        <v/>
      </c>
    </row>
    <row r="2053" spans="10:12" x14ac:dyDescent="0.25">
      <c r="J2053" t="str">
        <f>IF(H2053="","",IFERROR(VLOOKUP(H2053,Listas!$J$2:$K$1048576,2,FALSE),""))</f>
        <v/>
      </c>
      <c r="K2053" s="5" t="str">
        <f>IF(OR(I2053="",G2053=""),"",IF(G2053="Saída",-I2053,I2053))</f>
        <v/>
      </c>
      <c r="L2053" t="str">
        <f>IF(E2053="","",IFERROR(VLOOKUP(E2053,Listas!$A$2:$C$1048576,3,FALSE),""))</f>
        <v/>
      </c>
    </row>
    <row r="2054" spans="10:12" x14ac:dyDescent="0.25">
      <c r="J2054" t="str">
        <f>IF(H2054="","",IFERROR(VLOOKUP(H2054,Listas!$J$2:$K$1048576,2,FALSE),""))</f>
        <v/>
      </c>
      <c r="K2054" s="5" t="str">
        <f>IF(OR(I2054="",G2054=""),"",IF(G2054="Saída",-I2054,I2054))</f>
        <v/>
      </c>
      <c r="L2054" t="str">
        <f>IF(E2054="","",IFERROR(VLOOKUP(E2054,Listas!$A$2:$C$1048576,3,FALSE),""))</f>
        <v/>
      </c>
    </row>
    <row r="2055" spans="10:12" x14ac:dyDescent="0.25">
      <c r="J2055" t="str">
        <f>IF(H2055="","",IFERROR(VLOOKUP(H2055,Listas!$J$2:$K$1048576,2,FALSE),""))</f>
        <v/>
      </c>
      <c r="K2055" s="5" t="str">
        <f>IF(OR(I2055="",G2055=""),"",IF(G2055="Saída",-I2055,I2055))</f>
        <v/>
      </c>
      <c r="L2055" t="str">
        <f>IF(E2055="","",IFERROR(VLOOKUP(E2055,Listas!$A$2:$C$1048576,3,FALSE),""))</f>
        <v/>
      </c>
    </row>
    <row r="2056" spans="10:12" x14ac:dyDescent="0.25">
      <c r="J2056" t="str">
        <f>IF(H2056="","",IFERROR(VLOOKUP(H2056,Listas!$J$2:$K$1048576,2,FALSE),""))</f>
        <v/>
      </c>
      <c r="K2056" s="5" t="str">
        <f>IF(OR(I2056="",G2056=""),"",IF(G2056="Saída",-I2056,I2056))</f>
        <v/>
      </c>
      <c r="L2056" t="str">
        <f>IF(E2056="","",IFERROR(VLOOKUP(E2056,Listas!$A$2:$C$1048576,3,FALSE),""))</f>
        <v/>
      </c>
    </row>
    <row r="2057" spans="10:12" x14ac:dyDescent="0.25">
      <c r="J2057" t="str">
        <f>IF(H2057="","",IFERROR(VLOOKUP(H2057,Listas!$J$2:$K$1048576,2,FALSE),""))</f>
        <v/>
      </c>
      <c r="K2057" s="5" t="str">
        <f>IF(OR(I2057="",G2057=""),"",IF(G2057="Saída",-I2057,I2057))</f>
        <v/>
      </c>
      <c r="L2057" t="str">
        <f>IF(E2057="","",IFERROR(VLOOKUP(E2057,Listas!$A$2:$C$1048576,3,FALSE),""))</f>
        <v/>
      </c>
    </row>
    <row r="2058" spans="10:12" x14ac:dyDescent="0.25">
      <c r="J2058" t="str">
        <f>IF(H2058="","",IFERROR(VLOOKUP(H2058,Listas!$J$2:$K$1048576,2,FALSE),""))</f>
        <v/>
      </c>
      <c r="K2058" s="5" t="str">
        <f>IF(OR(I2058="",G2058=""),"",IF(G2058="Saída",-I2058,I2058))</f>
        <v/>
      </c>
      <c r="L2058" t="str">
        <f>IF(E2058="","",IFERROR(VLOOKUP(E2058,Listas!$A$2:$C$1048576,3,FALSE),""))</f>
        <v/>
      </c>
    </row>
    <row r="2059" spans="10:12" x14ac:dyDescent="0.25">
      <c r="J2059" t="str">
        <f>IF(H2059="","",IFERROR(VLOOKUP(H2059,Listas!$J$2:$K$1048576,2,FALSE),""))</f>
        <v/>
      </c>
      <c r="K2059" s="5" t="str">
        <f>IF(OR(I2059="",G2059=""),"",IF(G2059="Saída",-I2059,I2059))</f>
        <v/>
      </c>
      <c r="L2059" t="str">
        <f>IF(E2059="","",IFERROR(VLOOKUP(E2059,Listas!$A$2:$C$1048576,3,FALSE),""))</f>
        <v/>
      </c>
    </row>
    <row r="2060" spans="10:12" x14ac:dyDescent="0.25">
      <c r="J2060" t="str">
        <f>IF(H2060="","",IFERROR(VLOOKUP(H2060,Listas!$J$2:$K$1048576,2,FALSE),""))</f>
        <v/>
      </c>
      <c r="K2060" s="5" t="str">
        <f>IF(OR(I2060="",G2060=""),"",IF(G2060="Saída",-I2060,I2060))</f>
        <v/>
      </c>
      <c r="L2060" t="str">
        <f>IF(E2060="","",IFERROR(VLOOKUP(E2060,Listas!$A$2:$C$1048576,3,FALSE),""))</f>
        <v/>
      </c>
    </row>
    <row r="2061" spans="10:12" x14ac:dyDescent="0.25">
      <c r="J2061" t="str">
        <f>IF(H2061="","",IFERROR(VLOOKUP(H2061,Listas!$J$2:$K$1048576,2,FALSE),""))</f>
        <v/>
      </c>
      <c r="K2061" s="5" t="str">
        <f>IF(OR(I2061="",G2061=""),"",IF(G2061="Saída",-I2061,I2061))</f>
        <v/>
      </c>
      <c r="L2061" t="str">
        <f>IF(E2061="","",IFERROR(VLOOKUP(E2061,Listas!$A$2:$C$1048576,3,FALSE),""))</f>
        <v/>
      </c>
    </row>
    <row r="2062" spans="10:12" x14ac:dyDescent="0.25">
      <c r="J2062" t="str">
        <f>IF(H2062="","",IFERROR(VLOOKUP(H2062,Listas!$J$2:$K$1048576,2,FALSE),""))</f>
        <v/>
      </c>
      <c r="K2062" s="5" t="str">
        <f>IF(OR(I2062="",G2062=""),"",IF(G2062="Saída",-I2062,I2062))</f>
        <v/>
      </c>
      <c r="L2062" t="str">
        <f>IF(E2062="","",IFERROR(VLOOKUP(E2062,Listas!$A$2:$C$1048576,3,FALSE),""))</f>
        <v/>
      </c>
    </row>
    <row r="2063" spans="10:12" x14ac:dyDescent="0.25">
      <c r="J2063" t="str">
        <f>IF(H2063="","",IFERROR(VLOOKUP(H2063,Listas!$J$2:$K$1048576,2,FALSE),""))</f>
        <v/>
      </c>
      <c r="K2063" s="5" t="str">
        <f>IF(OR(I2063="",G2063=""),"",IF(G2063="Saída",-I2063,I2063))</f>
        <v/>
      </c>
      <c r="L2063" t="str">
        <f>IF(E2063="","",IFERROR(VLOOKUP(E2063,Listas!$A$2:$C$1048576,3,FALSE),""))</f>
        <v/>
      </c>
    </row>
    <row r="2064" spans="10:12" x14ac:dyDescent="0.25">
      <c r="J2064" t="str">
        <f>IF(H2064="","",IFERROR(VLOOKUP(H2064,Listas!$J$2:$K$1048576,2,FALSE),""))</f>
        <v/>
      </c>
      <c r="K2064" s="5" t="str">
        <f>IF(OR(I2064="",G2064=""),"",IF(G2064="Saída",-I2064,I2064))</f>
        <v/>
      </c>
      <c r="L2064" t="str">
        <f>IF(E2064="","",IFERROR(VLOOKUP(E2064,Listas!$A$2:$C$1048576,3,FALSE),""))</f>
        <v/>
      </c>
    </row>
    <row r="2065" spans="10:12" x14ac:dyDescent="0.25">
      <c r="J2065" t="str">
        <f>IF(H2065="","",IFERROR(VLOOKUP(H2065,Listas!$J$2:$K$1048576,2,FALSE),""))</f>
        <v/>
      </c>
      <c r="K2065" s="5" t="str">
        <f>IF(OR(I2065="",G2065=""),"",IF(G2065="Saída",-I2065,I2065))</f>
        <v/>
      </c>
      <c r="L2065" t="str">
        <f>IF(E2065="","",IFERROR(VLOOKUP(E2065,Listas!$A$2:$C$1048576,3,FALSE),""))</f>
        <v/>
      </c>
    </row>
    <row r="2066" spans="10:12" x14ac:dyDescent="0.25">
      <c r="J2066" t="str">
        <f>IF(H2066="","",IFERROR(VLOOKUP(H2066,Listas!$J$2:$K$1048576,2,FALSE),""))</f>
        <v/>
      </c>
      <c r="K2066" s="5" t="str">
        <f>IF(OR(I2066="",G2066=""),"",IF(G2066="Saída",-I2066,I2066))</f>
        <v/>
      </c>
      <c r="L2066" t="str">
        <f>IF(E2066="","",IFERROR(VLOOKUP(E2066,Listas!$A$2:$C$1048576,3,FALSE),""))</f>
        <v/>
      </c>
    </row>
    <row r="2067" spans="10:12" x14ac:dyDescent="0.25">
      <c r="J2067" t="str">
        <f>IF(H2067="","",IFERROR(VLOOKUP(H2067,Listas!$J$2:$K$1048576,2,FALSE),""))</f>
        <v/>
      </c>
      <c r="K2067" s="5" t="str">
        <f>IF(OR(I2067="",G2067=""),"",IF(G2067="Saída",-I2067,I2067))</f>
        <v/>
      </c>
      <c r="L2067" t="str">
        <f>IF(E2067="","",IFERROR(VLOOKUP(E2067,Listas!$A$2:$C$1048576,3,FALSE),""))</f>
        <v/>
      </c>
    </row>
    <row r="2068" spans="10:12" x14ac:dyDescent="0.25">
      <c r="J2068" t="str">
        <f>IF(H2068="","",IFERROR(VLOOKUP(H2068,Listas!$J$2:$K$1048576,2,FALSE),""))</f>
        <v/>
      </c>
      <c r="K2068" s="5" t="str">
        <f>IF(OR(I2068="",G2068=""),"",IF(G2068="Saída",-I2068,I2068))</f>
        <v/>
      </c>
      <c r="L2068" t="str">
        <f>IF(E2068="","",IFERROR(VLOOKUP(E2068,Listas!$A$2:$C$1048576,3,FALSE),""))</f>
        <v/>
      </c>
    </row>
    <row r="2069" spans="10:12" x14ac:dyDescent="0.25">
      <c r="J2069" t="str">
        <f>IF(H2069="","",IFERROR(VLOOKUP(H2069,Listas!$J$2:$K$1048576,2,FALSE),""))</f>
        <v/>
      </c>
      <c r="K2069" s="5" t="str">
        <f>IF(OR(I2069="",G2069=""),"",IF(G2069="Saída",-I2069,I2069))</f>
        <v/>
      </c>
      <c r="L2069" t="str">
        <f>IF(E2069="","",IFERROR(VLOOKUP(E2069,Listas!$A$2:$C$1048576,3,FALSE),""))</f>
        <v/>
      </c>
    </row>
    <row r="2070" spans="10:12" x14ac:dyDescent="0.25">
      <c r="J2070" t="str">
        <f>IF(H2070="","",IFERROR(VLOOKUP(H2070,Listas!$J$2:$K$1048576,2,FALSE),""))</f>
        <v/>
      </c>
      <c r="K2070" s="5" t="str">
        <f>IF(OR(I2070="",G2070=""),"",IF(G2070="Saída",-I2070,I2070))</f>
        <v/>
      </c>
      <c r="L2070" t="str">
        <f>IF(E2070="","",IFERROR(VLOOKUP(E2070,Listas!$A$2:$C$1048576,3,FALSE),""))</f>
        <v/>
      </c>
    </row>
    <row r="2071" spans="10:12" x14ac:dyDescent="0.25">
      <c r="J2071" t="str">
        <f>IF(H2071="","",IFERROR(VLOOKUP(H2071,Listas!$J$2:$K$1048576,2,FALSE),""))</f>
        <v/>
      </c>
      <c r="K2071" s="5" t="str">
        <f>IF(OR(I2071="",G2071=""),"",IF(G2071="Saída",-I2071,I2071))</f>
        <v/>
      </c>
      <c r="L2071" t="str">
        <f>IF(E2071="","",IFERROR(VLOOKUP(E2071,Listas!$A$2:$C$1048576,3,FALSE),""))</f>
        <v/>
      </c>
    </row>
    <row r="2072" spans="10:12" x14ac:dyDescent="0.25">
      <c r="J2072" t="str">
        <f>IF(H2072="","",IFERROR(VLOOKUP(H2072,Listas!$J$2:$K$1048576,2,FALSE),""))</f>
        <v/>
      </c>
      <c r="K2072" s="5" t="str">
        <f>IF(OR(I2072="",G2072=""),"",IF(G2072="Saída",-I2072,I2072))</f>
        <v/>
      </c>
      <c r="L2072" t="str">
        <f>IF(E2072="","",IFERROR(VLOOKUP(E2072,Listas!$A$2:$C$1048576,3,FALSE),""))</f>
        <v/>
      </c>
    </row>
    <row r="2073" spans="10:12" x14ac:dyDescent="0.25">
      <c r="J2073" t="str">
        <f>IF(H2073="","",IFERROR(VLOOKUP(H2073,Listas!$J$2:$K$1048576,2,FALSE),""))</f>
        <v/>
      </c>
      <c r="K2073" s="5" t="str">
        <f>IF(OR(I2073="",G2073=""),"",IF(G2073="Saída",-I2073,I2073))</f>
        <v/>
      </c>
      <c r="L2073" t="str">
        <f>IF(E2073="","",IFERROR(VLOOKUP(E2073,Listas!$A$2:$C$1048576,3,FALSE),""))</f>
        <v/>
      </c>
    </row>
    <row r="2074" spans="10:12" x14ac:dyDescent="0.25">
      <c r="J2074" t="str">
        <f>IF(H2074="","",IFERROR(VLOOKUP(H2074,Listas!$J$2:$K$1048576,2,FALSE),""))</f>
        <v/>
      </c>
      <c r="K2074" s="5" t="str">
        <f>IF(OR(I2074="",G2074=""),"",IF(G2074="Saída",-I2074,I2074))</f>
        <v/>
      </c>
      <c r="L2074" t="str">
        <f>IF(E2074="","",IFERROR(VLOOKUP(E2074,Listas!$A$2:$C$1048576,3,FALSE),""))</f>
        <v/>
      </c>
    </row>
    <row r="2075" spans="10:12" x14ac:dyDescent="0.25">
      <c r="J2075" t="str">
        <f>IF(H2075="","",IFERROR(VLOOKUP(H2075,Listas!$J$2:$K$1048576,2,FALSE),""))</f>
        <v/>
      </c>
      <c r="K2075" s="5" t="str">
        <f>IF(OR(I2075="",G2075=""),"",IF(G2075="Saída",-I2075,I2075))</f>
        <v/>
      </c>
      <c r="L2075" t="str">
        <f>IF(E2075="","",IFERROR(VLOOKUP(E2075,Listas!$A$2:$C$1048576,3,FALSE),""))</f>
        <v/>
      </c>
    </row>
    <row r="2076" spans="10:12" x14ac:dyDescent="0.25">
      <c r="J2076" t="str">
        <f>IF(H2076="","",IFERROR(VLOOKUP(H2076,Listas!$J$2:$K$1048576,2,FALSE),""))</f>
        <v/>
      </c>
      <c r="K2076" s="5" t="str">
        <f>IF(OR(I2076="",G2076=""),"",IF(G2076="Saída",-I2076,I2076))</f>
        <v/>
      </c>
      <c r="L2076" t="str">
        <f>IF(E2076="","",IFERROR(VLOOKUP(E2076,Listas!$A$2:$C$1048576,3,FALSE),""))</f>
        <v/>
      </c>
    </row>
    <row r="2077" spans="10:12" x14ac:dyDescent="0.25">
      <c r="J2077" t="str">
        <f>IF(H2077="","",IFERROR(VLOOKUP(H2077,Listas!$J$2:$K$1048576,2,FALSE),""))</f>
        <v/>
      </c>
      <c r="K2077" s="5" t="str">
        <f>IF(OR(I2077="",G2077=""),"",IF(G2077="Saída",-I2077,I2077))</f>
        <v/>
      </c>
      <c r="L2077" t="str">
        <f>IF(E2077="","",IFERROR(VLOOKUP(E2077,Listas!$A$2:$C$1048576,3,FALSE),""))</f>
        <v/>
      </c>
    </row>
    <row r="2078" spans="10:12" x14ac:dyDescent="0.25">
      <c r="J2078" t="str">
        <f>IF(H2078="","",IFERROR(VLOOKUP(H2078,Listas!$J$2:$K$1048576,2,FALSE),""))</f>
        <v/>
      </c>
      <c r="K2078" s="5" t="str">
        <f>IF(OR(I2078="",G2078=""),"",IF(G2078="Saída",-I2078,I2078))</f>
        <v/>
      </c>
      <c r="L2078" t="str">
        <f>IF(E2078="","",IFERROR(VLOOKUP(E2078,Listas!$A$2:$C$1048576,3,FALSE),""))</f>
        <v/>
      </c>
    </row>
    <row r="2079" spans="10:12" x14ac:dyDescent="0.25">
      <c r="J2079" t="str">
        <f>IF(H2079="","",IFERROR(VLOOKUP(H2079,Listas!$J$2:$K$1048576,2,FALSE),""))</f>
        <v/>
      </c>
      <c r="K2079" s="5" t="str">
        <f>IF(OR(I2079="",G2079=""),"",IF(G2079="Saída",-I2079,I2079))</f>
        <v/>
      </c>
      <c r="L2079" t="str">
        <f>IF(E2079="","",IFERROR(VLOOKUP(E2079,Listas!$A$2:$C$1048576,3,FALSE),""))</f>
        <v/>
      </c>
    </row>
    <row r="2080" spans="10:12" x14ac:dyDescent="0.25">
      <c r="J2080" t="str">
        <f>IF(H2080="","",IFERROR(VLOOKUP(H2080,Listas!$J$2:$K$1048576,2,FALSE),""))</f>
        <v/>
      </c>
      <c r="K2080" s="5" t="str">
        <f>IF(OR(I2080="",G2080=""),"",IF(G2080="Saída",-I2080,I2080))</f>
        <v/>
      </c>
      <c r="L2080" t="str">
        <f>IF(E2080="","",IFERROR(VLOOKUP(E2080,Listas!$A$2:$C$1048576,3,FALSE),""))</f>
        <v/>
      </c>
    </row>
    <row r="2081" spans="10:12" x14ac:dyDescent="0.25">
      <c r="J2081" t="str">
        <f>IF(H2081="","",IFERROR(VLOOKUP(H2081,Listas!$J$2:$K$1048576,2,FALSE),""))</f>
        <v/>
      </c>
      <c r="K2081" s="5" t="str">
        <f>IF(OR(I2081="",G2081=""),"",IF(G2081="Saída",-I2081,I2081))</f>
        <v/>
      </c>
      <c r="L2081" t="str">
        <f>IF(E2081="","",IFERROR(VLOOKUP(E2081,Listas!$A$2:$C$1048576,3,FALSE),""))</f>
        <v/>
      </c>
    </row>
    <row r="2082" spans="10:12" x14ac:dyDescent="0.25">
      <c r="J2082" t="str">
        <f>IF(H2082="","",IFERROR(VLOOKUP(H2082,Listas!$J$2:$K$1048576,2,FALSE),""))</f>
        <v/>
      </c>
      <c r="K2082" s="5" t="str">
        <f>IF(OR(I2082="",G2082=""),"",IF(G2082="Saída",-I2082,I2082))</f>
        <v/>
      </c>
      <c r="L2082" t="str">
        <f>IF(E2082="","",IFERROR(VLOOKUP(E2082,Listas!$A$2:$C$1048576,3,FALSE),""))</f>
        <v/>
      </c>
    </row>
    <row r="2083" spans="10:12" x14ac:dyDescent="0.25">
      <c r="J2083" t="str">
        <f>IF(H2083="","",IFERROR(VLOOKUP(H2083,Listas!$J$2:$K$1048576,2,FALSE),""))</f>
        <v/>
      </c>
      <c r="K2083" s="5" t="str">
        <f>IF(OR(I2083="",G2083=""),"",IF(G2083="Saída",-I2083,I2083))</f>
        <v/>
      </c>
      <c r="L2083" t="str">
        <f>IF(E2083="","",IFERROR(VLOOKUP(E2083,Listas!$A$2:$C$1048576,3,FALSE),""))</f>
        <v/>
      </c>
    </row>
    <row r="2084" spans="10:12" x14ac:dyDescent="0.25">
      <c r="J2084" t="str">
        <f>IF(H2084="","",IFERROR(VLOOKUP(H2084,Listas!$J$2:$K$1048576,2,FALSE),""))</f>
        <v/>
      </c>
      <c r="K2084" s="5" t="str">
        <f>IF(OR(I2084="",G2084=""),"",IF(G2084="Saída",-I2084,I2084))</f>
        <v/>
      </c>
      <c r="L2084" t="str">
        <f>IF(E2084="","",IFERROR(VLOOKUP(E2084,Listas!$A$2:$C$1048576,3,FALSE),""))</f>
        <v/>
      </c>
    </row>
    <row r="2085" spans="10:12" x14ac:dyDescent="0.25">
      <c r="J2085" t="str">
        <f>IF(H2085="","",IFERROR(VLOOKUP(H2085,Listas!$J$2:$K$1048576,2,FALSE),""))</f>
        <v/>
      </c>
      <c r="K2085" s="5" t="str">
        <f>IF(OR(I2085="",G2085=""),"",IF(G2085="Saída",-I2085,I2085))</f>
        <v/>
      </c>
      <c r="L2085" t="str">
        <f>IF(E2085="","",IFERROR(VLOOKUP(E2085,Listas!$A$2:$C$1048576,3,FALSE),""))</f>
        <v/>
      </c>
    </row>
    <row r="2086" spans="10:12" x14ac:dyDescent="0.25">
      <c r="J2086" t="str">
        <f>IF(H2086="","",IFERROR(VLOOKUP(H2086,Listas!$J$2:$K$1048576,2,FALSE),""))</f>
        <v/>
      </c>
      <c r="K2086" s="5" t="str">
        <f>IF(OR(I2086="",G2086=""),"",IF(G2086="Saída",-I2086,I2086))</f>
        <v/>
      </c>
      <c r="L2086" t="str">
        <f>IF(E2086="","",IFERROR(VLOOKUP(E2086,Listas!$A$2:$C$1048576,3,FALSE),""))</f>
        <v/>
      </c>
    </row>
    <row r="2087" spans="10:12" x14ac:dyDescent="0.25">
      <c r="J2087" t="str">
        <f>IF(H2087="","",IFERROR(VLOOKUP(H2087,Listas!$J$2:$K$1048576,2,FALSE),""))</f>
        <v/>
      </c>
      <c r="K2087" s="5" t="str">
        <f>IF(OR(I2087="",G2087=""),"",IF(G2087="Saída",-I2087,I2087))</f>
        <v/>
      </c>
      <c r="L2087" t="str">
        <f>IF(E2087="","",IFERROR(VLOOKUP(E2087,Listas!$A$2:$C$1048576,3,FALSE),""))</f>
        <v/>
      </c>
    </row>
    <row r="2088" spans="10:12" x14ac:dyDescent="0.25">
      <c r="J2088" t="str">
        <f>IF(H2088="","",IFERROR(VLOOKUP(H2088,Listas!$J$2:$K$1048576,2,FALSE),""))</f>
        <v/>
      </c>
      <c r="K2088" s="5" t="str">
        <f>IF(OR(I2088="",G2088=""),"",IF(G2088="Saída",-I2088,I2088))</f>
        <v/>
      </c>
      <c r="L2088" t="str">
        <f>IF(E2088="","",IFERROR(VLOOKUP(E2088,Listas!$A$2:$C$1048576,3,FALSE),""))</f>
        <v/>
      </c>
    </row>
    <row r="2089" spans="10:12" x14ac:dyDescent="0.25">
      <c r="J2089" t="str">
        <f>IF(H2089="","",IFERROR(VLOOKUP(H2089,Listas!$J$2:$K$1048576,2,FALSE),""))</f>
        <v/>
      </c>
      <c r="K2089" s="5" t="str">
        <f>IF(OR(I2089="",G2089=""),"",IF(G2089="Saída",-I2089,I2089))</f>
        <v/>
      </c>
      <c r="L2089" t="str">
        <f>IF(E2089="","",IFERROR(VLOOKUP(E2089,Listas!$A$2:$C$1048576,3,FALSE),""))</f>
        <v/>
      </c>
    </row>
    <row r="2090" spans="10:12" x14ac:dyDescent="0.25">
      <c r="J2090" t="str">
        <f>IF(H2090="","",IFERROR(VLOOKUP(H2090,Listas!$J$2:$K$1048576,2,FALSE),""))</f>
        <v/>
      </c>
      <c r="K2090" s="5" t="str">
        <f>IF(OR(I2090="",G2090=""),"",IF(G2090="Saída",-I2090,I2090))</f>
        <v/>
      </c>
      <c r="L2090" t="str">
        <f>IF(E2090="","",IFERROR(VLOOKUP(E2090,Listas!$A$2:$C$1048576,3,FALSE),""))</f>
        <v/>
      </c>
    </row>
    <row r="2091" spans="10:12" x14ac:dyDescent="0.25">
      <c r="J2091" t="str">
        <f>IF(H2091="","",IFERROR(VLOOKUP(H2091,Listas!$J$2:$K$1048576,2,FALSE),""))</f>
        <v/>
      </c>
      <c r="K2091" s="5" t="str">
        <f>IF(OR(I2091="",G2091=""),"",IF(G2091="Saída",-I2091,I2091))</f>
        <v/>
      </c>
      <c r="L2091" t="str">
        <f>IF(E2091="","",IFERROR(VLOOKUP(E2091,Listas!$A$2:$C$1048576,3,FALSE),""))</f>
        <v/>
      </c>
    </row>
    <row r="2092" spans="10:12" x14ac:dyDescent="0.25">
      <c r="J2092" t="str">
        <f>IF(H2092="","",IFERROR(VLOOKUP(H2092,Listas!$J$2:$K$1048576,2,FALSE),""))</f>
        <v/>
      </c>
      <c r="K2092" s="5" t="str">
        <f>IF(OR(I2092="",G2092=""),"",IF(G2092="Saída",-I2092,I2092))</f>
        <v/>
      </c>
      <c r="L2092" t="str">
        <f>IF(E2092="","",IFERROR(VLOOKUP(E2092,Listas!$A$2:$C$1048576,3,FALSE),""))</f>
        <v/>
      </c>
    </row>
    <row r="2093" spans="10:12" x14ac:dyDescent="0.25">
      <c r="J2093" t="str">
        <f>IF(H2093="","",IFERROR(VLOOKUP(H2093,Listas!$J$2:$K$1048576,2,FALSE),""))</f>
        <v/>
      </c>
      <c r="K2093" s="5" t="str">
        <f>IF(OR(I2093="",G2093=""),"",IF(G2093="Saída",-I2093,I2093))</f>
        <v/>
      </c>
      <c r="L2093" t="str">
        <f>IF(E2093="","",IFERROR(VLOOKUP(E2093,Listas!$A$2:$C$1048576,3,FALSE),""))</f>
        <v/>
      </c>
    </row>
    <row r="2094" spans="10:12" x14ac:dyDescent="0.25">
      <c r="J2094" t="str">
        <f>IF(H2094="","",IFERROR(VLOOKUP(H2094,Listas!$J$2:$K$1048576,2,FALSE),""))</f>
        <v/>
      </c>
      <c r="K2094" s="5" t="str">
        <f>IF(OR(I2094="",G2094=""),"",IF(G2094="Saída",-I2094,I2094))</f>
        <v/>
      </c>
      <c r="L2094" t="str">
        <f>IF(E2094="","",IFERROR(VLOOKUP(E2094,Listas!$A$2:$C$1048576,3,FALSE),""))</f>
        <v/>
      </c>
    </row>
    <row r="2095" spans="10:12" x14ac:dyDescent="0.25">
      <c r="J2095" t="str">
        <f>IF(H2095="","",IFERROR(VLOOKUP(H2095,Listas!$J$2:$K$1048576,2,FALSE),""))</f>
        <v/>
      </c>
      <c r="K2095" s="5" t="str">
        <f>IF(OR(I2095="",G2095=""),"",IF(G2095="Saída",-I2095,I2095))</f>
        <v/>
      </c>
      <c r="L2095" t="str">
        <f>IF(E2095="","",IFERROR(VLOOKUP(E2095,Listas!$A$2:$C$1048576,3,FALSE),""))</f>
        <v/>
      </c>
    </row>
    <row r="2096" spans="10:12" x14ac:dyDescent="0.25">
      <c r="J2096" t="str">
        <f>IF(H2096="","",IFERROR(VLOOKUP(H2096,Listas!$J$2:$K$1048576,2,FALSE),""))</f>
        <v/>
      </c>
      <c r="K2096" s="5" t="str">
        <f>IF(OR(I2096="",G2096=""),"",IF(G2096="Saída",-I2096,I2096))</f>
        <v/>
      </c>
      <c r="L2096" t="str">
        <f>IF(E2096="","",IFERROR(VLOOKUP(E2096,Listas!$A$2:$C$1048576,3,FALSE),""))</f>
        <v/>
      </c>
    </row>
    <row r="2097" spans="10:12" x14ac:dyDescent="0.25">
      <c r="J2097" t="str">
        <f>IF(H2097="","",IFERROR(VLOOKUP(H2097,Listas!$J$2:$K$1048576,2,FALSE),""))</f>
        <v/>
      </c>
      <c r="K2097" s="5" t="str">
        <f>IF(OR(I2097="",G2097=""),"",IF(G2097="Saída",-I2097,I2097))</f>
        <v/>
      </c>
      <c r="L2097" t="str">
        <f>IF(E2097="","",IFERROR(VLOOKUP(E2097,Listas!$A$2:$C$1048576,3,FALSE),""))</f>
        <v/>
      </c>
    </row>
    <row r="2098" spans="10:12" x14ac:dyDescent="0.25">
      <c r="J2098" t="str">
        <f>IF(H2098="","",IFERROR(VLOOKUP(H2098,Listas!$J$2:$K$1048576,2,FALSE),""))</f>
        <v/>
      </c>
      <c r="K2098" s="5" t="str">
        <f>IF(OR(I2098="",G2098=""),"",IF(G2098="Saída",-I2098,I2098))</f>
        <v/>
      </c>
      <c r="L2098" t="str">
        <f>IF(E2098="","",IFERROR(VLOOKUP(E2098,Listas!$A$2:$C$1048576,3,FALSE),""))</f>
        <v/>
      </c>
    </row>
    <row r="2099" spans="10:12" x14ac:dyDescent="0.25">
      <c r="J2099" t="str">
        <f>IF(H2099="","",IFERROR(VLOOKUP(H2099,Listas!$J$2:$K$1048576,2,FALSE),""))</f>
        <v/>
      </c>
      <c r="K2099" s="5" t="str">
        <f>IF(OR(I2099="",G2099=""),"",IF(G2099="Saída",-I2099,I2099))</f>
        <v/>
      </c>
      <c r="L2099" t="str">
        <f>IF(E2099="","",IFERROR(VLOOKUP(E2099,Listas!$A$2:$C$1048576,3,FALSE),""))</f>
        <v/>
      </c>
    </row>
    <row r="2100" spans="10:12" x14ac:dyDescent="0.25">
      <c r="J2100" t="str">
        <f>IF(H2100="","",IFERROR(VLOOKUP(H2100,Listas!$J$2:$K$1048576,2,FALSE),""))</f>
        <v/>
      </c>
      <c r="K2100" s="5" t="str">
        <f>IF(OR(I2100="",G2100=""),"",IF(G2100="Saída",-I2100,I2100))</f>
        <v/>
      </c>
      <c r="L2100" t="str">
        <f>IF(E2100="","",IFERROR(VLOOKUP(E2100,Listas!$A$2:$C$1048576,3,FALSE),""))</f>
        <v/>
      </c>
    </row>
    <row r="2101" spans="10:12" x14ac:dyDescent="0.25">
      <c r="J2101" t="str">
        <f>IF(H2101="","",IFERROR(VLOOKUP(H2101,Listas!$J$2:$K$1048576,2,FALSE),""))</f>
        <v/>
      </c>
      <c r="K2101" s="5" t="str">
        <f>IF(OR(I2101="",G2101=""),"",IF(G2101="Saída",-I2101,I2101))</f>
        <v/>
      </c>
      <c r="L2101" t="str">
        <f>IF(E2101="","",IFERROR(VLOOKUP(E2101,Listas!$A$2:$C$1048576,3,FALSE),""))</f>
        <v/>
      </c>
    </row>
    <row r="2102" spans="10:12" x14ac:dyDescent="0.25">
      <c r="J2102" t="str">
        <f>IF(H2102="","",IFERROR(VLOOKUP(H2102,Listas!$J$2:$K$1048576,2,FALSE),""))</f>
        <v/>
      </c>
      <c r="K2102" s="5" t="str">
        <f>IF(OR(I2102="",G2102=""),"",IF(G2102="Saída",-I2102,I2102))</f>
        <v/>
      </c>
      <c r="L2102" t="str">
        <f>IF(E2102="","",IFERROR(VLOOKUP(E2102,Listas!$A$2:$C$1048576,3,FALSE),""))</f>
        <v/>
      </c>
    </row>
    <row r="2103" spans="10:12" x14ac:dyDescent="0.25">
      <c r="J2103" t="str">
        <f>IF(H2103="","",IFERROR(VLOOKUP(H2103,Listas!$J$2:$K$1048576,2,FALSE),""))</f>
        <v/>
      </c>
      <c r="K2103" s="5" t="str">
        <f>IF(OR(I2103="",G2103=""),"",IF(G2103="Saída",-I2103,I2103))</f>
        <v/>
      </c>
      <c r="L2103" t="str">
        <f>IF(E2103="","",IFERROR(VLOOKUP(E2103,Listas!$A$2:$C$1048576,3,FALSE),""))</f>
        <v/>
      </c>
    </row>
    <row r="2104" spans="10:12" x14ac:dyDescent="0.25">
      <c r="J2104" t="str">
        <f>IF(H2104="","",IFERROR(VLOOKUP(H2104,Listas!$J$2:$K$1048576,2,FALSE),""))</f>
        <v/>
      </c>
      <c r="K2104" s="5" t="str">
        <f>IF(OR(I2104="",G2104=""),"",IF(G2104="Saída",-I2104,I2104))</f>
        <v/>
      </c>
      <c r="L2104" t="str">
        <f>IF(E2104="","",IFERROR(VLOOKUP(E2104,Listas!$A$2:$C$1048576,3,FALSE),""))</f>
        <v/>
      </c>
    </row>
    <row r="2105" spans="10:12" x14ac:dyDescent="0.25">
      <c r="J2105" t="str">
        <f>IF(H2105="","",IFERROR(VLOOKUP(H2105,Listas!$J$2:$K$1048576,2,FALSE),""))</f>
        <v/>
      </c>
      <c r="K2105" s="5" t="str">
        <f>IF(OR(I2105="",G2105=""),"",IF(G2105="Saída",-I2105,I2105))</f>
        <v/>
      </c>
      <c r="L2105" t="str">
        <f>IF(E2105="","",IFERROR(VLOOKUP(E2105,Listas!$A$2:$C$1048576,3,FALSE),""))</f>
        <v/>
      </c>
    </row>
    <row r="2106" spans="10:12" x14ac:dyDescent="0.25">
      <c r="J2106" t="str">
        <f>IF(H2106="","",IFERROR(VLOOKUP(H2106,Listas!$J$2:$K$1048576,2,FALSE),""))</f>
        <v/>
      </c>
      <c r="K2106" s="5" t="str">
        <f>IF(OR(I2106="",G2106=""),"",IF(G2106="Saída",-I2106,I2106))</f>
        <v/>
      </c>
      <c r="L2106" t="str">
        <f>IF(E2106="","",IFERROR(VLOOKUP(E2106,Listas!$A$2:$C$1048576,3,FALSE),""))</f>
        <v/>
      </c>
    </row>
    <row r="2107" spans="10:12" x14ac:dyDescent="0.25">
      <c r="J2107" t="str">
        <f>IF(H2107="","",IFERROR(VLOOKUP(H2107,Listas!$J$2:$K$1048576,2,FALSE),""))</f>
        <v/>
      </c>
      <c r="K2107" s="5" t="str">
        <f>IF(OR(I2107="",G2107=""),"",IF(G2107="Saída",-I2107,I2107))</f>
        <v/>
      </c>
      <c r="L2107" t="str">
        <f>IF(E2107="","",IFERROR(VLOOKUP(E2107,Listas!$A$2:$C$1048576,3,FALSE),""))</f>
        <v/>
      </c>
    </row>
    <row r="2108" spans="10:12" x14ac:dyDescent="0.25">
      <c r="J2108" t="str">
        <f>IF(H2108="","",IFERROR(VLOOKUP(H2108,Listas!$J$2:$K$1048576,2,FALSE),""))</f>
        <v/>
      </c>
      <c r="K2108" s="5" t="str">
        <f>IF(OR(I2108="",G2108=""),"",IF(G2108="Saída",-I2108,I2108))</f>
        <v/>
      </c>
      <c r="L2108" t="str">
        <f>IF(E2108="","",IFERROR(VLOOKUP(E2108,Listas!$A$2:$C$1048576,3,FALSE),""))</f>
        <v/>
      </c>
    </row>
    <row r="2109" spans="10:12" x14ac:dyDescent="0.25">
      <c r="J2109" t="str">
        <f>IF(H2109="","",IFERROR(VLOOKUP(H2109,Listas!$J$2:$K$1048576,2,FALSE),""))</f>
        <v/>
      </c>
      <c r="K2109" s="5" t="str">
        <f>IF(OR(I2109="",G2109=""),"",IF(G2109="Saída",-I2109,I2109))</f>
        <v/>
      </c>
      <c r="L2109" t="str">
        <f>IF(E2109="","",IFERROR(VLOOKUP(E2109,Listas!$A$2:$C$1048576,3,FALSE),""))</f>
        <v/>
      </c>
    </row>
    <row r="2110" spans="10:12" x14ac:dyDescent="0.25">
      <c r="J2110" t="str">
        <f>IF(H2110="","",IFERROR(VLOOKUP(H2110,Listas!$J$2:$K$1048576,2,FALSE),""))</f>
        <v/>
      </c>
      <c r="K2110" s="5" t="str">
        <f>IF(OR(I2110="",G2110=""),"",IF(G2110="Saída",-I2110,I2110))</f>
        <v/>
      </c>
      <c r="L2110" t="str">
        <f>IF(E2110="","",IFERROR(VLOOKUP(E2110,Listas!$A$2:$C$1048576,3,FALSE),""))</f>
        <v/>
      </c>
    </row>
    <row r="2111" spans="10:12" x14ac:dyDescent="0.25">
      <c r="J2111" t="str">
        <f>IF(H2111="","",IFERROR(VLOOKUP(H2111,Listas!$J$2:$K$1048576,2,FALSE),""))</f>
        <v/>
      </c>
      <c r="K2111" s="5" t="str">
        <f>IF(OR(I2111="",G2111=""),"",IF(G2111="Saída",-I2111,I2111))</f>
        <v/>
      </c>
      <c r="L2111" t="str">
        <f>IF(E2111="","",IFERROR(VLOOKUP(E2111,Listas!$A$2:$C$1048576,3,FALSE),""))</f>
        <v/>
      </c>
    </row>
    <row r="2112" spans="10:12" x14ac:dyDescent="0.25">
      <c r="J2112" t="str">
        <f>IF(H2112="","",IFERROR(VLOOKUP(H2112,Listas!$J$2:$K$1048576,2,FALSE),""))</f>
        <v/>
      </c>
      <c r="K2112" s="5" t="str">
        <f>IF(OR(I2112="",G2112=""),"",IF(G2112="Saída",-I2112,I2112))</f>
        <v/>
      </c>
      <c r="L2112" t="str">
        <f>IF(E2112="","",IFERROR(VLOOKUP(E2112,Listas!$A$2:$C$1048576,3,FALSE),""))</f>
        <v/>
      </c>
    </row>
    <row r="2113" spans="10:12" x14ac:dyDescent="0.25">
      <c r="J2113" t="str">
        <f>IF(H2113="","",IFERROR(VLOOKUP(H2113,Listas!$J$2:$K$1048576,2,FALSE),""))</f>
        <v/>
      </c>
      <c r="K2113" s="5" t="str">
        <f>IF(OR(I2113="",G2113=""),"",IF(G2113="Saída",-I2113,I2113))</f>
        <v/>
      </c>
      <c r="L2113" t="str">
        <f>IF(E2113="","",IFERROR(VLOOKUP(E2113,Listas!$A$2:$C$1048576,3,FALSE),""))</f>
        <v/>
      </c>
    </row>
    <row r="2114" spans="10:12" x14ac:dyDescent="0.25">
      <c r="J2114" t="str">
        <f>IF(H2114="","",IFERROR(VLOOKUP(H2114,Listas!$J$2:$K$1048576,2,FALSE),""))</f>
        <v/>
      </c>
      <c r="K2114" s="5" t="str">
        <f>IF(OR(I2114="",G2114=""),"",IF(G2114="Saída",-I2114,I2114))</f>
        <v/>
      </c>
      <c r="L2114" t="str">
        <f>IF(E2114="","",IFERROR(VLOOKUP(E2114,Listas!$A$2:$C$1048576,3,FALSE),""))</f>
        <v/>
      </c>
    </row>
    <row r="2115" spans="10:12" x14ac:dyDescent="0.25">
      <c r="J2115" t="str">
        <f>IF(H2115="","",IFERROR(VLOOKUP(H2115,Listas!$J$2:$K$1048576,2,FALSE),""))</f>
        <v/>
      </c>
      <c r="K2115" s="5" t="str">
        <f>IF(OR(I2115="",G2115=""),"",IF(G2115="Saída",-I2115,I2115))</f>
        <v/>
      </c>
      <c r="L2115" t="str">
        <f>IF(E2115="","",IFERROR(VLOOKUP(E2115,Listas!$A$2:$C$1048576,3,FALSE),""))</f>
        <v/>
      </c>
    </row>
    <row r="2116" spans="10:12" x14ac:dyDescent="0.25">
      <c r="J2116" t="str">
        <f>IF(H2116="","",IFERROR(VLOOKUP(H2116,Listas!$J$2:$K$1048576,2,FALSE),""))</f>
        <v/>
      </c>
      <c r="K2116" s="5" t="str">
        <f>IF(OR(I2116="",G2116=""),"",IF(G2116="Saída",-I2116,I2116))</f>
        <v/>
      </c>
      <c r="L2116" t="str">
        <f>IF(E2116="","",IFERROR(VLOOKUP(E2116,Listas!$A$2:$C$1048576,3,FALSE),""))</f>
        <v/>
      </c>
    </row>
    <row r="2117" spans="10:12" x14ac:dyDescent="0.25">
      <c r="J2117" t="str">
        <f>IF(H2117="","",IFERROR(VLOOKUP(H2117,Listas!$J$2:$K$1048576,2,FALSE),""))</f>
        <v/>
      </c>
      <c r="K2117" s="5" t="str">
        <f>IF(OR(I2117="",G2117=""),"",IF(G2117="Saída",-I2117,I2117))</f>
        <v/>
      </c>
      <c r="L2117" t="str">
        <f>IF(E2117="","",IFERROR(VLOOKUP(E2117,Listas!$A$2:$C$1048576,3,FALSE),""))</f>
        <v/>
      </c>
    </row>
    <row r="2118" spans="10:12" x14ac:dyDescent="0.25">
      <c r="J2118" t="str">
        <f>IF(H2118="","",IFERROR(VLOOKUP(H2118,Listas!$J$2:$K$1048576,2,FALSE),""))</f>
        <v/>
      </c>
      <c r="K2118" s="5" t="str">
        <f>IF(OR(I2118="",G2118=""),"",IF(G2118="Saída",-I2118,I2118))</f>
        <v/>
      </c>
      <c r="L2118" t="str">
        <f>IF(E2118="","",IFERROR(VLOOKUP(E2118,Listas!$A$2:$C$1048576,3,FALSE),""))</f>
        <v/>
      </c>
    </row>
    <row r="2119" spans="10:12" x14ac:dyDescent="0.25">
      <c r="J2119" t="str">
        <f>IF(H2119="","",IFERROR(VLOOKUP(H2119,Listas!$J$2:$K$1048576,2,FALSE),""))</f>
        <v/>
      </c>
      <c r="K2119" s="5" t="str">
        <f>IF(OR(I2119="",G2119=""),"",IF(G2119="Saída",-I2119,I2119))</f>
        <v/>
      </c>
      <c r="L2119" t="str">
        <f>IF(E2119="","",IFERROR(VLOOKUP(E2119,Listas!$A$2:$C$1048576,3,FALSE),""))</f>
        <v/>
      </c>
    </row>
    <row r="2120" spans="10:12" x14ac:dyDescent="0.25">
      <c r="J2120" t="str">
        <f>IF(H2120="","",IFERROR(VLOOKUP(H2120,Listas!$J$2:$K$1048576,2,FALSE),""))</f>
        <v/>
      </c>
      <c r="K2120" s="5" t="str">
        <f>IF(OR(I2120="",G2120=""),"",IF(G2120="Saída",-I2120,I2120))</f>
        <v/>
      </c>
      <c r="L2120" t="str">
        <f>IF(E2120="","",IFERROR(VLOOKUP(E2120,Listas!$A$2:$C$1048576,3,FALSE),""))</f>
        <v/>
      </c>
    </row>
    <row r="2121" spans="10:12" x14ac:dyDescent="0.25">
      <c r="J2121" t="str">
        <f>IF(H2121="","",IFERROR(VLOOKUP(H2121,Listas!$J$2:$K$1048576,2,FALSE),""))</f>
        <v/>
      </c>
      <c r="K2121" s="5" t="str">
        <f>IF(OR(I2121="",G2121=""),"",IF(G2121="Saída",-I2121,I2121))</f>
        <v/>
      </c>
      <c r="L2121" t="str">
        <f>IF(E2121="","",IFERROR(VLOOKUP(E2121,Listas!$A$2:$C$1048576,3,FALSE),""))</f>
        <v/>
      </c>
    </row>
    <row r="2122" spans="10:12" x14ac:dyDescent="0.25">
      <c r="J2122" t="str">
        <f>IF(H2122="","",IFERROR(VLOOKUP(H2122,Listas!$J$2:$K$1048576,2,FALSE),""))</f>
        <v/>
      </c>
      <c r="K2122" s="5" t="str">
        <f>IF(OR(I2122="",G2122=""),"",IF(G2122="Saída",-I2122,I2122))</f>
        <v/>
      </c>
      <c r="L2122" t="str">
        <f>IF(E2122="","",IFERROR(VLOOKUP(E2122,Listas!$A$2:$C$1048576,3,FALSE),""))</f>
        <v/>
      </c>
    </row>
    <row r="2123" spans="10:12" x14ac:dyDescent="0.25">
      <c r="J2123" t="str">
        <f>IF(H2123="","",IFERROR(VLOOKUP(H2123,Listas!$J$2:$K$1048576,2,FALSE),""))</f>
        <v/>
      </c>
      <c r="K2123" s="5" t="str">
        <f>IF(OR(I2123="",G2123=""),"",IF(G2123="Saída",-I2123,I2123))</f>
        <v/>
      </c>
      <c r="L2123" t="str">
        <f>IF(E2123="","",IFERROR(VLOOKUP(E2123,Listas!$A$2:$C$1048576,3,FALSE),""))</f>
        <v/>
      </c>
    </row>
    <row r="2124" spans="10:12" x14ac:dyDescent="0.25">
      <c r="J2124" t="str">
        <f>IF(H2124="","",IFERROR(VLOOKUP(H2124,Listas!$J$2:$K$1048576,2,FALSE),""))</f>
        <v/>
      </c>
      <c r="K2124" s="5" t="str">
        <f>IF(OR(I2124="",G2124=""),"",IF(G2124="Saída",-I2124,I2124))</f>
        <v/>
      </c>
      <c r="L2124" t="str">
        <f>IF(E2124="","",IFERROR(VLOOKUP(E2124,Listas!$A$2:$C$1048576,3,FALSE),""))</f>
        <v/>
      </c>
    </row>
    <row r="2125" spans="10:12" x14ac:dyDescent="0.25">
      <c r="J2125" t="str">
        <f>IF(H2125="","",IFERROR(VLOOKUP(H2125,Listas!$J$2:$K$1048576,2,FALSE),""))</f>
        <v/>
      </c>
      <c r="K2125" s="5" t="str">
        <f>IF(OR(I2125="",G2125=""),"",IF(G2125="Saída",-I2125,I2125))</f>
        <v/>
      </c>
      <c r="L2125" t="str">
        <f>IF(E2125="","",IFERROR(VLOOKUP(E2125,Listas!$A$2:$C$1048576,3,FALSE),""))</f>
        <v/>
      </c>
    </row>
    <row r="2126" spans="10:12" x14ac:dyDescent="0.25">
      <c r="J2126" t="str">
        <f>IF(H2126="","",IFERROR(VLOOKUP(H2126,Listas!$J$2:$K$1048576,2,FALSE),""))</f>
        <v/>
      </c>
      <c r="K2126" s="5" t="str">
        <f>IF(OR(I2126="",G2126=""),"",IF(G2126="Saída",-I2126,I2126))</f>
        <v/>
      </c>
      <c r="L2126" t="str">
        <f>IF(E2126="","",IFERROR(VLOOKUP(E2126,Listas!$A$2:$C$1048576,3,FALSE),""))</f>
        <v/>
      </c>
    </row>
    <row r="2127" spans="10:12" x14ac:dyDescent="0.25">
      <c r="J2127" t="str">
        <f>IF(H2127="","",IFERROR(VLOOKUP(H2127,Listas!$J$2:$K$1048576,2,FALSE),""))</f>
        <v/>
      </c>
      <c r="K2127" s="5" t="str">
        <f>IF(OR(I2127="",G2127=""),"",IF(G2127="Saída",-I2127,I2127))</f>
        <v/>
      </c>
      <c r="L2127" t="str">
        <f>IF(E2127="","",IFERROR(VLOOKUP(E2127,Listas!$A$2:$C$1048576,3,FALSE),""))</f>
        <v/>
      </c>
    </row>
    <row r="2128" spans="10:12" x14ac:dyDescent="0.25">
      <c r="J2128" t="str">
        <f>IF(H2128="","",IFERROR(VLOOKUP(H2128,Listas!$J$2:$K$1048576,2,FALSE),""))</f>
        <v/>
      </c>
      <c r="K2128" s="5" t="str">
        <f>IF(OR(I2128="",G2128=""),"",IF(G2128="Saída",-I2128,I2128))</f>
        <v/>
      </c>
      <c r="L2128" t="str">
        <f>IF(E2128="","",IFERROR(VLOOKUP(E2128,Listas!$A$2:$C$1048576,3,FALSE),""))</f>
        <v/>
      </c>
    </row>
    <row r="2129" spans="10:12" x14ac:dyDescent="0.25">
      <c r="J2129" t="str">
        <f>IF(H2129="","",IFERROR(VLOOKUP(H2129,Listas!$J$2:$K$1048576,2,FALSE),""))</f>
        <v/>
      </c>
      <c r="K2129" s="5" t="str">
        <f>IF(OR(I2129="",G2129=""),"",IF(G2129="Saída",-I2129,I2129))</f>
        <v/>
      </c>
      <c r="L2129" t="str">
        <f>IF(E2129="","",IFERROR(VLOOKUP(E2129,Listas!$A$2:$C$1048576,3,FALSE),""))</f>
        <v/>
      </c>
    </row>
    <row r="2130" spans="10:12" x14ac:dyDescent="0.25">
      <c r="J2130" t="str">
        <f>IF(H2130="","",IFERROR(VLOOKUP(H2130,Listas!$J$2:$K$1048576,2,FALSE),""))</f>
        <v/>
      </c>
      <c r="K2130" s="5" t="str">
        <f>IF(OR(I2130="",G2130=""),"",IF(G2130="Saída",-I2130,I2130))</f>
        <v/>
      </c>
      <c r="L2130" t="str">
        <f>IF(E2130="","",IFERROR(VLOOKUP(E2130,Listas!$A$2:$C$1048576,3,FALSE),""))</f>
        <v/>
      </c>
    </row>
    <row r="2131" spans="10:12" x14ac:dyDescent="0.25">
      <c r="J2131" t="str">
        <f>IF(H2131="","",IFERROR(VLOOKUP(H2131,Listas!$J$2:$K$1048576,2,FALSE),""))</f>
        <v/>
      </c>
      <c r="K2131" s="5" t="str">
        <f>IF(OR(I2131="",G2131=""),"",IF(G2131="Saída",-I2131,I2131))</f>
        <v/>
      </c>
      <c r="L2131" t="str">
        <f>IF(E2131="","",IFERROR(VLOOKUP(E2131,Listas!$A$2:$C$1048576,3,FALSE),""))</f>
        <v/>
      </c>
    </row>
    <row r="2132" spans="10:12" x14ac:dyDescent="0.25">
      <c r="J2132" t="str">
        <f>IF(H2132="","",IFERROR(VLOOKUP(H2132,Listas!$J$2:$K$1048576,2,FALSE),""))</f>
        <v/>
      </c>
      <c r="K2132" s="5" t="str">
        <f>IF(OR(I2132="",G2132=""),"",IF(G2132="Saída",-I2132,I2132))</f>
        <v/>
      </c>
      <c r="L2132" t="str">
        <f>IF(E2132="","",IFERROR(VLOOKUP(E2132,Listas!$A$2:$C$1048576,3,FALSE),""))</f>
        <v/>
      </c>
    </row>
    <row r="2133" spans="10:12" x14ac:dyDescent="0.25">
      <c r="J2133" t="str">
        <f>IF(H2133="","",IFERROR(VLOOKUP(H2133,Listas!$J$2:$K$1048576,2,FALSE),""))</f>
        <v/>
      </c>
      <c r="K2133" s="5" t="str">
        <f>IF(OR(I2133="",G2133=""),"",IF(G2133="Saída",-I2133,I2133))</f>
        <v/>
      </c>
      <c r="L2133" t="str">
        <f>IF(E2133="","",IFERROR(VLOOKUP(E2133,Listas!$A$2:$C$1048576,3,FALSE),""))</f>
        <v/>
      </c>
    </row>
    <row r="2134" spans="10:12" x14ac:dyDescent="0.25">
      <c r="J2134" t="str">
        <f>IF(H2134="","",IFERROR(VLOOKUP(H2134,Listas!$J$2:$K$1048576,2,FALSE),""))</f>
        <v/>
      </c>
      <c r="K2134" s="5" t="str">
        <f>IF(OR(I2134="",G2134=""),"",IF(G2134="Saída",-I2134,I2134))</f>
        <v/>
      </c>
      <c r="L2134" t="str">
        <f>IF(E2134="","",IFERROR(VLOOKUP(E2134,Listas!$A$2:$C$1048576,3,FALSE),""))</f>
        <v/>
      </c>
    </row>
    <row r="2135" spans="10:12" x14ac:dyDescent="0.25">
      <c r="J2135" t="str">
        <f>IF(H2135="","",IFERROR(VLOOKUP(H2135,Listas!$J$2:$K$1048576,2,FALSE),""))</f>
        <v/>
      </c>
      <c r="K2135" s="5" t="str">
        <f>IF(OR(I2135="",G2135=""),"",IF(G2135="Saída",-I2135,I2135))</f>
        <v/>
      </c>
      <c r="L2135" t="str">
        <f>IF(E2135="","",IFERROR(VLOOKUP(E2135,Listas!$A$2:$C$1048576,3,FALSE),""))</f>
        <v/>
      </c>
    </row>
    <row r="2136" spans="10:12" x14ac:dyDescent="0.25">
      <c r="J2136" t="str">
        <f>IF(H2136="","",IFERROR(VLOOKUP(H2136,Listas!$J$2:$K$1048576,2,FALSE),""))</f>
        <v/>
      </c>
      <c r="K2136" s="5" t="str">
        <f>IF(OR(I2136="",G2136=""),"",IF(G2136="Saída",-I2136,I2136))</f>
        <v/>
      </c>
      <c r="L2136" t="str">
        <f>IF(E2136="","",IFERROR(VLOOKUP(E2136,Listas!$A$2:$C$1048576,3,FALSE),""))</f>
        <v/>
      </c>
    </row>
    <row r="2137" spans="10:12" x14ac:dyDescent="0.25">
      <c r="J2137" t="str">
        <f>IF(H2137="","",IFERROR(VLOOKUP(H2137,Listas!$J$2:$K$1048576,2,FALSE),""))</f>
        <v/>
      </c>
      <c r="K2137" s="5" t="str">
        <f>IF(OR(I2137="",G2137=""),"",IF(G2137="Saída",-I2137,I2137))</f>
        <v/>
      </c>
      <c r="L2137" t="str">
        <f>IF(E2137="","",IFERROR(VLOOKUP(E2137,Listas!$A$2:$C$1048576,3,FALSE),""))</f>
        <v/>
      </c>
    </row>
    <row r="2138" spans="10:12" x14ac:dyDescent="0.25">
      <c r="J2138" t="str">
        <f>IF(H2138="","",IFERROR(VLOOKUP(H2138,Listas!$J$2:$K$1048576,2,FALSE),""))</f>
        <v/>
      </c>
      <c r="K2138" s="5" t="str">
        <f>IF(OR(I2138="",G2138=""),"",IF(G2138="Saída",-I2138,I2138))</f>
        <v/>
      </c>
      <c r="L2138" t="str">
        <f>IF(E2138="","",IFERROR(VLOOKUP(E2138,Listas!$A$2:$C$1048576,3,FALSE),""))</f>
        <v/>
      </c>
    </row>
    <row r="2139" spans="10:12" x14ac:dyDescent="0.25">
      <c r="J2139" t="str">
        <f>IF(H2139="","",IFERROR(VLOOKUP(H2139,Listas!$J$2:$K$1048576,2,FALSE),""))</f>
        <v/>
      </c>
      <c r="K2139" s="5" t="str">
        <f>IF(OR(I2139="",G2139=""),"",IF(G2139="Saída",-I2139,I2139))</f>
        <v/>
      </c>
      <c r="L2139" t="str">
        <f>IF(E2139="","",IFERROR(VLOOKUP(E2139,Listas!$A$2:$C$1048576,3,FALSE),""))</f>
        <v/>
      </c>
    </row>
    <row r="2140" spans="10:12" x14ac:dyDescent="0.25">
      <c r="J2140" t="str">
        <f>IF(H2140="","",IFERROR(VLOOKUP(H2140,Listas!$J$2:$K$1048576,2,FALSE),""))</f>
        <v/>
      </c>
      <c r="K2140" s="5" t="str">
        <f>IF(OR(I2140="",G2140=""),"",IF(G2140="Saída",-I2140,I2140))</f>
        <v/>
      </c>
      <c r="L2140" t="str">
        <f>IF(E2140="","",IFERROR(VLOOKUP(E2140,Listas!$A$2:$C$1048576,3,FALSE),""))</f>
        <v/>
      </c>
    </row>
    <row r="2141" spans="10:12" x14ac:dyDescent="0.25">
      <c r="J2141" t="str">
        <f>IF(H2141="","",IFERROR(VLOOKUP(H2141,Listas!$J$2:$K$1048576,2,FALSE),""))</f>
        <v/>
      </c>
      <c r="K2141" s="5" t="str">
        <f>IF(OR(I2141="",G2141=""),"",IF(G2141="Saída",-I2141,I2141))</f>
        <v/>
      </c>
      <c r="L2141" t="str">
        <f>IF(E2141="","",IFERROR(VLOOKUP(E2141,Listas!$A$2:$C$1048576,3,FALSE),""))</f>
        <v/>
      </c>
    </row>
    <row r="2142" spans="10:12" x14ac:dyDescent="0.25">
      <c r="J2142" t="str">
        <f>IF(H2142="","",IFERROR(VLOOKUP(H2142,Listas!$J$2:$K$1048576,2,FALSE),""))</f>
        <v/>
      </c>
      <c r="K2142" s="5" t="str">
        <f>IF(OR(I2142="",G2142=""),"",IF(G2142="Saída",-I2142,I2142))</f>
        <v/>
      </c>
      <c r="L2142" t="str">
        <f>IF(E2142="","",IFERROR(VLOOKUP(E2142,Listas!$A$2:$C$1048576,3,FALSE),""))</f>
        <v/>
      </c>
    </row>
    <row r="2143" spans="10:12" x14ac:dyDescent="0.25">
      <c r="J2143" t="str">
        <f>IF(H2143="","",IFERROR(VLOOKUP(H2143,Listas!$J$2:$K$1048576,2,FALSE),""))</f>
        <v/>
      </c>
      <c r="K2143" s="5" t="str">
        <f>IF(OR(I2143="",G2143=""),"",IF(G2143="Saída",-I2143,I2143))</f>
        <v/>
      </c>
      <c r="L2143" t="str">
        <f>IF(E2143="","",IFERROR(VLOOKUP(E2143,Listas!$A$2:$C$1048576,3,FALSE),""))</f>
        <v/>
      </c>
    </row>
    <row r="2144" spans="10:12" x14ac:dyDescent="0.25">
      <c r="J2144" t="str">
        <f>IF(H2144="","",IFERROR(VLOOKUP(H2144,Listas!$J$2:$K$1048576,2,FALSE),""))</f>
        <v/>
      </c>
      <c r="K2144" s="5" t="str">
        <f>IF(OR(I2144="",G2144=""),"",IF(G2144="Saída",-I2144,I2144))</f>
        <v/>
      </c>
      <c r="L2144" t="str">
        <f>IF(E2144="","",IFERROR(VLOOKUP(E2144,Listas!$A$2:$C$1048576,3,FALSE),""))</f>
        <v/>
      </c>
    </row>
    <row r="2145" spans="10:12" x14ac:dyDescent="0.25">
      <c r="J2145" t="str">
        <f>IF(H2145="","",IFERROR(VLOOKUP(H2145,Listas!$J$2:$K$1048576,2,FALSE),""))</f>
        <v/>
      </c>
      <c r="K2145" s="5" t="str">
        <f>IF(OR(I2145="",G2145=""),"",IF(G2145="Saída",-I2145,I2145))</f>
        <v/>
      </c>
      <c r="L2145" t="str">
        <f>IF(E2145="","",IFERROR(VLOOKUP(E2145,Listas!$A$2:$C$1048576,3,FALSE),""))</f>
        <v/>
      </c>
    </row>
    <row r="2146" spans="10:12" x14ac:dyDescent="0.25">
      <c r="J2146" t="str">
        <f>IF(H2146="","",IFERROR(VLOOKUP(H2146,Listas!$J$2:$K$1048576,2,FALSE),""))</f>
        <v/>
      </c>
      <c r="K2146" s="5" t="str">
        <f>IF(OR(I2146="",G2146=""),"",IF(G2146="Saída",-I2146,I2146))</f>
        <v/>
      </c>
      <c r="L2146" t="str">
        <f>IF(E2146="","",IFERROR(VLOOKUP(E2146,Listas!$A$2:$C$1048576,3,FALSE),""))</f>
        <v/>
      </c>
    </row>
    <row r="2147" spans="10:12" x14ac:dyDescent="0.25">
      <c r="J2147" t="str">
        <f>IF(H2147="","",IFERROR(VLOOKUP(H2147,Listas!$J$2:$K$1048576,2,FALSE),""))</f>
        <v/>
      </c>
      <c r="K2147" s="5" t="str">
        <f>IF(OR(I2147="",G2147=""),"",IF(G2147="Saída",-I2147,I2147))</f>
        <v/>
      </c>
      <c r="L2147" t="str">
        <f>IF(E2147="","",IFERROR(VLOOKUP(E2147,Listas!$A$2:$C$1048576,3,FALSE),""))</f>
        <v/>
      </c>
    </row>
    <row r="2148" spans="10:12" x14ac:dyDescent="0.25">
      <c r="J2148" t="str">
        <f>IF(H2148="","",IFERROR(VLOOKUP(H2148,Listas!$J$2:$K$1048576,2,FALSE),""))</f>
        <v/>
      </c>
      <c r="K2148" s="5" t="str">
        <f>IF(OR(I2148="",G2148=""),"",IF(G2148="Saída",-I2148,I2148))</f>
        <v/>
      </c>
      <c r="L2148" t="str">
        <f>IF(E2148="","",IFERROR(VLOOKUP(E2148,Listas!$A$2:$C$1048576,3,FALSE),""))</f>
        <v/>
      </c>
    </row>
    <row r="2149" spans="10:12" x14ac:dyDescent="0.25">
      <c r="J2149" t="str">
        <f>IF(H2149="","",IFERROR(VLOOKUP(H2149,Listas!$J$2:$K$1048576,2,FALSE),""))</f>
        <v/>
      </c>
      <c r="K2149" s="5" t="str">
        <f>IF(OR(I2149="",G2149=""),"",IF(G2149="Saída",-I2149,I2149))</f>
        <v/>
      </c>
      <c r="L2149" t="str">
        <f>IF(E2149="","",IFERROR(VLOOKUP(E2149,Listas!$A$2:$C$1048576,3,FALSE),""))</f>
        <v/>
      </c>
    </row>
    <row r="2150" spans="10:12" x14ac:dyDescent="0.25">
      <c r="J2150" t="str">
        <f>IF(H2150="","",IFERROR(VLOOKUP(H2150,Listas!$J$2:$K$1048576,2,FALSE),""))</f>
        <v/>
      </c>
      <c r="K2150" s="5" t="str">
        <f>IF(OR(I2150="",G2150=""),"",IF(G2150="Saída",-I2150,I2150))</f>
        <v/>
      </c>
      <c r="L2150" t="str">
        <f>IF(E2150="","",IFERROR(VLOOKUP(E2150,Listas!$A$2:$C$1048576,3,FALSE),""))</f>
        <v/>
      </c>
    </row>
    <row r="2151" spans="10:12" x14ac:dyDescent="0.25">
      <c r="J2151" t="str">
        <f>IF(H2151="","",IFERROR(VLOOKUP(H2151,Listas!$J$2:$K$1048576,2,FALSE),""))</f>
        <v/>
      </c>
      <c r="K2151" s="5" t="str">
        <f>IF(OR(I2151="",G2151=""),"",IF(G2151="Saída",-I2151,I2151))</f>
        <v/>
      </c>
      <c r="L2151" t="str">
        <f>IF(E2151="","",IFERROR(VLOOKUP(E2151,Listas!$A$2:$C$1048576,3,FALSE),""))</f>
        <v/>
      </c>
    </row>
    <row r="2152" spans="10:12" x14ac:dyDescent="0.25">
      <c r="J2152" t="str">
        <f>IF(H2152="","",IFERROR(VLOOKUP(H2152,Listas!$J$2:$K$1048576,2,FALSE),""))</f>
        <v/>
      </c>
      <c r="K2152" s="5" t="str">
        <f>IF(OR(I2152="",G2152=""),"",IF(G2152="Saída",-I2152,I2152))</f>
        <v/>
      </c>
      <c r="L2152" t="str">
        <f>IF(E2152="","",IFERROR(VLOOKUP(E2152,Listas!$A$2:$C$1048576,3,FALSE),""))</f>
        <v/>
      </c>
    </row>
    <row r="2153" spans="10:12" x14ac:dyDescent="0.25">
      <c r="J2153" t="str">
        <f>IF(H2153="","",IFERROR(VLOOKUP(H2153,Listas!$J$2:$K$1048576,2,FALSE),""))</f>
        <v/>
      </c>
      <c r="K2153" s="5" t="str">
        <f>IF(OR(I2153="",G2153=""),"",IF(G2153="Saída",-I2153,I2153))</f>
        <v/>
      </c>
      <c r="L2153" t="str">
        <f>IF(E2153="","",IFERROR(VLOOKUP(E2153,Listas!$A$2:$C$1048576,3,FALSE),""))</f>
        <v/>
      </c>
    </row>
    <row r="2154" spans="10:12" x14ac:dyDescent="0.25">
      <c r="J2154" t="str">
        <f>IF(H2154="","",IFERROR(VLOOKUP(H2154,Listas!$J$2:$K$1048576,2,FALSE),""))</f>
        <v/>
      </c>
      <c r="K2154" s="5" t="str">
        <f>IF(OR(I2154="",G2154=""),"",IF(G2154="Saída",-I2154,I2154))</f>
        <v/>
      </c>
      <c r="L2154" t="str">
        <f>IF(E2154="","",IFERROR(VLOOKUP(E2154,Listas!$A$2:$C$1048576,3,FALSE),""))</f>
        <v/>
      </c>
    </row>
    <row r="2155" spans="10:12" x14ac:dyDescent="0.25">
      <c r="J2155" t="str">
        <f>IF(H2155="","",IFERROR(VLOOKUP(H2155,Listas!$J$2:$K$1048576,2,FALSE),""))</f>
        <v/>
      </c>
      <c r="K2155" s="5" t="str">
        <f>IF(OR(I2155="",G2155=""),"",IF(G2155="Saída",-I2155,I2155))</f>
        <v/>
      </c>
      <c r="L2155" t="str">
        <f>IF(E2155="","",IFERROR(VLOOKUP(E2155,Listas!$A$2:$C$1048576,3,FALSE),""))</f>
        <v/>
      </c>
    </row>
    <row r="2156" spans="10:12" x14ac:dyDescent="0.25">
      <c r="J2156" t="str">
        <f>IF(H2156="","",IFERROR(VLOOKUP(H2156,Listas!$J$2:$K$1048576,2,FALSE),""))</f>
        <v/>
      </c>
      <c r="K2156" s="5" t="str">
        <f>IF(OR(I2156="",G2156=""),"",IF(G2156="Saída",-I2156,I2156))</f>
        <v/>
      </c>
      <c r="L2156" t="str">
        <f>IF(E2156="","",IFERROR(VLOOKUP(E2156,Listas!$A$2:$C$1048576,3,FALSE),""))</f>
        <v/>
      </c>
    </row>
    <row r="2157" spans="10:12" x14ac:dyDescent="0.25">
      <c r="J2157" t="str">
        <f>IF(H2157="","",IFERROR(VLOOKUP(H2157,Listas!$J$2:$K$1048576,2,FALSE),""))</f>
        <v/>
      </c>
      <c r="K2157" s="5" t="str">
        <f>IF(OR(I2157="",G2157=""),"",IF(G2157="Saída",-I2157,I2157))</f>
        <v/>
      </c>
      <c r="L2157" t="str">
        <f>IF(E2157="","",IFERROR(VLOOKUP(E2157,Listas!$A$2:$C$1048576,3,FALSE),""))</f>
        <v/>
      </c>
    </row>
    <row r="2158" spans="10:12" x14ac:dyDescent="0.25">
      <c r="J2158" t="str">
        <f>IF(H2158="","",IFERROR(VLOOKUP(H2158,Listas!$J$2:$K$1048576,2,FALSE),""))</f>
        <v/>
      </c>
      <c r="K2158" s="5" t="str">
        <f>IF(OR(I2158="",G2158=""),"",IF(G2158="Saída",-I2158,I2158))</f>
        <v/>
      </c>
      <c r="L2158" t="str">
        <f>IF(E2158="","",IFERROR(VLOOKUP(E2158,Listas!$A$2:$C$1048576,3,FALSE),""))</f>
        <v/>
      </c>
    </row>
    <row r="2159" spans="10:12" x14ac:dyDescent="0.25">
      <c r="J2159" t="str">
        <f>IF(H2159="","",IFERROR(VLOOKUP(H2159,Listas!$J$2:$K$1048576,2,FALSE),""))</f>
        <v/>
      </c>
      <c r="K2159" s="5" t="str">
        <f>IF(OR(I2159="",G2159=""),"",IF(G2159="Saída",-I2159,I2159))</f>
        <v/>
      </c>
      <c r="L2159" t="str">
        <f>IF(E2159="","",IFERROR(VLOOKUP(E2159,Listas!$A$2:$C$1048576,3,FALSE),""))</f>
        <v/>
      </c>
    </row>
    <row r="2160" spans="10:12" x14ac:dyDescent="0.25">
      <c r="J2160" t="str">
        <f>IF(H2160="","",IFERROR(VLOOKUP(H2160,Listas!$J$2:$K$1048576,2,FALSE),""))</f>
        <v/>
      </c>
      <c r="K2160" s="5" t="str">
        <f>IF(OR(I2160="",G2160=""),"",IF(G2160="Saída",-I2160,I2160))</f>
        <v/>
      </c>
      <c r="L2160" t="str">
        <f>IF(E2160="","",IFERROR(VLOOKUP(E2160,Listas!$A$2:$C$1048576,3,FALSE),""))</f>
        <v/>
      </c>
    </row>
    <row r="2161" spans="10:12" x14ac:dyDescent="0.25">
      <c r="J2161" t="str">
        <f>IF(H2161="","",IFERROR(VLOOKUP(H2161,Listas!$J$2:$K$1048576,2,FALSE),""))</f>
        <v/>
      </c>
      <c r="K2161" s="5" t="str">
        <f>IF(OR(I2161="",G2161=""),"",IF(G2161="Saída",-I2161,I2161))</f>
        <v/>
      </c>
      <c r="L2161" t="str">
        <f>IF(E2161="","",IFERROR(VLOOKUP(E2161,Listas!$A$2:$C$1048576,3,FALSE),""))</f>
        <v/>
      </c>
    </row>
    <row r="2162" spans="10:12" x14ac:dyDescent="0.25">
      <c r="J2162" t="str">
        <f>IF(H2162="","",IFERROR(VLOOKUP(H2162,Listas!$J$2:$K$1048576,2,FALSE),""))</f>
        <v/>
      </c>
      <c r="K2162" s="5" t="str">
        <f>IF(OR(I2162="",G2162=""),"",IF(G2162="Saída",-I2162,I2162))</f>
        <v/>
      </c>
      <c r="L2162" t="str">
        <f>IF(E2162="","",IFERROR(VLOOKUP(E2162,Listas!$A$2:$C$1048576,3,FALSE),""))</f>
        <v/>
      </c>
    </row>
    <row r="2163" spans="10:12" x14ac:dyDescent="0.25">
      <c r="J2163" t="str">
        <f>IF(H2163="","",IFERROR(VLOOKUP(H2163,Listas!$J$2:$K$1048576,2,FALSE),""))</f>
        <v/>
      </c>
      <c r="K2163" s="5" t="str">
        <f>IF(OR(I2163="",G2163=""),"",IF(G2163="Saída",-I2163,I2163))</f>
        <v/>
      </c>
      <c r="L2163" t="str">
        <f>IF(E2163="","",IFERROR(VLOOKUP(E2163,Listas!$A$2:$C$1048576,3,FALSE),""))</f>
        <v/>
      </c>
    </row>
    <row r="2164" spans="10:12" x14ac:dyDescent="0.25">
      <c r="J2164" t="str">
        <f>IF(H2164="","",IFERROR(VLOOKUP(H2164,Listas!$J$2:$K$1048576,2,FALSE),""))</f>
        <v/>
      </c>
      <c r="K2164" s="5" t="str">
        <f>IF(OR(I2164="",G2164=""),"",IF(G2164="Saída",-I2164,I2164))</f>
        <v/>
      </c>
      <c r="L2164" t="str">
        <f>IF(E2164="","",IFERROR(VLOOKUP(E2164,Listas!$A$2:$C$1048576,3,FALSE),""))</f>
        <v/>
      </c>
    </row>
    <row r="2165" spans="10:12" x14ac:dyDescent="0.25">
      <c r="J2165" t="str">
        <f>IF(H2165="","",IFERROR(VLOOKUP(H2165,Listas!$J$2:$K$1048576,2,FALSE),""))</f>
        <v/>
      </c>
      <c r="K2165" s="5" t="str">
        <f>IF(OR(I2165="",G2165=""),"",IF(G2165="Saída",-I2165,I2165))</f>
        <v/>
      </c>
      <c r="L2165" t="str">
        <f>IF(E2165="","",IFERROR(VLOOKUP(E2165,Listas!$A$2:$C$1048576,3,FALSE),""))</f>
        <v/>
      </c>
    </row>
    <row r="2166" spans="10:12" x14ac:dyDescent="0.25">
      <c r="J2166" t="str">
        <f>IF(H2166="","",IFERROR(VLOOKUP(H2166,Listas!$J$2:$K$1048576,2,FALSE),""))</f>
        <v/>
      </c>
      <c r="K2166" s="5" t="str">
        <f>IF(OR(I2166="",G2166=""),"",IF(G2166="Saída",-I2166,I2166))</f>
        <v/>
      </c>
      <c r="L2166" t="str">
        <f>IF(E2166="","",IFERROR(VLOOKUP(E2166,Listas!$A$2:$C$1048576,3,FALSE),""))</f>
        <v/>
      </c>
    </row>
    <row r="2167" spans="10:12" x14ac:dyDescent="0.25">
      <c r="J2167" t="str">
        <f>IF(H2167="","",IFERROR(VLOOKUP(H2167,Listas!$J$2:$K$1048576,2,FALSE),""))</f>
        <v/>
      </c>
      <c r="K2167" s="5" t="str">
        <f>IF(OR(I2167="",G2167=""),"",IF(G2167="Saída",-I2167,I2167))</f>
        <v/>
      </c>
      <c r="L2167" t="str">
        <f>IF(E2167="","",IFERROR(VLOOKUP(E2167,Listas!$A$2:$C$1048576,3,FALSE),""))</f>
        <v/>
      </c>
    </row>
    <row r="2168" spans="10:12" x14ac:dyDescent="0.25">
      <c r="J2168" t="str">
        <f>IF(H2168="","",IFERROR(VLOOKUP(H2168,Listas!$J$2:$K$1048576,2,FALSE),""))</f>
        <v/>
      </c>
      <c r="K2168" s="5" t="str">
        <f>IF(OR(I2168="",G2168=""),"",IF(G2168="Saída",-I2168,I2168))</f>
        <v/>
      </c>
      <c r="L2168" t="str">
        <f>IF(E2168="","",IFERROR(VLOOKUP(E2168,Listas!$A$2:$C$1048576,3,FALSE),""))</f>
        <v/>
      </c>
    </row>
    <row r="2169" spans="10:12" x14ac:dyDescent="0.25">
      <c r="J2169" t="str">
        <f>IF(H2169="","",IFERROR(VLOOKUP(H2169,Listas!$J$2:$K$1048576,2,FALSE),""))</f>
        <v/>
      </c>
      <c r="K2169" s="5" t="str">
        <f>IF(OR(I2169="",G2169=""),"",IF(G2169="Saída",-I2169,I2169))</f>
        <v/>
      </c>
      <c r="L2169" t="str">
        <f>IF(E2169="","",IFERROR(VLOOKUP(E2169,Listas!$A$2:$C$1048576,3,FALSE),""))</f>
        <v/>
      </c>
    </row>
    <row r="2170" spans="10:12" x14ac:dyDescent="0.25">
      <c r="J2170" t="str">
        <f>IF(H2170="","",IFERROR(VLOOKUP(H2170,Listas!$J$2:$K$1048576,2,FALSE),""))</f>
        <v/>
      </c>
      <c r="K2170" s="5" t="str">
        <f>IF(OR(I2170="",G2170=""),"",IF(G2170="Saída",-I2170,I2170))</f>
        <v/>
      </c>
      <c r="L2170" t="str">
        <f>IF(E2170="","",IFERROR(VLOOKUP(E2170,Listas!$A$2:$C$1048576,3,FALSE),""))</f>
        <v/>
      </c>
    </row>
    <row r="2171" spans="10:12" x14ac:dyDescent="0.25">
      <c r="J2171" t="str">
        <f>IF(H2171="","",IFERROR(VLOOKUP(H2171,Listas!$J$2:$K$1048576,2,FALSE),""))</f>
        <v/>
      </c>
      <c r="K2171" s="5" t="str">
        <f>IF(OR(I2171="",G2171=""),"",IF(G2171="Saída",-I2171,I2171))</f>
        <v/>
      </c>
      <c r="L2171" t="str">
        <f>IF(E2171="","",IFERROR(VLOOKUP(E2171,Listas!$A$2:$C$1048576,3,FALSE),""))</f>
        <v/>
      </c>
    </row>
    <row r="2172" spans="10:12" x14ac:dyDescent="0.25">
      <c r="J2172" t="str">
        <f>IF(H2172="","",IFERROR(VLOOKUP(H2172,Listas!$J$2:$K$1048576,2,FALSE),""))</f>
        <v/>
      </c>
      <c r="K2172" s="5" t="str">
        <f>IF(OR(I2172="",G2172=""),"",IF(G2172="Saída",-I2172,I2172))</f>
        <v/>
      </c>
      <c r="L2172" t="str">
        <f>IF(E2172="","",IFERROR(VLOOKUP(E2172,Listas!$A$2:$C$1048576,3,FALSE),""))</f>
        <v/>
      </c>
    </row>
    <row r="2173" spans="10:12" x14ac:dyDescent="0.25">
      <c r="J2173" t="str">
        <f>IF(H2173="","",IFERROR(VLOOKUP(H2173,Listas!$J$2:$K$1048576,2,FALSE),""))</f>
        <v/>
      </c>
      <c r="K2173" s="5" t="str">
        <f>IF(OR(I2173="",G2173=""),"",IF(G2173="Saída",-I2173,I2173))</f>
        <v/>
      </c>
      <c r="L2173" t="str">
        <f>IF(E2173="","",IFERROR(VLOOKUP(E2173,Listas!$A$2:$C$1048576,3,FALSE),""))</f>
        <v/>
      </c>
    </row>
    <row r="2174" spans="10:12" x14ac:dyDescent="0.25">
      <c r="J2174" t="str">
        <f>IF(H2174="","",IFERROR(VLOOKUP(H2174,Listas!$J$2:$K$1048576,2,FALSE),""))</f>
        <v/>
      </c>
      <c r="K2174" s="5" t="str">
        <f>IF(OR(I2174="",G2174=""),"",IF(G2174="Saída",-I2174,I2174))</f>
        <v/>
      </c>
      <c r="L2174" t="str">
        <f>IF(E2174="","",IFERROR(VLOOKUP(E2174,Listas!$A$2:$C$1048576,3,FALSE),""))</f>
        <v/>
      </c>
    </row>
    <row r="2175" spans="10:12" x14ac:dyDescent="0.25">
      <c r="J2175" t="str">
        <f>IF(H2175="","",IFERROR(VLOOKUP(H2175,Listas!$J$2:$K$1048576,2,FALSE),""))</f>
        <v/>
      </c>
      <c r="K2175" s="5" t="str">
        <f>IF(OR(I2175="",G2175=""),"",IF(G2175="Saída",-I2175,I2175))</f>
        <v/>
      </c>
      <c r="L2175" t="str">
        <f>IF(E2175="","",IFERROR(VLOOKUP(E2175,Listas!$A$2:$C$1048576,3,FALSE),""))</f>
        <v/>
      </c>
    </row>
    <row r="2176" spans="10:12" x14ac:dyDescent="0.25">
      <c r="J2176" t="str">
        <f>IF(H2176="","",IFERROR(VLOOKUP(H2176,Listas!$J$2:$K$1048576,2,FALSE),""))</f>
        <v/>
      </c>
      <c r="K2176" s="5" t="str">
        <f>IF(OR(I2176="",G2176=""),"",IF(G2176="Saída",-I2176,I2176))</f>
        <v/>
      </c>
      <c r="L2176" t="str">
        <f>IF(E2176="","",IFERROR(VLOOKUP(E2176,Listas!$A$2:$C$1048576,3,FALSE),""))</f>
        <v/>
      </c>
    </row>
    <row r="2177" spans="10:12" x14ac:dyDescent="0.25">
      <c r="J2177" t="str">
        <f>IF(H2177="","",IFERROR(VLOOKUP(H2177,Listas!$J$2:$K$1048576,2,FALSE),""))</f>
        <v/>
      </c>
      <c r="K2177" s="5" t="str">
        <f>IF(OR(I2177="",G2177=""),"",IF(G2177="Saída",-I2177,I2177))</f>
        <v/>
      </c>
      <c r="L2177" t="str">
        <f>IF(E2177="","",IFERROR(VLOOKUP(E2177,Listas!$A$2:$C$1048576,3,FALSE),""))</f>
        <v/>
      </c>
    </row>
    <row r="2178" spans="10:12" x14ac:dyDescent="0.25">
      <c r="J2178" t="str">
        <f>IF(H2178="","",IFERROR(VLOOKUP(H2178,Listas!$J$2:$K$1048576,2,FALSE),""))</f>
        <v/>
      </c>
      <c r="K2178" s="5" t="str">
        <f>IF(OR(I2178="",G2178=""),"",IF(G2178="Saída",-I2178,I2178))</f>
        <v/>
      </c>
      <c r="L2178" t="str">
        <f>IF(E2178="","",IFERROR(VLOOKUP(E2178,Listas!$A$2:$C$1048576,3,FALSE),""))</f>
        <v/>
      </c>
    </row>
    <row r="2179" spans="10:12" x14ac:dyDescent="0.25">
      <c r="J2179" t="str">
        <f>IF(H2179="","",IFERROR(VLOOKUP(H2179,Listas!$J$2:$K$1048576,2,FALSE),""))</f>
        <v/>
      </c>
      <c r="K2179" s="5" t="str">
        <f>IF(OR(I2179="",G2179=""),"",IF(G2179="Saída",-I2179,I2179))</f>
        <v/>
      </c>
      <c r="L2179" t="str">
        <f>IF(E2179="","",IFERROR(VLOOKUP(E2179,Listas!$A$2:$C$1048576,3,FALSE),""))</f>
        <v/>
      </c>
    </row>
    <row r="2180" spans="10:12" x14ac:dyDescent="0.25">
      <c r="J2180" t="str">
        <f>IF(H2180="","",IFERROR(VLOOKUP(H2180,Listas!$J$2:$K$1048576,2,FALSE),""))</f>
        <v/>
      </c>
      <c r="K2180" s="5" t="str">
        <f>IF(OR(I2180="",G2180=""),"",IF(G2180="Saída",-I2180,I2180))</f>
        <v/>
      </c>
      <c r="L2180" t="str">
        <f>IF(E2180="","",IFERROR(VLOOKUP(E2180,Listas!$A$2:$C$1048576,3,FALSE),""))</f>
        <v/>
      </c>
    </row>
    <row r="2181" spans="10:12" x14ac:dyDescent="0.25">
      <c r="J2181" t="str">
        <f>IF(H2181="","",IFERROR(VLOOKUP(H2181,Listas!$J$2:$K$1048576,2,FALSE),""))</f>
        <v/>
      </c>
      <c r="K2181" s="5" t="str">
        <f>IF(OR(I2181="",G2181=""),"",IF(G2181="Saída",-I2181,I2181))</f>
        <v/>
      </c>
      <c r="L2181" t="str">
        <f>IF(E2181="","",IFERROR(VLOOKUP(E2181,Listas!$A$2:$C$1048576,3,FALSE),""))</f>
        <v/>
      </c>
    </row>
    <row r="2182" spans="10:12" x14ac:dyDescent="0.25">
      <c r="J2182" t="str">
        <f>IF(H2182="","",IFERROR(VLOOKUP(H2182,Listas!$J$2:$K$1048576,2,FALSE),""))</f>
        <v/>
      </c>
      <c r="K2182" s="5" t="str">
        <f>IF(OR(I2182="",G2182=""),"",IF(G2182="Saída",-I2182,I2182))</f>
        <v/>
      </c>
      <c r="L2182" t="str">
        <f>IF(E2182="","",IFERROR(VLOOKUP(E2182,Listas!$A$2:$C$1048576,3,FALSE),""))</f>
        <v/>
      </c>
    </row>
    <row r="2183" spans="10:12" x14ac:dyDescent="0.25">
      <c r="J2183" t="str">
        <f>IF(H2183="","",IFERROR(VLOOKUP(H2183,Listas!$J$2:$K$1048576,2,FALSE),""))</f>
        <v/>
      </c>
      <c r="K2183" s="5" t="str">
        <f>IF(OR(I2183="",G2183=""),"",IF(G2183="Saída",-I2183,I2183))</f>
        <v/>
      </c>
      <c r="L2183" t="str">
        <f>IF(E2183="","",IFERROR(VLOOKUP(E2183,Listas!$A$2:$C$1048576,3,FALSE),""))</f>
        <v/>
      </c>
    </row>
    <row r="2184" spans="10:12" x14ac:dyDescent="0.25">
      <c r="J2184" t="str">
        <f>IF(H2184="","",IFERROR(VLOOKUP(H2184,Listas!$J$2:$K$1048576,2,FALSE),""))</f>
        <v/>
      </c>
      <c r="K2184" s="5" t="str">
        <f>IF(OR(I2184="",G2184=""),"",IF(G2184="Saída",-I2184,I2184))</f>
        <v/>
      </c>
      <c r="L2184" t="str">
        <f>IF(E2184="","",IFERROR(VLOOKUP(E2184,Listas!$A$2:$C$1048576,3,FALSE),""))</f>
        <v/>
      </c>
    </row>
    <row r="2185" spans="10:12" x14ac:dyDescent="0.25">
      <c r="J2185" t="str">
        <f>IF(H2185="","",IFERROR(VLOOKUP(H2185,Listas!$J$2:$K$1048576,2,FALSE),""))</f>
        <v/>
      </c>
      <c r="K2185" s="5" t="str">
        <f>IF(OR(I2185="",G2185=""),"",IF(G2185="Saída",-I2185,I2185))</f>
        <v/>
      </c>
      <c r="L2185" t="str">
        <f>IF(E2185="","",IFERROR(VLOOKUP(E2185,Listas!$A$2:$C$1048576,3,FALSE),""))</f>
        <v/>
      </c>
    </row>
    <row r="2186" spans="10:12" x14ac:dyDescent="0.25">
      <c r="J2186" t="str">
        <f>IF(H2186="","",IFERROR(VLOOKUP(H2186,Listas!$J$2:$K$1048576,2,FALSE),""))</f>
        <v/>
      </c>
      <c r="K2186" s="5" t="str">
        <f>IF(OR(I2186="",G2186=""),"",IF(G2186="Saída",-I2186,I2186))</f>
        <v/>
      </c>
      <c r="L2186" t="str">
        <f>IF(E2186="","",IFERROR(VLOOKUP(E2186,Listas!$A$2:$C$1048576,3,FALSE),""))</f>
        <v/>
      </c>
    </row>
    <row r="2187" spans="10:12" x14ac:dyDescent="0.25">
      <c r="J2187" t="str">
        <f>IF(H2187="","",IFERROR(VLOOKUP(H2187,Listas!$J$2:$K$1048576,2,FALSE),""))</f>
        <v/>
      </c>
      <c r="K2187" s="5" t="str">
        <f>IF(OR(I2187="",G2187=""),"",IF(G2187="Saída",-I2187,I2187))</f>
        <v/>
      </c>
      <c r="L2187" t="str">
        <f>IF(E2187="","",IFERROR(VLOOKUP(E2187,Listas!$A$2:$C$1048576,3,FALSE),""))</f>
        <v/>
      </c>
    </row>
    <row r="2188" spans="10:12" x14ac:dyDescent="0.25">
      <c r="J2188" t="str">
        <f>IF(H2188="","",IFERROR(VLOOKUP(H2188,Listas!$J$2:$K$1048576,2,FALSE),""))</f>
        <v/>
      </c>
      <c r="K2188" s="5" t="str">
        <f>IF(OR(I2188="",G2188=""),"",IF(G2188="Saída",-I2188,I2188))</f>
        <v/>
      </c>
      <c r="L2188" t="str">
        <f>IF(E2188="","",IFERROR(VLOOKUP(E2188,Listas!$A$2:$C$1048576,3,FALSE),""))</f>
        <v/>
      </c>
    </row>
    <row r="2189" spans="10:12" x14ac:dyDescent="0.25">
      <c r="J2189" t="str">
        <f>IF(H2189="","",IFERROR(VLOOKUP(H2189,Listas!$J$2:$K$1048576,2,FALSE),""))</f>
        <v/>
      </c>
      <c r="K2189" s="5" t="str">
        <f>IF(OR(I2189="",G2189=""),"",IF(G2189="Saída",-I2189,I2189))</f>
        <v/>
      </c>
      <c r="L2189" t="str">
        <f>IF(E2189="","",IFERROR(VLOOKUP(E2189,Listas!$A$2:$C$1048576,3,FALSE),""))</f>
        <v/>
      </c>
    </row>
    <row r="2190" spans="10:12" x14ac:dyDescent="0.25">
      <c r="J2190" t="str">
        <f>IF(H2190="","",IFERROR(VLOOKUP(H2190,Listas!$J$2:$K$1048576,2,FALSE),""))</f>
        <v/>
      </c>
      <c r="K2190" s="5" t="str">
        <f>IF(OR(I2190="",G2190=""),"",IF(G2190="Saída",-I2190,I2190))</f>
        <v/>
      </c>
      <c r="L2190" t="str">
        <f>IF(E2190="","",IFERROR(VLOOKUP(E2190,Listas!$A$2:$C$1048576,3,FALSE),""))</f>
        <v/>
      </c>
    </row>
    <row r="2191" spans="10:12" x14ac:dyDescent="0.25">
      <c r="J2191" t="str">
        <f>IF(H2191="","",IFERROR(VLOOKUP(H2191,Listas!$J$2:$K$1048576,2,FALSE),""))</f>
        <v/>
      </c>
      <c r="K2191" s="5" t="str">
        <f>IF(OR(I2191="",G2191=""),"",IF(G2191="Saída",-I2191,I2191))</f>
        <v/>
      </c>
      <c r="L2191" t="str">
        <f>IF(E2191="","",IFERROR(VLOOKUP(E2191,Listas!$A$2:$C$1048576,3,FALSE),""))</f>
        <v/>
      </c>
    </row>
    <row r="2192" spans="10:12" x14ac:dyDescent="0.25">
      <c r="J2192" t="str">
        <f>IF(H2192="","",IFERROR(VLOOKUP(H2192,Listas!$J$2:$K$1048576,2,FALSE),""))</f>
        <v/>
      </c>
      <c r="K2192" s="5" t="str">
        <f>IF(OR(I2192="",G2192=""),"",IF(G2192="Saída",-I2192,I2192))</f>
        <v/>
      </c>
      <c r="L2192" t="str">
        <f>IF(E2192="","",IFERROR(VLOOKUP(E2192,Listas!$A$2:$C$1048576,3,FALSE),""))</f>
        <v/>
      </c>
    </row>
    <row r="2193" spans="10:12" x14ac:dyDescent="0.25">
      <c r="J2193" t="str">
        <f>IF(H2193="","",IFERROR(VLOOKUP(H2193,Listas!$J$2:$K$1048576,2,FALSE),""))</f>
        <v/>
      </c>
      <c r="K2193" s="5" t="str">
        <f>IF(OR(I2193="",G2193=""),"",IF(G2193="Saída",-I2193,I2193))</f>
        <v/>
      </c>
      <c r="L2193" t="str">
        <f>IF(E2193="","",IFERROR(VLOOKUP(E2193,Listas!$A$2:$C$1048576,3,FALSE),""))</f>
        <v/>
      </c>
    </row>
    <row r="2194" spans="10:12" x14ac:dyDescent="0.25">
      <c r="J2194" t="str">
        <f>IF(H2194="","",IFERROR(VLOOKUP(H2194,Listas!$J$2:$K$1048576,2,FALSE),""))</f>
        <v/>
      </c>
      <c r="K2194" s="5" t="str">
        <f>IF(OR(I2194="",G2194=""),"",IF(G2194="Saída",-I2194,I2194))</f>
        <v/>
      </c>
      <c r="L2194" t="str">
        <f>IF(E2194="","",IFERROR(VLOOKUP(E2194,Listas!$A$2:$C$1048576,3,FALSE),""))</f>
        <v/>
      </c>
    </row>
    <row r="2195" spans="10:12" x14ac:dyDescent="0.25">
      <c r="J2195" t="str">
        <f>IF(H2195="","",IFERROR(VLOOKUP(H2195,Listas!$J$2:$K$1048576,2,FALSE),""))</f>
        <v/>
      </c>
      <c r="K2195" s="5" t="str">
        <f>IF(OR(I2195="",G2195=""),"",IF(G2195="Saída",-I2195,I2195))</f>
        <v/>
      </c>
      <c r="L2195" t="str">
        <f>IF(E2195="","",IFERROR(VLOOKUP(E2195,Listas!$A$2:$C$1048576,3,FALSE),""))</f>
        <v/>
      </c>
    </row>
    <row r="2196" spans="10:12" x14ac:dyDescent="0.25">
      <c r="J2196" t="str">
        <f>IF(H2196="","",IFERROR(VLOOKUP(H2196,Listas!$J$2:$K$1048576,2,FALSE),""))</f>
        <v/>
      </c>
      <c r="K2196" s="5" t="str">
        <f>IF(OR(I2196="",G2196=""),"",IF(G2196="Saída",-I2196,I2196))</f>
        <v/>
      </c>
      <c r="L2196" t="str">
        <f>IF(E2196="","",IFERROR(VLOOKUP(E2196,Listas!$A$2:$C$1048576,3,FALSE),""))</f>
        <v/>
      </c>
    </row>
    <row r="2197" spans="10:12" x14ac:dyDescent="0.25">
      <c r="J2197" t="str">
        <f>IF(H2197="","",IFERROR(VLOOKUP(H2197,Listas!$J$2:$K$1048576,2,FALSE),""))</f>
        <v/>
      </c>
      <c r="K2197" s="5" t="str">
        <f>IF(OR(I2197="",G2197=""),"",IF(G2197="Saída",-I2197,I2197))</f>
        <v/>
      </c>
      <c r="L2197" t="str">
        <f>IF(E2197="","",IFERROR(VLOOKUP(E2197,Listas!$A$2:$C$1048576,3,FALSE),""))</f>
        <v/>
      </c>
    </row>
    <row r="2198" spans="10:12" x14ac:dyDescent="0.25">
      <c r="J2198" t="str">
        <f>IF(H2198="","",IFERROR(VLOOKUP(H2198,Listas!$J$2:$K$1048576,2,FALSE),""))</f>
        <v/>
      </c>
      <c r="K2198" s="5" t="str">
        <f>IF(OR(I2198="",G2198=""),"",IF(G2198="Saída",-I2198,I2198))</f>
        <v/>
      </c>
      <c r="L2198" t="str">
        <f>IF(E2198="","",IFERROR(VLOOKUP(E2198,Listas!$A$2:$C$1048576,3,FALSE),""))</f>
        <v/>
      </c>
    </row>
    <row r="2199" spans="10:12" x14ac:dyDescent="0.25">
      <c r="J2199" t="str">
        <f>IF(H2199="","",IFERROR(VLOOKUP(H2199,Listas!$J$2:$K$1048576,2,FALSE),""))</f>
        <v/>
      </c>
      <c r="K2199" s="5" t="str">
        <f>IF(OR(I2199="",G2199=""),"",IF(G2199="Saída",-I2199,I2199))</f>
        <v/>
      </c>
      <c r="L2199" t="str">
        <f>IF(E2199="","",IFERROR(VLOOKUP(E2199,Listas!$A$2:$C$1048576,3,FALSE),""))</f>
        <v/>
      </c>
    </row>
    <row r="2200" spans="10:12" x14ac:dyDescent="0.25">
      <c r="J2200" t="str">
        <f>IF(H2200="","",IFERROR(VLOOKUP(H2200,Listas!$J$2:$K$1048576,2,FALSE),""))</f>
        <v/>
      </c>
      <c r="K2200" s="5" t="str">
        <f>IF(OR(I2200="",G2200=""),"",IF(G2200="Saída",-I2200,I2200))</f>
        <v/>
      </c>
      <c r="L2200" t="str">
        <f>IF(E2200="","",IFERROR(VLOOKUP(E2200,Listas!$A$2:$C$1048576,3,FALSE),""))</f>
        <v/>
      </c>
    </row>
    <row r="2201" spans="10:12" x14ac:dyDescent="0.25">
      <c r="J2201" t="str">
        <f>IF(H2201="","",IFERROR(VLOOKUP(H2201,Listas!$J$2:$K$1048576,2,FALSE),""))</f>
        <v/>
      </c>
      <c r="K2201" s="5" t="str">
        <f>IF(OR(I2201="",G2201=""),"",IF(G2201="Saída",-I2201,I2201))</f>
        <v/>
      </c>
      <c r="L2201" t="str">
        <f>IF(E2201="","",IFERROR(VLOOKUP(E2201,Listas!$A$2:$C$1048576,3,FALSE),""))</f>
        <v/>
      </c>
    </row>
    <row r="2202" spans="10:12" x14ac:dyDescent="0.25">
      <c r="J2202" t="str">
        <f>IF(H2202="","",IFERROR(VLOOKUP(H2202,Listas!$J$2:$K$1048576,2,FALSE),""))</f>
        <v/>
      </c>
      <c r="K2202" s="5" t="str">
        <f>IF(OR(I2202="",G2202=""),"",IF(G2202="Saída",-I2202,I2202))</f>
        <v/>
      </c>
      <c r="L2202" t="str">
        <f>IF(E2202="","",IFERROR(VLOOKUP(E2202,Listas!$A$2:$C$1048576,3,FALSE),""))</f>
        <v/>
      </c>
    </row>
    <row r="2203" spans="10:12" x14ac:dyDescent="0.25">
      <c r="J2203" t="str">
        <f>IF(H2203="","",IFERROR(VLOOKUP(H2203,Listas!$J$2:$K$1048576,2,FALSE),""))</f>
        <v/>
      </c>
      <c r="K2203" s="5" t="str">
        <f>IF(OR(I2203="",G2203=""),"",IF(G2203="Saída",-I2203,I2203))</f>
        <v/>
      </c>
      <c r="L2203" t="str">
        <f>IF(E2203="","",IFERROR(VLOOKUP(E2203,Listas!$A$2:$C$1048576,3,FALSE),""))</f>
        <v/>
      </c>
    </row>
    <row r="2204" spans="10:12" x14ac:dyDescent="0.25">
      <c r="J2204" t="str">
        <f>IF(H2204="","",IFERROR(VLOOKUP(H2204,Listas!$J$2:$K$1048576,2,FALSE),""))</f>
        <v/>
      </c>
      <c r="K2204" s="5" t="str">
        <f>IF(OR(I2204="",G2204=""),"",IF(G2204="Saída",-I2204,I2204))</f>
        <v/>
      </c>
      <c r="L2204" t="str">
        <f>IF(E2204="","",IFERROR(VLOOKUP(E2204,Listas!$A$2:$C$1048576,3,FALSE),""))</f>
        <v/>
      </c>
    </row>
    <row r="2205" spans="10:12" x14ac:dyDescent="0.25">
      <c r="J2205" t="str">
        <f>IF(H2205="","",IFERROR(VLOOKUP(H2205,Listas!$J$2:$K$1048576,2,FALSE),""))</f>
        <v/>
      </c>
      <c r="K2205" s="5" t="str">
        <f>IF(OR(I2205="",G2205=""),"",IF(G2205="Saída",-I2205,I2205))</f>
        <v/>
      </c>
      <c r="L2205" t="str">
        <f>IF(E2205="","",IFERROR(VLOOKUP(E2205,Listas!$A$2:$C$1048576,3,FALSE),""))</f>
        <v/>
      </c>
    </row>
    <row r="2206" spans="10:12" x14ac:dyDescent="0.25">
      <c r="J2206" t="str">
        <f>IF(H2206="","",IFERROR(VLOOKUP(H2206,Listas!$J$2:$K$1048576,2,FALSE),""))</f>
        <v/>
      </c>
      <c r="K2206" s="5" t="str">
        <f>IF(OR(I2206="",G2206=""),"",IF(G2206="Saída",-I2206,I2206))</f>
        <v/>
      </c>
      <c r="L2206" t="str">
        <f>IF(E2206="","",IFERROR(VLOOKUP(E2206,Listas!$A$2:$C$1048576,3,FALSE),""))</f>
        <v/>
      </c>
    </row>
    <row r="2207" spans="10:12" x14ac:dyDescent="0.25">
      <c r="J2207" t="str">
        <f>IF(H2207="","",IFERROR(VLOOKUP(H2207,Listas!$J$2:$K$1048576,2,FALSE),""))</f>
        <v/>
      </c>
      <c r="K2207" s="5" t="str">
        <f>IF(OR(I2207="",G2207=""),"",IF(G2207="Saída",-I2207,I2207))</f>
        <v/>
      </c>
      <c r="L2207" t="str">
        <f>IF(E2207="","",IFERROR(VLOOKUP(E2207,Listas!$A$2:$C$1048576,3,FALSE),""))</f>
        <v/>
      </c>
    </row>
    <row r="2208" spans="10:12" x14ac:dyDescent="0.25">
      <c r="J2208" t="str">
        <f>IF(H2208="","",IFERROR(VLOOKUP(H2208,Listas!$J$2:$K$1048576,2,FALSE),""))</f>
        <v/>
      </c>
      <c r="K2208" s="5" t="str">
        <f>IF(OR(I2208="",G2208=""),"",IF(G2208="Saída",-I2208,I2208))</f>
        <v/>
      </c>
      <c r="L2208" t="str">
        <f>IF(E2208="","",IFERROR(VLOOKUP(E2208,Listas!$A$2:$C$1048576,3,FALSE),""))</f>
        <v/>
      </c>
    </row>
    <row r="2209" spans="10:12" x14ac:dyDescent="0.25">
      <c r="J2209" t="str">
        <f>IF(H2209="","",IFERROR(VLOOKUP(H2209,Listas!$J$2:$K$1048576,2,FALSE),""))</f>
        <v/>
      </c>
      <c r="K2209" s="5" t="str">
        <f>IF(OR(I2209="",G2209=""),"",IF(G2209="Saída",-I2209,I2209))</f>
        <v/>
      </c>
      <c r="L2209" t="str">
        <f>IF(E2209="","",IFERROR(VLOOKUP(E2209,Listas!$A$2:$C$1048576,3,FALSE),""))</f>
        <v/>
      </c>
    </row>
    <row r="2210" spans="10:12" x14ac:dyDescent="0.25">
      <c r="J2210" t="str">
        <f>IF(H2210="","",IFERROR(VLOOKUP(H2210,Listas!$J$2:$K$1048576,2,FALSE),""))</f>
        <v/>
      </c>
      <c r="K2210" s="5" t="str">
        <f>IF(OR(I2210="",G2210=""),"",IF(G2210="Saída",-I2210,I2210))</f>
        <v/>
      </c>
      <c r="L2210" t="str">
        <f>IF(E2210="","",IFERROR(VLOOKUP(E2210,Listas!$A$2:$C$1048576,3,FALSE),""))</f>
        <v/>
      </c>
    </row>
    <row r="2211" spans="10:12" x14ac:dyDescent="0.25">
      <c r="J2211" t="str">
        <f>IF(H2211="","",IFERROR(VLOOKUP(H2211,Listas!$J$2:$K$1048576,2,FALSE),""))</f>
        <v/>
      </c>
      <c r="K2211" s="5" t="str">
        <f>IF(OR(I2211="",G2211=""),"",IF(G2211="Saída",-I2211,I2211))</f>
        <v/>
      </c>
      <c r="L2211" t="str">
        <f>IF(E2211="","",IFERROR(VLOOKUP(E2211,Listas!$A$2:$C$1048576,3,FALSE),""))</f>
        <v/>
      </c>
    </row>
    <row r="2212" spans="10:12" x14ac:dyDescent="0.25">
      <c r="J2212" t="str">
        <f>IF(H2212="","",IFERROR(VLOOKUP(H2212,Listas!$J$2:$K$1048576,2,FALSE),""))</f>
        <v/>
      </c>
      <c r="K2212" s="5" t="str">
        <f>IF(OR(I2212="",G2212=""),"",IF(G2212="Saída",-I2212,I2212))</f>
        <v/>
      </c>
      <c r="L2212" t="str">
        <f>IF(E2212="","",IFERROR(VLOOKUP(E2212,Listas!$A$2:$C$1048576,3,FALSE),""))</f>
        <v/>
      </c>
    </row>
    <row r="2213" spans="10:12" x14ac:dyDescent="0.25">
      <c r="J2213" t="str">
        <f>IF(H2213="","",IFERROR(VLOOKUP(H2213,Listas!$J$2:$K$1048576,2,FALSE),""))</f>
        <v/>
      </c>
      <c r="K2213" s="5" t="str">
        <f>IF(OR(I2213="",G2213=""),"",IF(G2213="Saída",-I2213,I2213))</f>
        <v/>
      </c>
      <c r="L2213" t="str">
        <f>IF(E2213="","",IFERROR(VLOOKUP(E2213,Listas!$A$2:$C$1048576,3,FALSE),""))</f>
        <v/>
      </c>
    </row>
    <row r="2214" spans="10:12" x14ac:dyDescent="0.25">
      <c r="J2214" t="str">
        <f>IF(H2214="","",IFERROR(VLOOKUP(H2214,Listas!$J$2:$K$1048576,2,FALSE),""))</f>
        <v/>
      </c>
      <c r="K2214" s="5" t="str">
        <f>IF(OR(I2214="",G2214=""),"",IF(G2214="Saída",-I2214,I2214))</f>
        <v/>
      </c>
      <c r="L2214" t="str">
        <f>IF(E2214="","",IFERROR(VLOOKUP(E2214,Listas!$A$2:$C$1048576,3,FALSE),""))</f>
        <v/>
      </c>
    </row>
    <row r="2215" spans="10:12" x14ac:dyDescent="0.25">
      <c r="J2215" t="str">
        <f>IF(H2215="","",IFERROR(VLOOKUP(H2215,Listas!$J$2:$K$1048576,2,FALSE),""))</f>
        <v/>
      </c>
      <c r="K2215" s="5" t="str">
        <f>IF(OR(I2215="",G2215=""),"",IF(G2215="Saída",-I2215,I2215))</f>
        <v/>
      </c>
      <c r="L2215" t="str">
        <f>IF(E2215="","",IFERROR(VLOOKUP(E2215,Listas!$A$2:$C$1048576,3,FALSE),""))</f>
        <v/>
      </c>
    </row>
    <row r="2216" spans="10:12" x14ac:dyDescent="0.25">
      <c r="J2216" t="str">
        <f>IF(H2216="","",IFERROR(VLOOKUP(H2216,Listas!$J$2:$K$1048576,2,FALSE),""))</f>
        <v/>
      </c>
      <c r="K2216" s="5" t="str">
        <f>IF(OR(I2216="",G2216=""),"",IF(G2216="Saída",-I2216,I2216))</f>
        <v/>
      </c>
      <c r="L2216" t="str">
        <f>IF(E2216="","",IFERROR(VLOOKUP(E2216,Listas!$A$2:$C$1048576,3,FALSE),""))</f>
        <v/>
      </c>
    </row>
    <row r="2217" spans="10:12" x14ac:dyDescent="0.25">
      <c r="J2217" t="str">
        <f>IF(H2217="","",IFERROR(VLOOKUP(H2217,Listas!$J$2:$K$1048576,2,FALSE),""))</f>
        <v/>
      </c>
      <c r="K2217" s="5" t="str">
        <f>IF(OR(I2217="",G2217=""),"",IF(G2217="Saída",-I2217,I2217))</f>
        <v/>
      </c>
      <c r="L2217" t="str">
        <f>IF(E2217="","",IFERROR(VLOOKUP(E2217,Listas!$A$2:$C$1048576,3,FALSE),""))</f>
        <v/>
      </c>
    </row>
    <row r="2218" spans="10:12" x14ac:dyDescent="0.25">
      <c r="J2218" t="str">
        <f>IF(H2218="","",IFERROR(VLOOKUP(H2218,Listas!$J$2:$K$1048576,2,FALSE),""))</f>
        <v/>
      </c>
      <c r="K2218" s="5" t="str">
        <f>IF(OR(I2218="",G2218=""),"",IF(G2218="Saída",-I2218,I2218))</f>
        <v/>
      </c>
      <c r="L2218" t="str">
        <f>IF(E2218="","",IFERROR(VLOOKUP(E2218,Listas!$A$2:$C$1048576,3,FALSE),""))</f>
        <v/>
      </c>
    </row>
    <row r="2219" spans="10:12" x14ac:dyDescent="0.25">
      <c r="J2219" t="str">
        <f>IF(H2219="","",IFERROR(VLOOKUP(H2219,Listas!$J$2:$K$1048576,2,FALSE),""))</f>
        <v/>
      </c>
      <c r="K2219" s="5" t="str">
        <f>IF(OR(I2219="",G2219=""),"",IF(G2219="Saída",-I2219,I2219))</f>
        <v/>
      </c>
      <c r="L2219" t="str">
        <f>IF(E2219="","",IFERROR(VLOOKUP(E2219,Listas!$A$2:$C$1048576,3,FALSE),""))</f>
        <v/>
      </c>
    </row>
    <row r="2220" spans="10:12" x14ac:dyDescent="0.25">
      <c r="J2220" t="str">
        <f>IF(H2220="","",IFERROR(VLOOKUP(H2220,Listas!$J$2:$K$1048576,2,FALSE),""))</f>
        <v/>
      </c>
      <c r="K2220" s="5" t="str">
        <f>IF(OR(I2220="",G2220=""),"",IF(G2220="Saída",-I2220,I2220))</f>
        <v/>
      </c>
      <c r="L2220" t="str">
        <f>IF(E2220="","",IFERROR(VLOOKUP(E2220,Listas!$A$2:$C$1048576,3,FALSE),""))</f>
        <v/>
      </c>
    </row>
    <row r="2221" spans="10:12" x14ac:dyDescent="0.25">
      <c r="J2221" t="str">
        <f>IF(H2221="","",IFERROR(VLOOKUP(H2221,Listas!$J$2:$K$1048576,2,FALSE),""))</f>
        <v/>
      </c>
      <c r="K2221" s="5" t="str">
        <f>IF(OR(I2221="",G2221=""),"",IF(G2221="Saída",-I2221,I2221))</f>
        <v/>
      </c>
      <c r="L2221" t="str">
        <f>IF(E2221="","",IFERROR(VLOOKUP(E2221,Listas!$A$2:$C$1048576,3,FALSE),""))</f>
        <v/>
      </c>
    </row>
    <row r="2222" spans="10:12" x14ac:dyDescent="0.25">
      <c r="J2222" t="str">
        <f>IF(H2222="","",IFERROR(VLOOKUP(H2222,Listas!$J$2:$K$1048576,2,FALSE),""))</f>
        <v/>
      </c>
      <c r="K2222" s="5" t="str">
        <f>IF(OR(I2222="",G2222=""),"",IF(G2222="Saída",-I2222,I2222))</f>
        <v/>
      </c>
      <c r="L2222" t="str">
        <f>IF(E2222="","",IFERROR(VLOOKUP(E2222,Listas!$A$2:$C$1048576,3,FALSE),""))</f>
        <v/>
      </c>
    </row>
    <row r="2223" spans="10:12" x14ac:dyDescent="0.25">
      <c r="J2223" t="str">
        <f>IF(H2223="","",IFERROR(VLOOKUP(H2223,Listas!$J$2:$K$1048576,2,FALSE),""))</f>
        <v/>
      </c>
      <c r="K2223" s="5" t="str">
        <f>IF(OR(I2223="",G2223=""),"",IF(G2223="Saída",-I2223,I2223))</f>
        <v/>
      </c>
      <c r="L2223" t="str">
        <f>IF(E2223="","",IFERROR(VLOOKUP(E2223,Listas!$A$2:$C$1048576,3,FALSE),""))</f>
        <v/>
      </c>
    </row>
    <row r="2224" spans="10:12" x14ac:dyDescent="0.25">
      <c r="J2224" t="str">
        <f>IF(H2224="","",IFERROR(VLOOKUP(H2224,Listas!$J$2:$K$1048576,2,FALSE),""))</f>
        <v/>
      </c>
      <c r="K2224" s="5" t="str">
        <f>IF(OR(I2224="",G2224=""),"",IF(G2224="Saída",-I2224,I2224))</f>
        <v/>
      </c>
      <c r="L2224" t="str">
        <f>IF(E2224="","",IFERROR(VLOOKUP(E2224,Listas!$A$2:$C$1048576,3,FALSE),""))</f>
        <v/>
      </c>
    </row>
    <row r="2225" spans="10:12" x14ac:dyDescent="0.25">
      <c r="J2225" t="str">
        <f>IF(H2225="","",IFERROR(VLOOKUP(H2225,Listas!$J$2:$K$1048576,2,FALSE),""))</f>
        <v/>
      </c>
      <c r="K2225" s="5" t="str">
        <f>IF(OR(I2225="",G2225=""),"",IF(G2225="Saída",-I2225,I2225))</f>
        <v/>
      </c>
      <c r="L2225" t="str">
        <f>IF(E2225="","",IFERROR(VLOOKUP(E2225,Listas!$A$2:$C$1048576,3,FALSE),""))</f>
        <v/>
      </c>
    </row>
    <row r="2226" spans="10:12" x14ac:dyDescent="0.25">
      <c r="J2226" t="str">
        <f>IF(H2226="","",IFERROR(VLOOKUP(H2226,Listas!$J$2:$K$1048576,2,FALSE),""))</f>
        <v/>
      </c>
      <c r="K2226" s="5" t="str">
        <f>IF(OR(I2226="",G2226=""),"",IF(G2226="Saída",-I2226,I2226))</f>
        <v/>
      </c>
      <c r="L2226" t="str">
        <f>IF(E2226="","",IFERROR(VLOOKUP(E2226,Listas!$A$2:$C$1048576,3,FALSE),""))</f>
        <v/>
      </c>
    </row>
    <row r="2227" spans="10:12" x14ac:dyDescent="0.25">
      <c r="J2227" t="str">
        <f>IF(H2227="","",IFERROR(VLOOKUP(H2227,Listas!$J$2:$K$1048576,2,FALSE),""))</f>
        <v/>
      </c>
      <c r="K2227" s="5" t="str">
        <f>IF(OR(I2227="",G2227=""),"",IF(G2227="Saída",-I2227,I2227))</f>
        <v/>
      </c>
      <c r="L2227" t="str">
        <f>IF(E2227="","",IFERROR(VLOOKUP(E2227,Listas!$A$2:$C$1048576,3,FALSE),""))</f>
        <v/>
      </c>
    </row>
    <row r="2228" spans="10:12" x14ac:dyDescent="0.25">
      <c r="J2228" t="str">
        <f>IF(H2228="","",IFERROR(VLOOKUP(H2228,Listas!$J$2:$K$1048576,2,FALSE),""))</f>
        <v/>
      </c>
      <c r="K2228" s="5" t="str">
        <f>IF(OR(I2228="",G2228=""),"",IF(G2228="Saída",-I2228,I2228))</f>
        <v/>
      </c>
      <c r="L2228" t="str">
        <f>IF(E2228="","",IFERROR(VLOOKUP(E2228,Listas!$A$2:$C$1048576,3,FALSE),""))</f>
        <v/>
      </c>
    </row>
    <row r="2229" spans="10:12" x14ac:dyDescent="0.25">
      <c r="J2229" t="str">
        <f>IF(H2229="","",IFERROR(VLOOKUP(H2229,Listas!$J$2:$K$1048576,2,FALSE),""))</f>
        <v/>
      </c>
      <c r="K2229" s="5" t="str">
        <f>IF(OR(I2229="",G2229=""),"",IF(G2229="Saída",-I2229,I2229))</f>
        <v/>
      </c>
      <c r="L2229" t="str">
        <f>IF(E2229="","",IFERROR(VLOOKUP(E2229,Listas!$A$2:$C$1048576,3,FALSE),""))</f>
        <v/>
      </c>
    </row>
    <row r="2230" spans="10:12" x14ac:dyDescent="0.25">
      <c r="J2230" t="str">
        <f>IF(H2230="","",IFERROR(VLOOKUP(H2230,Listas!$J$2:$K$1048576,2,FALSE),""))</f>
        <v/>
      </c>
      <c r="K2230" s="5" t="str">
        <f>IF(OR(I2230="",G2230=""),"",IF(G2230="Saída",-I2230,I2230))</f>
        <v/>
      </c>
      <c r="L2230" t="str">
        <f>IF(E2230="","",IFERROR(VLOOKUP(E2230,Listas!$A$2:$C$1048576,3,FALSE),""))</f>
        <v/>
      </c>
    </row>
    <row r="2231" spans="10:12" x14ac:dyDescent="0.25">
      <c r="J2231" t="str">
        <f>IF(H2231="","",IFERROR(VLOOKUP(H2231,Listas!$J$2:$K$1048576,2,FALSE),""))</f>
        <v/>
      </c>
      <c r="K2231" s="5" t="str">
        <f>IF(OR(I2231="",G2231=""),"",IF(G2231="Saída",-I2231,I2231))</f>
        <v/>
      </c>
      <c r="L2231" t="str">
        <f>IF(E2231="","",IFERROR(VLOOKUP(E2231,Listas!$A$2:$C$1048576,3,FALSE),""))</f>
        <v/>
      </c>
    </row>
    <row r="2232" spans="10:12" x14ac:dyDescent="0.25">
      <c r="J2232" t="str">
        <f>IF(H2232="","",IFERROR(VLOOKUP(H2232,Listas!$J$2:$K$1048576,2,FALSE),""))</f>
        <v/>
      </c>
      <c r="K2232" s="5" t="str">
        <f>IF(OR(I2232="",G2232=""),"",IF(G2232="Saída",-I2232,I2232))</f>
        <v/>
      </c>
      <c r="L2232" t="str">
        <f>IF(E2232="","",IFERROR(VLOOKUP(E2232,Listas!$A$2:$C$1048576,3,FALSE),""))</f>
        <v/>
      </c>
    </row>
    <row r="2233" spans="10:12" x14ac:dyDescent="0.25">
      <c r="J2233" t="str">
        <f>IF(H2233="","",IFERROR(VLOOKUP(H2233,Listas!$J$2:$K$1048576,2,FALSE),""))</f>
        <v/>
      </c>
      <c r="K2233" s="5" t="str">
        <f>IF(OR(I2233="",G2233=""),"",IF(G2233="Saída",-I2233,I2233))</f>
        <v/>
      </c>
      <c r="L2233" t="str">
        <f>IF(E2233="","",IFERROR(VLOOKUP(E2233,Listas!$A$2:$C$1048576,3,FALSE),""))</f>
        <v/>
      </c>
    </row>
    <row r="2234" spans="10:12" x14ac:dyDescent="0.25">
      <c r="J2234" t="str">
        <f>IF(H2234="","",IFERROR(VLOOKUP(H2234,Listas!$J$2:$K$1048576,2,FALSE),""))</f>
        <v/>
      </c>
      <c r="K2234" s="5" t="str">
        <f>IF(OR(I2234="",G2234=""),"",IF(G2234="Saída",-I2234,I2234))</f>
        <v/>
      </c>
      <c r="L2234" t="str">
        <f>IF(E2234="","",IFERROR(VLOOKUP(E2234,Listas!$A$2:$C$1048576,3,FALSE),""))</f>
        <v/>
      </c>
    </row>
    <row r="2235" spans="10:12" x14ac:dyDescent="0.25">
      <c r="J2235" t="str">
        <f>IF(H2235="","",IFERROR(VLOOKUP(H2235,Listas!$J$2:$K$1048576,2,FALSE),""))</f>
        <v/>
      </c>
      <c r="K2235" s="5" t="str">
        <f>IF(OR(I2235="",G2235=""),"",IF(G2235="Saída",-I2235,I2235))</f>
        <v/>
      </c>
      <c r="L2235" t="str">
        <f>IF(E2235="","",IFERROR(VLOOKUP(E2235,Listas!$A$2:$C$1048576,3,FALSE),""))</f>
        <v/>
      </c>
    </row>
    <row r="2236" spans="10:12" x14ac:dyDescent="0.25">
      <c r="J2236" t="str">
        <f>IF(H2236="","",IFERROR(VLOOKUP(H2236,Listas!$J$2:$K$1048576,2,FALSE),""))</f>
        <v/>
      </c>
      <c r="K2236" s="5" t="str">
        <f>IF(OR(I2236="",G2236=""),"",IF(G2236="Saída",-I2236,I2236))</f>
        <v/>
      </c>
      <c r="L2236" t="str">
        <f>IF(E2236="","",IFERROR(VLOOKUP(E2236,Listas!$A$2:$C$1048576,3,FALSE),""))</f>
        <v/>
      </c>
    </row>
    <row r="2237" spans="10:12" x14ac:dyDescent="0.25">
      <c r="J2237" t="str">
        <f>IF(H2237="","",IFERROR(VLOOKUP(H2237,Listas!$J$2:$K$1048576,2,FALSE),""))</f>
        <v/>
      </c>
      <c r="K2237" s="5" t="str">
        <f>IF(OR(I2237="",G2237=""),"",IF(G2237="Saída",-I2237,I2237))</f>
        <v/>
      </c>
      <c r="L2237" t="str">
        <f>IF(E2237="","",IFERROR(VLOOKUP(E2237,Listas!$A$2:$C$1048576,3,FALSE),""))</f>
        <v/>
      </c>
    </row>
    <row r="2238" spans="10:12" x14ac:dyDescent="0.25">
      <c r="J2238" t="str">
        <f>IF(H2238="","",IFERROR(VLOOKUP(H2238,Listas!$J$2:$K$1048576,2,FALSE),""))</f>
        <v/>
      </c>
      <c r="K2238" s="5" t="str">
        <f>IF(OR(I2238="",G2238=""),"",IF(G2238="Saída",-I2238,I2238))</f>
        <v/>
      </c>
      <c r="L2238" t="str">
        <f>IF(E2238="","",IFERROR(VLOOKUP(E2238,Listas!$A$2:$C$1048576,3,FALSE),""))</f>
        <v/>
      </c>
    </row>
    <row r="2239" spans="10:12" x14ac:dyDescent="0.25">
      <c r="J2239" t="str">
        <f>IF(H2239="","",IFERROR(VLOOKUP(H2239,Listas!$J$2:$K$1048576,2,FALSE),""))</f>
        <v/>
      </c>
      <c r="K2239" s="5" t="str">
        <f>IF(OR(I2239="",G2239=""),"",IF(G2239="Saída",-I2239,I2239))</f>
        <v/>
      </c>
      <c r="L2239" t="str">
        <f>IF(E2239="","",IFERROR(VLOOKUP(E2239,Listas!$A$2:$C$1048576,3,FALSE),""))</f>
        <v/>
      </c>
    </row>
    <row r="2240" spans="10:12" x14ac:dyDescent="0.25">
      <c r="J2240" t="str">
        <f>IF(H2240="","",IFERROR(VLOOKUP(H2240,Listas!$J$2:$K$1048576,2,FALSE),""))</f>
        <v/>
      </c>
      <c r="K2240" s="5" t="str">
        <f>IF(OR(I2240="",G2240=""),"",IF(G2240="Saída",-I2240,I2240))</f>
        <v/>
      </c>
      <c r="L2240" t="str">
        <f>IF(E2240="","",IFERROR(VLOOKUP(E2240,Listas!$A$2:$C$1048576,3,FALSE),""))</f>
        <v/>
      </c>
    </row>
    <row r="2241" spans="10:12" x14ac:dyDescent="0.25">
      <c r="J2241" t="str">
        <f>IF(H2241="","",IFERROR(VLOOKUP(H2241,Listas!$J$2:$K$1048576,2,FALSE),""))</f>
        <v/>
      </c>
      <c r="K2241" s="5" t="str">
        <f>IF(OR(I2241="",G2241=""),"",IF(G2241="Saída",-I2241,I2241))</f>
        <v/>
      </c>
      <c r="L2241" t="str">
        <f>IF(E2241="","",IFERROR(VLOOKUP(E2241,Listas!$A$2:$C$1048576,3,FALSE),""))</f>
        <v/>
      </c>
    </row>
    <row r="2242" spans="10:12" x14ac:dyDescent="0.25">
      <c r="J2242" t="str">
        <f>IF(H2242="","",IFERROR(VLOOKUP(H2242,Listas!$J$2:$K$1048576,2,FALSE),""))</f>
        <v/>
      </c>
      <c r="K2242" s="5" t="str">
        <f>IF(OR(I2242="",G2242=""),"",IF(G2242="Saída",-I2242,I2242))</f>
        <v/>
      </c>
      <c r="L2242" t="str">
        <f>IF(E2242="","",IFERROR(VLOOKUP(E2242,Listas!$A$2:$C$1048576,3,FALSE),""))</f>
        <v/>
      </c>
    </row>
    <row r="2243" spans="10:12" x14ac:dyDescent="0.25">
      <c r="J2243" t="str">
        <f>IF(H2243="","",IFERROR(VLOOKUP(H2243,Listas!$J$2:$K$1048576,2,FALSE),""))</f>
        <v/>
      </c>
      <c r="K2243" s="5" t="str">
        <f>IF(OR(I2243="",G2243=""),"",IF(G2243="Saída",-I2243,I2243))</f>
        <v/>
      </c>
      <c r="L2243" t="str">
        <f>IF(E2243="","",IFERROR(VLOOKUP(E2243,Listas!$A$2:$C$1048576,3,FALSE),""))</f>
        <v/>
      </c>
    </row>
    <row r="2244" spans="10:12" x14ac:dyDescent="0.25">
      <c r="J2244" t="str">
        <f>IF(H2244="","",IFERROR(VLOOKUP(H2244,Listas!$J$2:$K$1048576,2,FALSE),""))</f>
        <v/>
      </c>
      <c r="K2244" s="5" t="str">
        <f>IF(OR(I2244="",G2244=""),"",IF(G2244="Saída",-I2244,I2244))</f>
        <v/>
      </c>
      <c r="L2244" t="str">
        <f>IF(E2244="","",IFERROR(VLOOKUP(E2244,Listas!$A$2:$C$1048576,3,FALSE),""))</f>
        <v/>
      </c>
    </row>
    <row r="2245" spans="10:12" x14ac:dyDescent="0.25">
      <c r="J2245" t="str">
        <f>IF(H2245="","",IFERROR(VLOOKUP(H2245,Listas!$J$2:$K$1048576,2,FALSE),""))</f>
        <v/>
      </c>
      <c r="K2245" s="5" t="str">
        <f>IF(OR(I2245="",G2245=""),"",IF(G2245="Saída",-I2245,I2245))</f>
        <v/>
      </c>
      <c r="L2245" t="str">
        <f>IF(E2245="","",IFERROR(VLOOKUP(E2245,Listas!$A$2:$C$1048576,3,FALSE),""))</f>
        <v/>
      </c>
    </row>
    <row r="2246" spans="10:12" x14ac:dyDescent="0.25">
      <c r="J2246" t="str">
        <f>IF(H2246="","",IFERROR(VLOOKUP(H2246,Listas!$J$2:$K$1048576,2,FALSE),""))</f>
        <v/>
      </c>
      <c r="K2246" s="5" t="str">
        <f>IF(OR(I2246="",G2246=""),"",IF(G2246="Saída",-I2246,I2246))</f>
        <v/>
      </c>
      <c r="L2246" t="str">
        <f>IF(E2246="","",IFERROR(VLOOKUP(E2246,Listas!$A$2:$C$1048576,3,FALSE),""))</f>
        <v/>
      </c>
    </row>
    <row r="2247" spans="10:12" x14ac:dyDescent="0.25">
      <c r="J2247" t="str">
        <f>IF(H2247="","",IFERROR(VLOOKUP(H2247,Listas!$J$2:$K$1048576,2,FALSE),""))</f>
        <v/>
      </c>
      <c r="K2247" s="5" t="str">
        <f>IF(OR(I2247="",G2247=""),"",IF(G2247="Saída",-I2247,I2247))</f>
        <v/>
      </c>
      <c r="L2247" t="str">
        <f>IF(E2247="","",IFERROR(VLOOKUP(E2247,Listas!$A$2:$C$1048576,3,FALSE),""))</f>
        <v/>
      </c>
    </row>
    <row r="2248" spans="10:12" x14ac:dyDescent="0.25">
      <c r="J2248" t="str">
        <f>IF(H2248="","",IFERROR(VLOOKUP(H2248,Listas!$J$2:$K$1048576,2,FALSE),""))</f>
        <v/>
      </c>
      <c r="K2248" s="5" t="str">
        <f>IF(OR(I2248="",G2248=""),"",IF(G2248="Saída",-I2248,I2248))</f>
        <v/>
      </c>
      <c r="L2248" t="str">
        <f>IF(E2248="","",IFERROR(VLOOKUP(E2248,Listas!$A$2:$C$1048576,3,FALSE),""))</f>
        <v/>
      </c>
    </row>
    <row r="2249" spans="10:12" x14ac:dyDescent="0.25">
      <c r="J2249" t="str">
        <f>IF(H2249="","",IFERROR(VLOOKUP(H2249,Listas!$J$2:$K$1048576,2,FALSE),""))</f>
        <v/>
      </c>
      <c r="K2249" s="5" t="str">
        <f>IF(OR(I2249="",G2249=""),"",IF(G2249="Saída",-I2249,I2249))</f>
        <v/>
      </c>
      <c r="L2249" t="str">
        <f>IF(E2249="","",IFERROR(VLOOKUP(E2249,Listas!$A$2:$C$1048576,3,FALSE),""))</f>
        <v/>
      </c>
    </row>
    <row r="2250" spans="10:12" x14ac:dyDescent="0.25">
      <c r="J2250" t="str">
        <f>IF(H2250="","",IFERROR(VLOOKUP(H2250,Listas!$J$2:$K$1048576,2,FALSE),""))</f>
        <v/>
      </c>
      <c r="K2250" s="5" t="str">
        <f>IF(OR(I2250="",G2250=""),"",IF(G2250="Saída",-I2250,I2250))</f>
        <v/>
      </c>
      <c r="L2250" t="str">
        <f>IF(E2250="","",IFERROR(VLOOKUP(E2250,Listas!$A$2:$C$1048576,3,FALSE),""))</f>
        <v/>
      </c>
    </row>
    <row r="2251" spans="10:12" x14ac:dyDescent="0.25">
      <c r="J2251" t="str">
        <f>IF(H2251="","",IFERROR(VLOOKUP(H2251,Listas!$J$2:$K$1048576,2,FALSE),""))</f>
        <v/>
      </c>
      <c r="K2251" s="5" t="str">
        <f>IF(OR(I2251="",G2251=""),"",IF(G2251="Saída",-I2251,I2251))</f>
        <v/>
      </c>
      <c r="L2251" t="str">
        <f>IF(E2251="","",IFERROR(VLOOKUP(E2251,Listas!$A$2:$C$1048576,3,FALSE),""))</f>
        <v/>
      </c>
    </row>
    <row r="2252" spans="10:12" x14ac:dyDescent="0.25">
      <c r="J2252" t="str">
        <f>IF(H2252="","",IFERROR(VLOOKUP(H2252,Listas!$J$2:$K$1048576,2,FALSE),""))</f>
        <v/>
      </c>
      <c r="K2252" s="5" t="str">
        <f>IF(OR(I2252="",G2252=""),"",IF(G2252="Saída",-I2252,I2252))</f>
        <v/>
      </c>
      <c r="L2252" t="str">
        <f>IF(E2252="","",IFERROR(VLOOKUP(E2252,Listas!$A$2:$C$1048576,3,FALSE),""))</f>
        <v/>
      </c>
    </row>
    <row r="2253" spans="10:12" x14ac:dyDescent="0.25">
      <c r="J2253" t="str">
        <f>IF(H2253="","",IFERROR(VLOOKUP(H2253,Listas!$J$2:$K$1048576,2,FALSE),""))</f>
        <v/>
      </c>
      <c r="K2253" s="5" t="str">
        <f>IF(OR(I2253="",G2253=""),"",IF(G2253="Saída",-I2253,I2253))</f>
        <v/>
      </c>
      <c r="L2253" t="str">
        <f>IF(E2253="","",IFERROR(VLOOKUP(E2253,Listas!$A$2:$C$1048576,3,FALSE),""))</f>
        <v/>
      </c>
    </row>
    <row r="2254" spans="10:12" x14ac:dyDescent="0.25">
      <c r="J2254" t="str">
        <f>IF(H2254="","",IFERROR(VLOOKUP(H2254,Listas!$J$2:$K$1048576,2,FALSE),""))</f>
        <v/>
      </c>
      <c r="K2254" s="5" t="str">
        <f>IF(OR(I2254="",G2254=""),"",IF(G2254="Saída",-I2254,I2254))</f>
        <v/>
      </c>
      <c r="L2254" t="str">
        <f>IF(E2254="","",IFERROR(VLOOKUP(E2254,Listas!$A$2:$C$1048576,3,FALSE),""))</f>
        <v/>
      </c>
    </row>
    <row r="2255" spans="10:12" x14ac:dyDescent="0.25">
      <c r="J2255" t="str">
        <f>IF(H2255="","",IFERROR(VLOOKUP(H2255,Listas!$J$2:$K$1048576,2,FALSE),""))</f>
        <v/>
      </c>
      <c r="K2255" s="5" t="str">
        <f>IF(OR(I2255="",G2255=""),"",IF(G2255="Saída",-I2255,I2255))</f>
        <v/>
      </c>
      <c r="L2255" t="str">
        <f>IF(E2255="","",IFERROR(VLOOKUP(E2255,Listas!$A$2:$C$1048576,3,FALSE),""))</f>
        <v/>
      </c>
    </row>
    <row r="2256" spans="10:12" x14ac:dyDescent="0.25">
      <c r="J2256" t="str">
        <f>IF(H2256="","",IFERROR(VLOOKUP(H2256,Listas!$J$2:$K$1048576,2,FALSE),""))</f>
        <v/>
      </c>
      <c r="K2256" s="5" t="str">
        <f>IF(OR(I2256="",G2256=""),"",IF(G2256="Saída",-I2256,I2256))</f>
        <v/>
      </c>
      <c r="L2256" t="str">
        <f>IF(E2256="","",IFERROR(VLOOKUP(E2256,Listas!$A$2:$C$1048576,3,FALSE),""))</f>
        <v/>
      </c>
    </row>
    <row r="2257" spans="10:12" x14ac:dyDescent="0.25">
      <c r="J2257" t="str">
        <f>IF(H2257="","",IFERROR(VLOOKUP(H2257,Listas!$J$2:$K$1048576,2,FALSE),""))</f>
        <v/>
      </c>
      <c r="K2257" s="5" t="str">
        <f>IF(OR(I2257="",G2257=""),"",IF(G2257="Saída",-I2257,I2257))</f>
        <v/>
      </c>
      <c r="L2257" t="str">
        <f>IF(E2257="","",IFERROR(VLOOKUP(E2257,Listas!$A$2:$C$1048576,3,FALSE),""))</f>
        <v/>
      </c>
    </row>
    <row r="2258" spans="10:12" x14ac:dyDescent="0.25">
      <c r="J2258" t="str">
        <f>IF(H2258="","",IFERROR(VLOOKUP(H2258,Listas!$J$2:$K$1048576,2,FALSE),""))</f>
        <v/>
      </c>
      <c r="K2258" s="5" t="str">
        <f>IF(OR(I2258="",G2258=""),"",IF(G2258="Saída",-I2258,I2258))</f>
        <v/>
      </c>
      <c r="L2258" t="str">
        <f>IF(E2258="","",IFERROR(VLOOKUP(E2258,Listas!$A$2:$C$1048576,3,FALSE),""))</f>
        <v/>
      </c>
    </row>
    <row r="2259" spans="10:12" x14ac:dyDescent="0.25">
      <c r="J2259" t="str">
        <f>IF(H2259="","",IFERROR(VLOOKUP(H2259,Listas!$J$2:$K$1048576,2,FALSE),""))</f>
        <v/>
      </c>
      <c r="K2259" s="5" t="str">
        <f>IF(OR(I2259="",G2259=""),"",IF(G2259="Saída",-I2259,I2259))</f>
        <v/>
      </c>
      <c r="L2259" t="str">
        <f>IF(E2259="","",IFERROR(VLOOKUP(E2259,Listas!$A$2:$C$1048576,3,FALSE),""))</f>
        <v/>
      </c>
    </row>
    <row r="2260" spans="10:12" x14ac:dyDescent="0.25">
      <c r="J2260" t="str">
        <f>IF(H2260="","",IFERROR(VLOOKUP(H2260,Listas!$J$2:$K$1048576,2,FALSE),""))</f>
        <v/>
      </c>
      <c r="K2260" s="5" t="str">
        <f>IF(OR(I2260="",G2260=""),"",IF(G2260="Saída",-I2260,I2260))</f>
        <v/>
      </c>
      <c r="L2260" t="str">
        <f>IF(E2260="","",IFERROR(VLOOKUP(E2260,Listas!$A$2:$C$1048576,3,FALSE),""))</f>
        <v/>
      </c>
    </row>
    <row r="2261" spans="10:12" x14ac:dyDescent="0.25">
      <c r="J2261" t="str">
        <f>IF(H2261="","",IFERROR(VLOOKUP(H2261,Listas!$J$2:$K$1048576,2,FALSE),""))</f>
        <v/>
      </c>
      <c r="K2261" s="5" t="str">
        <f>IF(OR(I2261="",G2261=""),"",IF(G2261="Saída",-I2261,I2261))</f>
        <v/>
      </c>
      <c r="L2261" t="str">
        <f>IF(E2261="","",IFERROR(VLOOKUP(E2261,Listas!$A$2:$C$1048576,3,FALSE),""))</f>
        <v/>
      </c>
    </row>
    <row r="2262" spans="10:12" x14ac:dyDescent="0.25">
      <c r="J2262" t="str">
        <f>IF(H2262="","",IFERROR(VLOOKUP(H2262,Listas!$J$2:$K$1048576,2,FALSE),""))</f>
        <v/>
      </c>
      <c r="K2262" s="5" t="str">
        <f>IF(OR(I2262="",G2262=""),"",IF(G2262="Saída",-I2262,I2262))</f>
        <v/>
      </c>
      <c r="L2262" t="str">
        <f>IF(E2262="","",IFERROR(VLOOKUP(E2262,Listas!$A$2:$C$1048576,3,FALSE),""))</f>
        <v/>
      </c>
    </row>
    <row r="2263" spans="10:12" x14ac:dyDescent="0.25">
      <c r="J2263" t="str">
        <f>IF(H2263="","",IFERROR(VLOOKUP(H2263,Listas!$J$2:$K$1048576,2,FALSE),""))</f>
        <v/>
      </c>
      <c r="K2263" s="5" t="str">
        <f>IF(OR(I2263="",G2263=""),"",IF(G2263="Saída",-I2263,I2263))</f>
        <v/>
      </c>
      <c r="L2263" t="str">
        <f>IF(E2263="","",IFERROR(VLOOKUP(E2263,Listas!$A$2:$C$1048576,3,FALSE),""))</f>
        <v/>
      </c>
    </row>
    <row r="2264" spans="10:12" x14ac:dyDescent="0.25">
      <c r="J2264" t="str">
        <f>IF(H2264="","",IFERROR(VLOOKUP(H2264,Listas!$J$2:$K$1048576,2,FALSE),""))</f>
        <v/>
      </c>
      <c r="K2264" s="5" t="str">
        <f>IF(OR(I2264="",G2264=""),"",IF(G2264="Saída",-I2264,I2264))</f>
        <v/>
      </c>
      <c r="L2264" t="str">
        <f>IF(E2264="","",IFERROR(VLOOKUP(E2264,Listas!$A$2:$C$1048576,3,FALSE),""))</f>
        <v/>
      </c>
    </row>
    <row r="2265" spans="10:12" x14ac:dyDescent="0.25">
      <c r="J2265" t="str">
        <f>IF(H2265="","",IFERROR(VLOOKUP(H2265,Listas!$J$2:$K$1048576,2,FALSE),""))</f>
        <v/>
      </c>
      <c r="K2265" s="5" t="str">
        <f>IF(OR(I2265="",G2265=""),"",IF(G2265="Saída",-I2265,I2265))</f>
        <v/>
      </c>
      <c r="L2265" t="str">
        <f>IF(E2265="","",IFERROR(VLOOKUP(E2265,Listas!$A$2:$C$1048576,3,FALSE),""))</f>
        <v/>
      </c>
    </row>
    <row r="2266" spans="10:12" x14ac:dyDescent="0.25">
      <c r="J2266" t="str">
        <f>IF(H2266="","",IFERROR(VLOOKUP(H2266,Listas!$J$2:$K$1048576,2,FALSE),""))</f>
        <v/>
      </c>
      <c r="K2266" s="5" t="str">
        <f>IF(OR(I2266="",G2266=""),"",IF(G2266="Saída",-I2266,I2266))</f>
        <v/>
      </c>
      <c r="L2266" t="str">
        <f>IF(E2266="","",IFERROR(VLOOKUP(E2266,Listas!$A$2:$C$1048576,3,FALSE),""))</f>
        <v/>
      </c>
    </row>
    <row r="2267" spans="10:12" x14ac:dyDescent="0.25">
      <c r="J2267" t="str">
        <f>IF(H2267="","",IFERROR(VLOOKUP(H2267,Listas!$J$2:$K$1048576,2,FALSE),""))</f>
        <v/>
      </c>
      <c r="K2267" s="5" t="str">
        <f>IF(OR(I2267="",G2267=""),"",IF(G2267="Saída",-I2267,I2267))</f>
        <v/>
      </c>
      <c r="L2267" t="str">
        <f>IF(E2267="","",IFERROR(VLOOKUP(E2267,Listas!$A$2:$C$1048576,3,FALSE),""))</f>
        <v/>
      </c>
    </row>
    <row r="2268" spans="10:12" x14ac:dyDescent="0.25">
      <c r="J2268" t="str">
        <f>IF(H2268="","",IFERROR(VLOOKUP(H2268,Listas!$J$2:$K$1048576,2,FALSE),""))</f>
        <v/>
      </c>
      <c r="K2268" s="5" t="str">
        <f>IF(OR(I2268="",G2268=""),"",IF(G2268="Saída",-I2268,I2268))</f>
        <v/>
      </c>
      <c r="L2268" t="str">
        <f>IF(E2268="","",IFERROR(VLOOKUP(E2268,Listas!$A$2:$C$1048576,3,FALSE),""))</f>
        <v/>
      </c>
    </row>
    <row r="2269" spans="10:12" x14ac:dyDescent="0.25">
      <c r="J2269" t="str">
        <f>IF(H2269="","",IFERROR(VLOOKUP(H2269,Listas!$J$2:$K$1048576,2,FALSE),""))</f>
        <v/>
      </c>
      <c r="K2269" s="5" t="str">
        <f>IF(OR(I2269="",G2269=""),"",IF(G2269="Saída",-I2269,I2269))</f>
        <v/>
      </c>
      <c r="L2269" t="str">
        <f>IF(E2269="","",IFERROR(VLOOKUP(E2269,Listas!$A$2:$C$1048576,3,FALSE),""))</f>
        <v/>
      </c>
    </row>
    <row r="2270" spans="10:12" x14ac:dyDescent="0.25">
      <c r="J2270" t="str">
        <f>IF(H2270="","",IFERROR(VLOOKUP(H2270,Listas!$J$2:$K$1048576,2,FALSE),""))</f>
        <v/>
      </c>
      <c r="K2270" s="5" t="str">
        <f>IF(OR(I2270="",G2270=""),"",IF(G2270="Saída",-I2270,I2270))</f>
        <v/>
      </c>
      <c r="L2270" t="str">
        <f>IF(E2270="","",IFERROR(VLOOKUP(E2270,Listas!$A$2:$C$1048576,3,FALSE),""))</f>
        <v/>
      </c>
    </row>
    <row r="2271" spans="10:12" x14ac:dyDescent="0.25">
      <c r="J2271" t="str">
        <f>IF(H2271="","",IFERROR(VLOOKUP(H2271,Listas!$J$2:$K$1048576,2,FALSE),""))</f>
        <v/>
      </c>
      <c r="K2271" s="5" t="str">
        <f>IF(OR(I2271="",G2271=""),"",IF(G2271="Saída",-I2271,I2271))</f>
        <v/>
      </c>
      <c r="L2271" t="str">
        <f>IF(E2271="","",IFERROR(VLOOKUP(E2271,Listas!$A$2:$C$1048576,3,FALSE),""))</f>
        <v/>
      </c>
    </row>
    <row r="2272" spans="10:12" x14ac:dyDescent="0.25">
      <c r="J2272" t="str">
        <f>IF(H2272="","",IFERROR(VLOOKUP(H2272,Listas!$J$2:$K$1048576,2,FALSE),""))</f>
        <v/>
      </c>
      <c r="K2272" s="5" t="str">
        <f>IF(OR(I2272="",G2272=""),"",IF(G2272="Saída",-I2272,I2272))</f>
        <v/>
      </c>
      <c r="L2272" t="str">
        <f>IF(E2272="","",IFERROR(VLOOKUP(E2272,Listas!$A$2:$C$1048576,3,FALSE),""))</f>
        <v/>
      </c>
    </row>
    <row r="2273" spans="10:12" x14ac:dyDescent="0.25">
      <c r="J2273" t="str">
        <f>IF(H2273="","",IFERROR(VLOOKUP(H2273,Listas!$J$2:$K$1048576,2,FALSE),""))</f>
        <v/>
      </c>
      <c r="K2273" s="5" t="str">
        <f>IF(OR(I2273="",G2273=""),"",IF(G2273="Saída",-I2273,I2273))</f>
        <v/>
      </c>
      <c r="L2273" t="str">
        <f>IF(E2273="","",IFERROR(VLOOKUP(E2273,Listas!$A$2:$C$1048576,3,FALSE),""))</f>
        <v/>
      </c>
    </row>
    <row r="2274" spans="10:12" x14ac:dyDescent="0.25">
      <c r="J2274" t="str">
        <f>IF(H2274="","",IFERROR(VLOOKUP(H2274,Listas!$J$2:$K$1048576,2,FALSE),""))</f>
        <v/>
      </c>
      <c r="K2274" s="5" t="str">
        <f>IF(OR(I2274="",G2274=""),"",IF(G2274="Saída",-I2274,I2274))</f>
        <v/>
      </c>
      <c r="L2274" t="str">
        <f>IF(E2274="","",IFERROR(VLOOKUP(E2274,Listas!$A$2:$C$1048576,3,FALSE),""))</f>
        <v/>
      </c>
    </row>
    <row r="2275" spans="10:12" x14ac:dyDescent="0.25">
      <c r="J2275" t="str">
        <f>IF(H2275="","",IFERROR(VLOOKUP(H2275,Listas!$J$2:$K$1048576,2,FALSE),""))</f>
        <v/>
      </c>
      <c r="K2275" s="5" t="str">
        <f>IF(OR(I2275="",G2275=""),"",IF(G2275="Saída",-I2275,I2275))</f>
        <v/>
      </c>
      <c r="L2275" t="str">
        <f>IF(E2275="","",IFERROR(VLOOKUP(E2275,Listas!$A$2:$C$1048576,3,FALSE),""))</f>
        <v/>
      </c>
    </row>
    <row r="2276" spans="10:12" x14ac:dyDescent="0.25">
      <c r="J2276" t="str">
        <f>IF(H2276="","",IFERROR(VLOOKUP(H2276,Listas!$J$2:$K$1048576,2,FALSE),""))</f>
        <v/>
      </c>
      <c r="K2276" s="5" t="str">
        <f>IF(OR(I2276="",G2276=""),"",IF(G2276="Saída",-I2276,I2276))</f>
        <v/>
      </c>
      <c r="L2276" t="str">
        <f>IF(E2276="","",IFERROR(VLOOKUP(E2276,Listas!$A$2:$C$1048576,3,FALSE),""))</f>
        <v/>
      </c>
    </row>
    <row r="2277" spans="10:12" x14ac:dyDescent="0.25">
      <c r="J2277" t="str">
        <f>IF(H2277="","",IFERROR(VLOOKUP(H2277,Listas!$J$2:$K$1048576,2,FALSE),""))</f>
        <v/>
      </c>
      <c r="K2277" s="5" t="str">
        <f>IF(OR(I2277="",G2277=""),"",IF(G2277="Saída",-I2277,I2277))</f>
        <v/>
      </c>
      <c r="L2277" t="str">
        <f>IF(E2277="","",IFERROR(VLOOKUP(E2277,Listas!$A$2:$C$1048576,3,FALSE),""))</f>
        <v/>
      </c>
    </row>
    <row r="2278" spans="10:12" x14ac:dyDescent="0.25">
      <c r="J2278" t="str">
        <f>IF(H2278="","",IFERROR(VLOOKUP(H2278,Listas!$J$2:$K$1048576,2,FALSE),""))</f>
        <v/>
      </c>
      <c r="K2278" s="5" t="str">
        <f>IF(OR(I2278="",G2278=""),"",IF(G2278="Saída",-I2278,I2278))</f>
        <v/>
      </c>
      <c r="L2278" t="str">
        <f>IF(E2278="","",IFERROR(VLOOKUP(E2278,Listas!$A$2:$C$1048576,3,FALSE),""))</f>
        <v/>
      </c>
    </row>
    <row r="2279" spans="10:12" x14ac:dyDescent="0.25">
      <c r="J2279" t="str">
        <f>IF(H2279="","",IFERROR(VLOOKUP(H2279,Listas!$J$2:$K$1048576,2,FALSE),""))</f>
        <v/>
      </c>
      <c r="K2279" s="5" t="str">
        <f>IF(OR(I2279="",G2279=""),"",IF(G2279="Saída",-I2279,I2279))</f>
        <v/>
      </c>
      <c r="L2279" t="str">
        <f>IF(E2279="","",IFERROR(VLOOKUP(E2279,Listas!$A$2:$C$1048576,3,FALSE),""))</f>
        <v/>
      </c>
    </row>
    <row r="2280" spans="10:12" x14ac:dyDescent="0.25">
      <c r="J2280" t="str">
        <f>IF(H2280="","",IFERROR(VLOOKUP(H2280,Listas!$J$2:$K$1048576,2,FALSE),""))</f>
        <v/>
      </c>
      <c r="K2280" s="5" t="str">
        <f>IF(OR(I2280="",G2280=""),"",IF(G2280="Saída",-I2280,I2280))</f>
        <v/>
      </c>
      <c r="L2280" t="str">
        <f>IF(E2280="","",IFERROR(VLOOKUP(E2280,Listas!$A$2:$C$1048576,3,FALSE),""))</f>
        <v/>
      </c>
    </row>
    <row r="2281" spans="10:12" x14ac:dyDescent="0.25">
      <c r="J2281" t="str">
        <f>IF(H2281="","",IFERROR(VLOOKUP(H2281,Listas!$J$2:$K$1048576,2,FALSE),""))</f>
        <v/>
      </c>
      <c r="K2281" s="5" t="str">
        <f>IF(OR(I2281="",G2281=""),"",IF(G2281="Saída",-I2281,I2281))</f>
        <v/>
      </c>
      <c r="L2281" t="str">
        <f>IF(E2281="","",IFERROR(VLOOKUP(E2281,Listas!$A$2:$C$1048576,3,FALSE),""))</f>
        <v/>
      </c>
    </row>
    <row r="2282" spans="10:12" x14ac:dyDescent="0.25">
      <c r="J2282" t="str">
        <f>IF(H2282="","",IFERROR(VLOOKUP(H2282,Listas!$J$2:$K$1048576,2,FALSE),""))</f>
        <v/>
      </c>
      <c r="K2282" s="5" t="str">
        <f>IF(OR(I2282="",G2282=""),"",IF(G2282="Saída",-I2282,I2282))</f>
        <v/>
      </c>
      <c r="L2282" t="str">
        <f>IF(E2282="","",IFERROR(VLOOKUP(E2282,Listas!$A$2:$C$1048576,3,FALSE),""))</f>
        <v/>
      </c>
    </row>
    <row r="2283" spans="10:12" x14ac:dyDescent="0.25">
      <c r="J2283" t="str">
        <f>IF(H2283="","",IFERROR(VLOOKUP(H2283,Listas!$J$2:$K$1048576,2,FALSE),""))</f>
        <v/>
      </c>
      <c r="K2283" s="5" t="str">
        <f>IF(OR(I2283="",G2283=""),"",IF(G2283="Saída",-I2283,I2283))</f>
        <v/>
      </c>
      <c r="L2283" t="str">
        <f>IF(E2283="","",IFERROR(VLOOKUP(E2283,Listas!$A$2:$C$1048576,3,FALSE),""))</f>
        <v/>
      </c>
    </row>
    <row r="2284" spans="10:12" x14ac:dyDescent="0.25">
      <c r="J2284" t="str">
        <f>IF(H2284="","",IFERROR(VLOOKUP(H2284,Listas!$J$2:$K$1048576,2,FALSE),""))</f>
        <v/>
      </c>
      <c r="K2284" s="5" t="str">
        <f>IF(OR(I2284="",G2284=""),"",IF(G2284="Saída",-I2284,I2284))</f>
        <v/>
      </c>
      <c r="L2284" t="str">
        <f>IF(E2284="","",IFERROR(VLOOKUP(E2284,Listas!$A$2:$C$1048576,3,FALSE),""))</f>
        <v/>
      </c>
    </row>
    <row r="2285" spans="10:12" x14ac:dyDescent="0.25">
      <c r="J2285" t="str">
        <f>IF(H2285="","",IFERROR(VLOOKUP(H2285,Listas!$J$2:$K$1048576,2,FALSE),""))</f>
        <v/>
      </c>
      <c r="K2285" s="5" t="str">
        <f>IF(OR(I2285="",G2285=""),"",IF(G2285="Saída",-I2285,I2285))</f>
        <v/>
      </c>
      <c r="L2285" t="str">
        <f>IF(E2285="","",IFERROR(VLOOKUP(E2285,Listas!$A$2:$C$1048576,3,FALSE),""))</f>
        <v/>
      </c>
    </row>
    <row r="2286" spans="10:12" x14ac:dyDescent="0.25">
      <c r="J2286" t="str">
        <f>IF(H2286="","",IFERROR(VLOOKUP(H2286,Listas!$J$2:$K$1048576,2,FALSE),""))</f>
        <v/>
      </c>
      <c r="K2286" s="5" t="str">
        <f>IF(OR(I2286="",G2286=""),"",IF(G2286="Saída",-I2286,I2286))</f>
        <v/>
      </c>
      <c r="L2286" t="str">
        <f>IF(E2286="","",IFERROR(VLOOKUP(E2286,Listas!$A$2:$C$1048576,3,FALSE),""))</f>
        <v/>
      </c>
    </row>
    <row r="2287" spans="10:12" x14ac:dyDescent="0.25">
      <c r="J2287" t="str">
        <f>IF(H2287="","",IFERROR(VLOOKUP(H2287,Listas!$J$2:$K$1048576,2,FALSE),""))</f>
        <v/>
      </c>
      <c r="K2287" s="5" t="str">
        <f>IF(OR(I2287="",G2287=""),"",IF(G2287="Saída",-I2287,I2287))</f>
        <v/>
      </c>
      <c r="L2287" t="str">
        <f>IF(E2287="","",IFERROR(VLOOKUP(E2287,Listas!$A$2:$C$1048576,3,FALSE),""))</f>
        <v/>
      </c>
    </row>
    <row r="2288" spans="10:12" x14ac:dyDescent="0.25">
      <c r="J2288" t="str">
        <f>IF(H2288="","",IFERROR(VLOOKUP(H2288,Listas!$J$2:$K$1048576,2,FALSE),""))</f>
        <v/>
      </c>
      <c r="K2288" s="5" t="str">
        <f>IF(OR(I2288="",G2288=""),"",IF(G2288="Saída",-I2288,I2288))</f>
        <v/>
      </c>
      <c r="L2288" t="str">
        <f>IF(E2288="","",IFERROR(VLOOKUP(E2288,Listas!$A$2:$C$1048576,3,FALSE),""))</f>
        <v/>
      </c>
    </row>
    <row r="2289" spans="10:12" x14ac:dyDescent="0.25">
      <c r="J2289" t="str">
        <f>IF(H2289="","",IFERROR(VLOOKUP(H2289,Listas!$J$2:$K$1048576,2,FALSE),""))</f>
        <v/>
      </c>
      <c r="K2289" s="5" t="str">
        <f>IF(OR(I2289="",G2289=""),"",IF(G2289="Saída",-I2289,I2289))</f>
        <v/>
      </c>
      <c r="L2289" t="str">
        <f>IF(E2289="","",IFERROR(VLOOKUP(E2289,Listas!$A$2:$C$1048576,3,FALSE),""))</f>
        <v/>
      </c>
    </row>
    <row r="2290" spans="10:12" x14ac:dyDescent="0.25">
      <c r="J2290" t="str">
        <f>IF(H2290="","",IFERROR(VLOOKUP(H2290,Listas!$J$2:$K$1048576,2,FALSE),""))</f>
        <v/>
      </c>
      <c r="K2290" s="5" t="str">
        <f>IF(OR(I2290="",G2290=""),"",IF(G2290="Saída",-I2290,I2290))</f>
        <v/>
      </c>
      <c r="L2290" t="str">
        <f>IF(E2290="","",IFERROR(VLOOKUP(E2290,Listas!$A$2:$C$1048576,3,FALSE),""))</f>
        <v/>
      </c>
    </row>
    <row r="2291" spans="10:12" x14ac:dyDescent="0.25">
      <c r="J2291" t="str">
        <f>IF(H2291="","",IFERROR(VLOOKUP(H2291,Listas!$J$2:$K$1048576,2,FALSE),""))</f>
        <v/>
      </c>
      <c r="K2291" s="5" t="str">
        <f>IF(OR(I2291="",G2291=""),"",IF(G2291="Saída",-I2291,I2291))</f>
        <v/>
      </c>
      <c r="L2291" t="str">
        <f>IF(E2291="","",IFERROR(VLOOKUP(E2291,Listas!$A$2:$C$1048576,3,FALSE),""))</f>
        <v/>
      </c>
    </row>
    <row r="2292" spans="10:12" x14ac:dyDescent="0.25">
      <c r="J2292" t="str">
        <f>IF(H2292="","",IFERROR(VLOOKUP(H2292,Listas!$J$2:$K$1048576,2,FALSE),""))</f>
        <v/>
      </c>
      <c r="K2292" s="5" t="str">
        <f>IF(OR(I2292="",G2292=""),"",IF(G2292="Saída",-I2292,I2292))</f>
        <v/>
      </c>
      <c r="L2292" t="str">
        <f>IF(E2292="","",IFERROR(VLOOKUP(E2292,Listas!$A$2:$C$1048576,3,FALSE),""))</f>
        <v/>
      </c>
    </row>
    <row r="2293" spans="10:12" x14ac:dyDescent="0.25">
      <c r="J2293" t="str">
        <f>IF(H2293="","",IFERROR(VLOOKUP(H2293,Listas!$J$2:$K$1048576,2,FALSE),""))</f>
        <v/>
      </c>
      <c r="K2293" s="5" t="str">
        <f>IF(OR(I2293="",G2293=""),"",IF(G2293="Saída",-I2293,I2293))</f>
        <v/>
      </c>
      <c r="L2293" t="str">
        <f>IF(E2293="","",IFERROR(VLOOKUP(E2293,Listas!$A$2:$C$1048576,3,FALSE),""))</f>
        <v/>
      </c>
    </row>
    <row r="2294" spans="10:12" x14ac:dyDescent="0.25">
      <c r="J2294" t="str">
        <f>IF(H2294="","",IFERROR(VLOOKUP(H2294,Listas!$J$2:$K$1048576,2,FALSE),""))</f>
        <v/>
      </c>
      <c r="K2294" s="5" t="str">
        <f>IF(OR(I2294="",G2294=""),"",IF(G2294="Saída",-I2294,I2294))</f>
        <v/>
      </c>
      <c r="L2294" t="str">
        <f>IF(E2294="","",IFERROR(VLOOKUP(E2294,Listas!$A$2:$C$1048576,3,FALSE),""))</f>
        <v/>
      </c>
    </row>
    <row r="2295" spans="10:12" x14ac:dyDescent="0.25">
      <c r="J2295" t="str">
        <f>IF(H2295="","",IFERROR(VLOOKUP(H2295,Listas!$J$2:$K$1048576,2,FALSE),""))</f>
        <v/>
      </c>
      <c r="K2295" s="5" t="str">
        <f>IF(OR(I2295="",G2295=""),"",IF(G2295="Saída",-I2295,I2295))</f>
        <v/>
      </c>
      <c r="L2295" t="str">
        <f>IF(E2295="","",IFERROR(VLOOKUP(E2295,Listas!$A$2:$C$1048576,3,FALSE),""))</f>
        <v/>
      </c>
    </row>
    <row r="2296" spans="10:12" x14ac:dyDescent="0.25">
      <c r="J2296" t="str">
        <f>IF(H2296="","",IFERROR(VLOOKUP(H2296,Listas!$J$2:$K$1048576,2,FALSE),""))</f>
        <v/>
      </c>
      <c r="K2296" s="5" t="str">
        <f>IF(OR(I2296="",G2296=""),"",IF(G2296="Saída",-I2296,I2296))</f>
        <v/>
      </c>
      <c r="L2296" t="str">
        <f>IF(E2296="","",IFERROR(VLOOKUP(E2296,Listas!$A$2:$C$1048576,3,FALSE),""))</f>
        <v/>
      </c>
    </row>
    <row r="2297" spans="10:12" x14ac:dyDescent="0.25">
      <c r="J2297" t="str">
        <f>IF(H2297="","",IFERROR(VLOOKUP(H2297,Listas!$J$2:$K$1048576,2,FALSE),""))</f>
        <v/>
      </c>
      <c r="K2297" s="5" t="str">
        <f>IF(OR(I2297="",G2297=""),"",IF(G2297="Saída",-I2297,I2297))</f>
        <v/>
      </c>
      <c r="L2297" t="str">
        <f>IF(E2297="","",IFERROR(VLOOKUP(E2297,Listas!$A$2:$C$1048576,3,FALSE),""))</f>
        <v/>
      </c>
    </row>
    <row r="2298" spans="10:12" x14ac:dyDescent="0.25">
      <c r="J2298" t="str">
        <f>IF(H2298="","",IFERROR(VLOOKUP(H2298,Listas!$J$2:$K$1048576,2,FALSE),""))</f>
        <v/>
      </c>
      <c r="K2298" s="5" t="str">
        <f>IF(OR(I2298="",G2298=""),"",IF(G2298="Saída",-I2298,I2298))</f>
        <v/>
      </c>
      <c r="L2298" t="str">
        <f>IF(E2298="","",IFERROR(VLOOKUP(E2298,Listas!$A$2:$C$1048576,3,FALSE),""))</f>
        <v/>
      </c>
    </row>
    <row r="2299" spans="10:12" x14ac:dyDescent="0.25">
      <c r="J2299" t="str">
        <f>IF(H2299="","",IFERROR(VLOOKUP(H2299,Listas!$J$2:$K$1048576,2,FALSE),""))</f>
        <v/>
      </c>
      <c r="K2299" s="5" t="str">
        <f>IF(OR(I2299="",G2299=""),"",IF(G2299="Saída",-I2299,I2299))</f>
        <v/>
      </c>
      <c r="L2299" t="str">
        <f>IF(E2299="","",IFERROR(VLOOKUP(E2299,Listas!$A$2:$C$1048576,3,FALSE),""))</f>
        <v/>
      </c>
    </row>
    <row r="2300" spans="10:12" x14ac:dyDescent="0.25">
      <c r="J2300" t="str">
        <f>IF(H2300="","",IFERROR(VLOOKUP(H2300,Listas!$J$2:$K$1048576,2,FALSE),""))</f>
        <v/>
      </c>
      <c r="K2300" s="5" t="str">
        <f>IF(OR(I2300="",G2300=""),"",IF(G2300="Saída",-I2300,I2300))</f>
        <v/>
      </c>
      <c r="L2300" t="str">
        <f>IF(E2300="","",IFERROR(VLOOKUP(E2300,Listas!$A$2:$C$1048576,3,FALSE),""))</f>
        <v/>
      </c>
    </row>
    <row r="2301" spans="10:12" x14ac:dyDescent="0.25">
      <c r="J2301" t="str">
        <f>IF(H2301="","",IFERROR(VLOOKUP(H2301,Listas!$J$2:$K$1048576,2,FALSE),""))</f>
        <v/>
      </c>
      <c r="K2301" s="5" t="str">
        <f>IF(OR(I2301="",G2301=""),"",IF(G2301="Saída",-I2301,I2301))</f>
        <v/>
      </c>
      <c r="L2301" t="str">
        <f>IF(E2301="","",IFERROR(VLOOKUP(E2301,Listas!$A$2:$C$1048576,3,FALSE),""))</f>
        <v/>
      </c>
    </row>
    <row r="2302" spans="10:12" x14ac:dyDescent="0.25">
      <c r="J2302" t="str">
        <f>IF(H2302="","",IFERROR(VLOOKUP(H2302,Listas!$J$2:$K$1048576,2,FALSE),""))</f>
        <v/>
      </c>
      <c r="K2302" s="5" t="str">
        <f>IF(OR(I2302="",G2302=""),"",IF(G2302="Saída",-I2302,I2302))</f>
        <v/>
      </c>
      <c r="L2302" t="str">
        <f>IF(E2302="","",IFERROR(VLOOKUP(E2302,Listas!$A$2:$C$1048576,3,FALSE),""))</f>
        <v/>
      </c>
    </row>
    <row r="2303" spans="10:12" x14ac:dyDescent="0.25">
      <c r="J2303" t="str">
        <f>IF(H2303="","",IFERROR(VLOOKUP(H2303,Listas!$J$2:$K$1048576,2,FALSE),""))</f>
        <v/>
      </c>
      <c r="K2303" s="5" t="str">
        <f>IF(OR(I2303="",G2303=""),"",IF(G2303="Saída",-I2303,I2303))</f>
        <v/>
      </c>
      <c r="L2303" t="str">
        <f>IF(E2303="","",IFERROR(VLOOKUP(E2303,Listas!$A$2:$C$1048576,3,FALSE),""))</f>
        <v/>
      </c>
    </row>
    <row r="2304" spans="10:12" x14ac:dyDescent="0.25">
      <c r="J2304" t="str">
        <f>IF(H2304="","",IFERROR(VLOOKUP(H2304,Listas!$J$2:$K$1048576,2,FALSE),""))</f>
        <v/>
      </c>
      <c r="K2304" s="5" t="str">
        <f>IF(OR(I2304="",G2304=""),"",IF(G2304="Saída",-I2304,I2304))</f>
        <v/>
      </c>
      <c r="L2304" t="str">
        <f>IF(E2304="","",IFERROR(VLOOKUP(E2304,Listas!$A$2:$C$1048576,3,FALSE),""))</f>
        <v/>
      </c>
    </row>
    <row r="2305" spans="10:12" x14ac:dyDescent="0.25">
      <c r="J2305" t="str">
        <f>IF(H2305="","",IFERROR(VLOOKUP(H2305,Listas!$J$2:$K$1048576,2,FALSE),""))</f>
        <v/>
      </c>
      <c r="K2305" s="5" t="str">
        <f>IF(OR(I2305="",G2305=""),"",IF(G2305="Saída",-I2305,I2305))</f>
        <v/>
      </c>
      <c r="L2305" t="str">
        <f>IF(E2305="","",IFERROR(VLOOKUP(E2305,Listas!$A$2:$C$1048576,3,FALSE),""))</f>
        <v/>
      </c>
    </row>
    <row r="2306" spans="10:12" x14ac:dyDescent="0.25">
      <c r="J2306" t="str">
        <f>IF(H2306="","",IFERROR(VLOOKUP(H2306,Listas!$J$2:$K$1048576,2,FALSE),""))</f>
        <v/>
      </c>
      <c r="K2306" s="5" t="str">
        <f>IF(OR(I2306="",G2306=""),"",IF(G2306="Saída",-I2306,I2306))</f>
        <v/>
      </c>
      <c r="L2306" t="str">
        <f>IF(E2306="","",IFERROR(VLOOKUP(E2306,Listas!$A$2:$C$1048576,3,FALSE),""))</f>
        <v/>
      </c>
    </row>
    <row r="2307" spans="10:12" x14ac:dyDescent="0.25">
      <c r="J2307" t="str">
        <f>IF(H2307="","",IFERROR(VLOOKUP(H2307,Listas!$J$2:$K$1048576,2,FALSE),""))</f>
        <v/>
      </c>
      <c r="K2307" s="5" t="str">
        <f>IF(OR(I2307="",G2307=""),"",IF(G2307="Saída",-I2307,I2307))</f>
        <v/>
      </c>
      <c r="L2307" t="str">
        <f>IF(E2307="","",IFERROR(VLOOKUP(E2307,Listas!$A$2:$C$1048576,3,FALSE),""))</f>
        <v/>
      </c>
    </row>
    <row r="2308" spans="10:12" x14ac:dyDescent="0.25">
      <c r="J2308" t="str">
        <f>IF(H2308="","",IFERROR(VLOOKUP(H2308,Listas!$J$2:$K$1048576,2,FALSE),""))</f>
        <v/>
      </c>
      <c r="K2308" s="5" t="str">
        <f>IF(OR(I2308="",G2308=""),"",IF(G2308="Saída",-I2308,I2308))</f>
        <v/>
      </c>
      <c r="L2308" t="str">
        <f>IF(E2308="","",IFERROR(VLOOKUP(E2308,Listas!$A$2:$C$1048576,3,FALSE),""))</f>
        <v/>
      </c>
    </row>
    <row r="2309" spans="10:12" x14ac:dyDescent="0.25">
      <c r="J2309" t="str">
        <f>IF(H2309="","",IFERROR(VLOOKUP(H2309,Listas!$J$2:$K$1048576,2,FALSE),""))</f>
        <v/>
      </c>
      <c r="K2309" s="5" t="str">
        <f>IF(OR(I2309="",G2309=""),"",IF(G2309="Saída",-I2309,I2309))</f>
        <v/>
      </c>
      <c r="L2309" t="str">
        <f>IF(E2309="","",IFERROR(VLOOKUP(E2309,Listas!$A$2:$C$1048576,3,FALSE),""))</f>
        <v/>
      </c>
    </row>
    <row r="2310" spans="10:12" x14ac:dyDescent="0.25">
      <c r="J2310" t="str">
        <f>IF(H2310="","",IFERROR(VLOOKUP(H2310,Listas!$J$2:$K$1048576,2,FALSE),""))</f>
        <v/>
      </c>
      <c r="K2310" s="5" t="str">
        <f>IF(OR(I2310="",G2310=""),"",IF(G2310="Saída",-I2310,I2310))</f>
        <v/>
      </c>
      <c r="L2310" t="str">
        <f>IF(E2310="","",IFERROR(VLOOKUP(E2310,Listas!$A$2:$C$1048576,3,FALSE),""))</f>
        <v/>
      </c>
    </row>
    <row r="2311" spans="10:12" x14ac:dyDescent="0.25">
      <c r="J2311" t="str">
        <f>IF(H2311="","",IFERROR(VLOOKUP(H2311,Listas!$J$2:$K$1048576,2,FALSE),""))</f>
        <v/>
      </c>
      <c r="K2311" s="5" t="str">
        <f>IF(OR(I2311="",G2311=""),"",IF(G2311="Saída",-I2311,I2311))</f>
        <v/>
      </c>
      <c r="L2311" t="str">
        <f>IF(E2311="","",IFERROR(VLOOKUP(E2311,Listas!$A$2:$C$1048576,3,FALSE),""))</f>
        <v/>
      </c>
    </row>
    <row r="2312" spans="10:12" x14ac:dyDescent="0.25">
      <c r="J2312" t="str">
        <f>IF(H2312="","",IFERROR(VLOOKUP(H2312,Listas!$J$2:$K$1048576,2,FALSE),""))</f>
        <v/>
      </c>
      <c r="K2312" s="5" t="str">
        <f>IF(OR(I2312="",G2312=""),"",IF(G2312="Saída",-I2312,I2312))</f>
        <v/>
      </c>
      <c r="L2312" t="str">
        <f>IF(E2312="","",IFERROR(VLOOKUP(E2312,Listas!$A$2:$C$1048576,3,FALSE),""))</f>
        <v/>
      </c>
    </row>
    <row r="2313" spans="10:12" x14ac:dyDescent="0.25">
      <c r="J2313" t="str">
        <f>IF(H2313="","",IFERROR(VLOOKUP(H2313,Listas!$J$2:$K$1048576,2,FALSE),""))</f>
        <v/>
      </c>
      <c r="K2313" s="5" t="str">
        <f>IF(OR(I2313="",G2313=""),"",IF(G2313="Saída",-I2313,I2313))</f>
        <v/>
      </c>
      <c r="L2313" t="str">
        <f>IF(E2313="","",IFERROR(VLOOKUP(E2313,Listas!$A$2:$C$1048576,3,FALSE),""))</f>
        <v/>
      </c>
    </row>
    <row r="2314" spans="10:12" x14ac:dyDescent="0.25">
      <c r="J2314" t="str">
        <f>IF(H2314="","",IFERROR(VLOOKUP(H2314,Listas!$J$2:$K$1048576,2,FALSE),""))</f>
        <v/>
      </c>
      <c r="K2314" s="5" t="str">
        <f>IF(OR(I2314="",G2314=""),"",IF(G2314="Saída",-I2314,I2314))</f>
        <v/>
      </c>
      <c r="L2314" t="str">
        <f>IF(E2314="","",IFERROR(VLOOKUP(E2314,Listas!$A$2:$C$1048576,3,FALSE),""))</f>
        <v/>
      </c>
    </row>
    <row r="2315" spans="10:12" x14ac:dyDescent="0.25">
      <c r="J2315" t="str">
        <f>IF(H2315="","",IFERROR(VLOOKUP(H2315,Listas!$J$2:$K$1048576,2,FALSE),""))</f>
        <v/>
      </c>
      <c r="K2315" s="5" t="str">
        <f>IF(OR(I2315="",G2315=""),"",IF(G2315="Saída",-I2315,I2315))</f>
        <v/>
      </c>
      <c r="L2315" t="str">
        <f>IF(E2315="","",IFERROR(VLOOKUP(E2315,Listas!$A$2:$C$1048576,3,FALSE),""))</f>
        <v/>
      </c>
    </row>
    <row r="2316" spans="10:12" x14ac:dyDescent="0.25">
      <c r="J2316" t="str">
        <f>IF(H2316="","",IFERROR(VLOOKUP(H2316,Listas!$J$2:$K$1048576,2,FALSE),""))</f>
        <v/>
      </c>
      <c r="K2316" s="5" t="str">
        <f>IF(OR(I2316="",G2316=""),"",IF(G2316="Saída",-I2316,I2316))</f>
        <v/>
      </c>
      <c r="L2316" t="str">
        <f>IF(E2316="","",IFERROR(VLOOKUP(E2316,Listas!$A$2:$C$1048576,3,FALSE),""))</f>
        <v/>
      </c>
    </row>
    <row r="2317" spans="10:12" x14ac:dyDescent="0.25">
      <c r="J2317" t="str">
        <f>IF(H2317="","",IFERROR(VLOOKUP(H2317,Listas!$J$2:$K$1048576,2,FALSE),""))</f>
        <v/>
      </c>
      <c r="K2317" s="5" t="str">
        <f>IF(OR(I2317="",G2317=""),"",IF(G2317="Saída",-I2317,I2317))</f>
        <v/>
      </c>
      <c r="L2317" t="str">
        <f>IF(E2317="","",IFERROR(VLOOKUP(E2317,Listas!$A$2:$C$1048576,3,FALSE),""))</f>
        <v/>
      </c>
    </row>
    <row r="2318" spans="10:12" x14ac:dyDescent="0.25">
      <c r="J2318" t="str">
        <f>IF(H2318="","",IFERROR(VLOOKUP(H2318,Listas!$J$2:$K$1048576,2,FALSE),""))</f>
        <v/>
      </c>
      <c r="K2318" s="5" t="str">
        <f>IF(OR(I2318="",G2318=""),"",IF(G2318="Saída",-I2318,I2318))</f>
        <v/>
      </c>
      <c r="L2318" t="str">
        <f>IF(E2318="","",IFERROR(VLOOKUP(E2318,Listas!$A$2:$C$1048576,3,FALSE),""))</f>
        <v/>
      </c>
    </row>
    <row r="2319" spans="10:12" x14ac:dyDescent="0.25">
      <c r="J2319" t="str">
        <f>IF(H2319="","",IFERROR(VLOOKUP(H2319,Listas!$J$2:$K$1048576,2,FALSE),""))</f>
        <v/>
      </c>
      <c r="K2319" s="5" t="str">
        <f>IF(OR(I2319="",G2319=""),"",IF(G2319="Saída",-I2319,I2319))</f>
        <v/>
      </c>
      <c r="L2319" t="str">
        <f>IF(E2319="","",IFERROR(VLOOKUP(E2319,Listas!$A$2:$C$1048576,3,FALSE),""))</f>
        <v/>
      </c>
    </row>
    <row r="2320" spans="10:12" x14ac:dyDescent="0.25">
      <c r="J2320" t="str">
        <f>IF(H2320="","",IFERROR(VLOOKUP(H2320,Listas!$J$2:$K$1048576,2,FALSE),""))</f>
        <v/>
      </c>
      <c r="K2320" s="5" t="str">
        <f>IF(OR(I2320="",G2320=""),"",IF(G2320="Saída",-I2320,I2320))</f>
        <v/>
      </c>
      <c r="L2320" t="str">
        <f>IF(E2320="","",IFERROR(VLOOKUP(E2320,Listas!$A$2:$C$1048576,3,FALSE),""))</f>
        <v/>
      </c>
    </row>
    <row r="2321" spans="10:12" x14ac:dyDescent="0.25">
      <c r="J2321" t="str">
        <f>IF(H2321="","",IFERROR(VLOOKUP(H2321,Listas!$J$2:$K$1048576,2,FALSE),""))</f>
        <v/>
      </c>
      <c r="K2321" s="5" t="str">
        <f>IF(OR(I2321="",G2321=""),"",IF(G2321="Saída",-I2321,I2321))</f>
        <v/>
      </c>
      <c r="L2321" t="str">
        <f>IF(E2321="","",IFERROR(VLOOKUP(E2321,Listas!$A$2:$C$1048576,3,FALSE),""))</f>
        <v/>
      </c>
    </row>
    <row r="2322" spans="10:12" x14ac:dyDescent="0.25">
      <c r="J2322" t="str">
        <f>IF(H2322="","",IFERROR(VLOOKUP(H2322,Listas!$J$2:$K$1048576,2,FALSE),""))</f>
        <v/>
      </c>
      <c r="K2322" s="5" t="str">
        <f>IF(OR(I2322="",G2322=""),"",IF(G2322="Saída",-I2322,I2322))</f>
        <v/>
      </c>
      <c r="L2322" t="str">
        <f>IF(E2322="","",IFERROR(VLOOKUP(E2322,Listas!$A$2:$C$1048576,3,FALSE),""))</f>
        <v/>
      </c>
    </row>
    <row r="2323" spans="10:12" x14ac:dyDescent="0.25">
      <c r="J2323" t="str">
        <f>IF(H2323="","",IFERROR(VLOOKUP(H2323,Listas!$J$2:$K$1048576,2,FALSE),""))</f>
        <v/>
      </c>
      <c r="K2323" s="5" t="str">
        <f>IF(OR(I2323="",G2323=""),"",IF(G2323="Saída",-I2323,I2323))</f>
        <v/>
      </c>
      <c r="L2323" t="str">
        <f>IF(E2323="","",IFERROR(VLOOKUP(E2323,Listas!$A$2:$C$1048576,3,FALSE),""))</f>
        <v/>
      </c>
    </row>
    <row r="2324" spans="10:12" x14ac:dyDescent="0.25">
      <c r="J2324" t="str">
        <f>IF(H2324="","",IFERROR(VLOOKUP(H2324,Listas!$J$2:$K$1048576,2,FALSE),""))</f>
        <v/>
      </c>
      <c r="K2324" s="5" t="str">
        <f>IF(OR(I2324="",G2324=""),"",IF(G2324="Saída",-I2324,I2324))</f>
        <v/>
      </c>
      <c r="L2324" t="str">
        <f>IF(E2324="","",IFERROR(VLOOKUP(E2324,Listas!$A$2:$C$1048576,3,FALSE),""))</f>
        <v/>
      </c>
    </row>
    <row r="2325" spans="10:12" x14ac:dyDescent="0.25">
      <c r="J2325" t="str">
        <f>IF(H2325="","",IFERROR(VLOOKUP(H2325,Listas!$J$2:$K$1048576,2,FALSE),""))</f>
        <v/>
      </c>
      <c r="K2325" s="5" t="str">
        <f>IF(OR(I2325="",G2325=""),"",IF(G2325="Saída",-I2325,I2325))</f>
        <v/>
      </c>
      <c r="L2325" t="str">
        <f>IF(E2325="","",IFERROR(VLOOKUP(E2325,Listas!$A$2:$C$1048576,3,FALSE),""))</f>
        <v/>
      </c>
    </row>
    <row r="2326" spans="10:12" x14ac:dyDescent="0.25">
      <c r="J2326" t="str">
        <f>IF(H2326="","",IFERROR(VLOOKUP(H2326,Listas!$J$2:$K$1048576,2,FALSE),""))</f>
        <v/>
      </c>
      <c r="K2326" s="5" t="str">
        <f>IF(OR(I2326="",G2326=""),"",IF(G2326="Saída",-I2326,I2326))</f>
        <v/>
      </c>
      <c r="L2326" t="str">
        <f>IF(E2326="","",IFERROR(VLOOKUP(E2326,Listas!$A$2:$C$1048576,3,FALSE),""))</f>
        <v/>
      </c>
    </row>
    <row r="2327" spans="10:12" x14ac:dyDescent="0.25">
      <c r="J2327" t="str">
        <f>IF(H2327="","",IFERROR(VLOOKUP(H2327,Listas!$J$2:$K$1048576,2,FALSE),""))</f>
        <v/>
      </c>
      <c r="K2327" s="5" t="str">
        <f>IF(OR(I2327="",G2327=""),"",IF(G2327="Saída",-I2327,I2327))</f>
        <v/>
      </c>
      <c r="L2327" t="str">
        <f>IF(E2327="","",IFERROR(VLOOKUP(E2327,Listas!$A$2:$C$1048576,3,FALSE),""))</f>
        <v/>
      </c>
    </row>
    <row r="2328" spans="10:12" x14ac:dyDescent="0.25">
      <c r="J2328" t="str">
        <f>IF(H2328="","",IFERROR(VLOOKUP(H2328,Listas!$J$2:$K$1048576,2,FALSE),""))</f>
        <v/>
      </c>
      <c r="K2328" s="5" t="str">
        <f>IF(OR(I2328="",G2328=""),"",IF(G2328="Saída",-I2328,I2328))</f>
        <v/>
      </c>
      <c r="L2328" t="str">
        <f>IF(E2328="","",IFERROR(VLOOKUP(E2328,Listas!$A$2:$C$1048576,3,FALSE),""))</f>
        <v/>
      </c>
    </row>
    <row r="2329" spans="10:12" x14ac:dyDescent="0.25">
      <c r="J2329" t="str">
        <f>IF(H2329="","",IFERROR(VLOOKUP(H2329,Listas!$J$2:$K$1048576,2,FALSE),""))</f>
        <v/>
      </c>
      <c r="K2329" s="5" t="str">
        <f>IF(OR(I2329="",G2329=""),"",IF(G2329="Saída",-I2329,I2329))</f>
        <v/>
      </c>
      <c r="L2329" t="str">
        <f>IF(E2329="","",IFERROR(VLOOKUP(E2329,Listas!$A$2:$C$1048576,3,FALSE),""))</f>
        <v/>
      </c>
    </row>
    <row r="2330" spans="10:12" x14ac:dyDescent="0.25">
      <c r="J2330" t="str">
        <f>IF(H2330="","",IFERROR(VLOOKUP(H2330,Listas!$J$2:$K$1048576,2,FALSE),""))</f>
        <v/>
      </c>
      <c r="K2330" s="5" t="str">
        <f>IF(OR(I2330="",G2330=""),"",IF(G2330="Saída",-I2330,I2330))</f>
        <v/>
      </c>
      <c r="L2330" t="str">
        <f>IF(E2330="","",IFERROR(VLOOKUP(E2330,Listas!$A$2:$C$1048576,3,FALSE),""))</f>
        <v/>
      </c>
    </row>
    <row r="2331" spans="10:12" x14ac:dyDescent="0.25">
      <c r="J2331" t="str">
        <f>IF(H2331="","",IFERROR(VLOOKUP(H2331,Listas!$J$2:$K$1048576,2,FALSE),""))</f>
        <v/>
      </c>
      <c r="K2331" s="5" t="str">
        <f>IF(OR(I2331="",G2331=""),"",IF(G2331="Saída",-I2331,I2331))</f>
        <v/>
      </c>
      <c r="L2331" t="str">
        <f>IF(E2331="","",IFERROR(VLOOKUP(E2331,Listas!$A$2:$C$1048576,3,FALSE),""))</f>
        <v/>
      </c>
    </row>
    <row r="2332" spans="10:12" x14ac:dyDescent="0.25">
      <c r="J2332" t="str">
        <f>IF(H2332="","",IFERROR(VLOOKUP(H2332,Listas!$J$2:$K$1048576,2,FALSE),""))</f>
        <v/>
      </c>
      <c r="K2332" s="5" t="str">
        <f>IF(OR(I2332="",G2332=""),"",IF(G2332="Saída",-I2332,I2332))</f>
        <v/>
      </c>
      <c r="L2332" t="str">
        <f>IF(E2332="","",IFERROR(VLOOKUP(E2332,Listas!$A$2:$C$1048576,3,FALSE),""))</f>
        <v/>
      </c>
    </row>
    <row r="2333" spans="10:12" x14ac:dyDescent="0.25">
      <c r="J2333" t="str">
        <f>IF(H2333="","",IFERROR(VLOOKUP(H2333,Listas!$J$2:$K$1048576,2,FALSE),""))</f>
        <v/>
      </c>
      <c r="K2333" s="5" t="str">
        <f>IF(OR(I2333="",G2333=""),"",IF(G2333="Saída",-I2333,I2333))</f>
        <v/>
      </c>
      <c r="L2333" t="str">
        <f>IF(E2333="","",IFERROR(VLOOKUP(E2333,Listas!$A$2:$C$1048576,3,FALSE),""))</f>
        <v/>
      </c>
    </row>
    <row r="2334" spans="10:12" x14ac:dyDescent="0.25">
      <c r="J2334" t="str">
        <f>IF(H2334="","",IFERROR(VLOOKUP(H2334,Listas!$J$2:$K$1048576,2,FALSE),""))</f>
        <v/>
      </c>
      <c r="K2334" s="5" t="str">
        <f>IF(OR(I2334="",G2334=""),"",IF(G2334="Saída",-I2334,I2334))</f>
        <v/>
      </c>
      <c r="L2334" t="str">
        <f>IF(E2334="","",IFERROR(VLOOKUP(E2334,Listas!$A$2:$C$1048576,3,FALSE),""))</f>
        <v/>
      </c>
    </row>
    <row r="2335" spans="10:12" x14ac:dyDescent="0.25">
      <c r="J2335" t="str">
        <f>IF(H2335="","",IFERROR(VLOOKUP(H2335,Listas!$J$2:$K$1048576,2,FALSE),""))</f>
        <v/>
      </c>
      <c r="K2335" s="5" t="str">
        <f>IF(OR(I2335="",G2335=""),"",IF(G2335="Saída",-I2335,I2335))</f>
        <v/>
      </c>
      <c r="L2335" t="str">
        <f>IF(E2335="","",IFERROR(VLOOKUP(E2335,Listas!$A$2:$C$1048576,3,FALSE),""))</f>
        <v/>
      </c>
    </row>
    <row r="2336" spans="10:12" x14ac:dyDescent="0.25">
      <c r="J2336" t="str">
        <f>IF(H2336="","",IFERROR(VLOOKUP(H2336,Listas!$J$2:$K$1048576,2,FALSE),""))</f>
        <v/>
      </c>
      <c r="K2336" s="5" t="str">
        <f>IF(OR(I2336="",G2336=""),"",IF(G2336="Saída",-I2336,I2336))</f>
        <v/>
      </c>
      <c r="L2336" t="str">
        <f>IF(E2336="","",IFERROR(VLOOKUP(E2336,Listas!$A$2:$C$1048576,3,FALSE),""))</f>
        <v/>
      </c>
    </row>
    <row r="2337" spans="10:12" x14ac:dyDescent="0.25">
      <c r="J2337" t="str">
        <f>IF(H2337="","",IFERROR(VLOOKUP(H2337,Listas!$J$2:$K$1048576,2,FALSE),""))</f>
        <v/>
      </c>
      <c r="K2337" s="5" t="str">
        <f>IF(OR(I2337="",G2337=""),"",IF(G2337="Saída",-I2337,I2337))</f>
        <v/>
      </c>
      <c r="L2337" t="str">
        <f>IF(E2337="","",IFERROR(VLOOKUP(E2337,Listas!$A$2:$C$1048576,3,FALSE),""))</f>
        <v/>
      </c>
    </row>
    <row r="2338" spans="10:12" x14ac:dyDescent="0.25">
      <c r="J2338" t="str">
        <f>IF(H2338="","",IFERROR(VLOOKUP(H2338,Listas!$J$2:$K$1048576,2,FALSE),""))</f>
        <v/>
      </c>
      <c r="K2338" s="5" t="str">
        <f>IF(OR(I2338="",G2338=""),"",IF(G2338="Saída",-I2338,I2338))</f>
        <v/>
      </c>
      <c r="L2338" t="str">
        <f>IF(E2338="","",IFERROR(VLOOKUP(E2338,Listas!$A$2:$C$1048576,3,FALSE),""))</f>
        <v/>
      </c>
    </row>
    <row r="2339" spans="10:12" x14ac:dyDescent="0.25">
      <c r="J2339" t="str">
        <f>IF(H2339="","",IFERROR(VLOOKUP(H2339,Listas!$J$2:$K$1048576,2,FALSE),""))</f>
        <v/>
      </c>
      <c r="K2339" s="5" t="str">
        <f>IF(OR(I2339="",G2339=""),"",IF(G2339="Saída",-I2339,I2339))</f>
        <v/>
      </c>
      <c r="L2339" t="str">
        <f>IF(E2339="","",IFERROR(VLOOKUP(E2339,Listas!$A$2:$C$1048576,3,FALSE),""))</f>
        <v/>
      </c>
    </row>
    <row r="2340" spans="10:12" x14ac:dyDescent="0.25">
      <c r="J2340" t="str">
        <f>IF(H2340="","",IFERROR(VLOOKUP(H2340,Listas!$J$2:$K$1048576,2,FALSE),""))</f>
        <v/>
      </c>
      <c r="K2340" s="5" t="str">
        <f>IF(OR(I2340="",G2340=""),"",IF(G2340="Saída",-I2340,I2340))</f>
        <v/>
      </c>
      <c r="L2340" t="str">
        <f>IF(E2340="","",IFERROR(VLOOKUP(E2340,Listas!$A$2:$C$1048576,3,FALSE),""))</f>
        <v/>
      </c>
    </row>
    <row r="2341" spans="10:12" x14ac:dyDescent="0.25">
      <c r="J2341" t="str">
        <f>IF(H2341="","",IFERROR(VLOOKUP(H2341,Listas!$J$2:$K$1048576,2,FALSE),""))</f>
        <v/>
      </c>
      <c r="K2341" s="5" t="str">
        <f>IF(OR(I2341="",G2341=""),"",IF(G2341="Saída",-I2341,I2341))</f>
        <v/>
      </c>
      <c r="L2341" t="str">
        <f>IF(E2341="","",IFERROR(VLOOKUP(E2341,Listas!$A$2:$C$1048576,3,FALSE),""))</f>
        <v/>
      </c>
    </row>
    <row r="2342" spans="10:12" x14ac:dyDescent="0.25">
      <c r="J2342" t="str">
        <f>IF(H2342="","",IFERROR(VLOOKUP(H2342,Listas!$J$2:$K$1048576,2,FALSE),""))</f>
        <v/>
      </c>
      <c r="K2342" s="5" t="str">
        <f>IF(OR(I2342="",G2342=""),"",IF(G2342="Saída",-I2342,I2342))</f>
        <v/>
      </c>
      <c r="L2342" t="str">
        <f>IF(E2342="","",IFERROR(VLOOKUP(E2342,Listas!$A$2:$C$1048576,3,FALSE),""))</f>
        <v/>
      </c>
    </row>
    <row r="2343" spans="10:12" x14ac:dyDescent="0.25">
      <c r="J2343" t="str">
        <f>IF(H2343="","",IFERROR(VLOOKUP(H2343,Listas!$J$2:$K$1048576,2,FALSE),""))</f>
        <v/>
      </c>
      <c r="K2343" s="5" t="str">
        <f>IF(OR(I2343="",G2343=""),"",IF(G2343="Saída",-I2343,I2343))</f>
        <v/>
      </c>
      <c r="L2343" t="str">
        <f>IF(E2343="","",IFERROR(VLOOKUP(E2343,Listas!$A$2:$C$1048576,3,FALSE),""))</f>
        <v/>
      </c>
    </row>
    <row r="2344" spans="10:12" x14ac:dyDescent="0.25">
      <c r="J2344" t="str">
        <f>IF(H2344="","",IFERROR(VLOOKUP(H2344,Listas!$J$2:$K$1048576,2,FALSE),""))</f>
        <v/>
      </c>
      <c r="K2344" s="5" t="str">
        <f>IF(OR(I2344="",G2344=""),"",IF(G2344="Saída",-I2344,I2344))</f>
        <v/>
      </c>
      <c r="L2344" t="str">
        <f>IF(E2344="","",IFERROR(VLOOKUP(E2344,Listas!$A$2:$C$1048576,3,FALSE),""))</f>
        <v/>
      </c>
    </row>
    <row r="2345" spans="10:12" x14ac:dyDescent="0.25">
      <c r="J2345" t="str">
        <f>IF(H2345="","",IFERROR(VLOOKUP(H2345,Listas!$J$2:$K$1048576,2,FALSE),""))</f>
        <v/>
      </c>
      <c r="K2345" s="5" t="str">
        <f>IF(OR(I2345="",G2345=""),"",IF(G2345="Saída",-I2345,I2345))</f>
        <v/>
      </c>
      <c r="L2345" t="str">
        <f>IF(E2345="","",IFERROR(VLOOKUP(E2345,Listas!$A$2:$C$1048576,3,FALSE),""))</f>
        <v/>
      </c>
    </row>
    <row r="2346" spans="10:12" x14ac:dyDescent="0.25">
      <c r="J2346" t="str">
        <f>IF(H2346="","",IFERROR(VLOOKUP(H2346,Listas!$J$2:$K$1048576,2,FALSE),""))</f>
        <v/>
      </c>
      <c r="K2346" s="5" t="str">
        <f>IF(OR(I2346="",G2346=""),"",IF(G2346="Saída",-I2346,I2346))</f>
        <v/>
      </c>
      <c r="L2346" t="str">
        <f>IF(E2346="","",IFERROR(VLOOKUP(E2346,Listas!$A$2:$C$1048576,3,FALSE),""))</f>
        <v/>
      </c>
    </row>
    <row r="2347" spans="10:12" x14ac:dyDescent="0.25">
      <c r="J2347" t="str">
        <f>IF(H2347="","",IFERROR(VLOOKUP(H2347,Listas!$J$2:$K$1048576,2,FALSE),""))</f>
        <v/>
      </c>
      <c r="K2347" s="5" t="str">
        <f>IF(OR(I2347="",G2347=""),"",IF(G2347="Saída",-I2347,I2347))</f>
        <v/>
      </c>
      <c r="L2347" t="str">
        <f>IF(E2347="","",IFERROR(VLOOKUP(E2347,Listas!$A$2:$C$1048576,3,FALSE),""))</f>
        <v/>
      </c>
    </row>
    <row r="2348" spans="10:12" x14ac:dyDescent="0.25">
      <c r="J2348" t="str">
        <f>IF(H2348="","",IFERROR(VLOOKUP(H2348,Listas!$J$2:$K$1048576,2,FALSE),""))</f>
        <v/>
      </c>
      <c r="K2348" s="5" t="str">
        <f>IF(OR(I2348="",G2348=""),"",IF(G2348="Saída",-I2348,I2348))</f>
        <v/>
      </c>
      <c r="L2348" t="str">
        <f>IF(E2348="","",IFERROR(VLOOKUP(E2348,Listas!$A$2:$C$1048576,3,FALSE),""))</f>
        <v/>
      </c>
    </row>
    <row r="2349" spans="10:12" x14ac:dyDescent="0.25">
      <c r="J2349" t="str">
        <f>IF(H2349="","",IFERROR(VLOOKUP(H2349,Listas!$J$2:$K$1048576,2,FALSE),""))</f>
        <v/>
      </c>
      <c r="K2349" s="5" t="str">
        <f>IF(OR(I2349="",G2349=""),"",IF(G2349="Saída",-I2349,I2349))</f>
        <v/>
      </c>
      <c r="L2349" t="str">
        <f>IF(E2349="","",IFERROR(VLOOKUP(E2349,Listas!$A$2:$C$1048576,3,FALSE),""))</f>
        <v/>
      </c>
    </row>
    <row r="2350" spans="10:12" x14ac:dyDescent="0.25">
      <c r="J2350" t="str">
        <f>IF(H2350="","",IFERROR(VLOOKUP(H2350,Listas!$J$2:$K$1048576,2,FALSE),""))</f>
        <v/>
      </c>
      <c r="K2350" s="5" t="str">
        <f>IF(OR(I2350="",G2350=""),"",IF(G2350="Saída",-I2350,I2350))</f>
        <v/>
      </c>
      <c r="L2350" t="str">
        <f>IF(E2350="","",IFERROR(VLOOKUP(E2350,Listas!$A$2:$C$1048576,3,FALSE),""))</f>
        <v/>
      </c>
    </row>
    <row r="2351" spans="10:12" x14ac:dyDescent="0.25">
      <c r="J2351" t="str">
        <f>IF(H2351="","",IFERROR(VLOOKUP(H2351,Listas!$J$2:$K$1048576,2,FALSE),""))</f>
        <v/>
      </c>
      <c r="K2351" s="5" t="str">
        <f>IF(OR(I2351="",G2351=""),"",IF(G2351="Saída",-I2351,I2351))</f>
        <v/>
      </c>
      <c r="L2351" t="str">
        <f>IF(E2351="","",IFERROR(VLOOKUP(E2351,Listas!$A$2:$C$1048576,3,FALSE),""))</f>
        <v/>
      </c>
    </row>
    <row r="2352" spans="10:12" x14ac:dyDescent="0.25">
      <c r="J2352" t="str">
        <f>IF(H2352="","",IFERROR(VLOOKUP(H2352,Listas!$J$2:$K$1048576,2,FALSE),""))</f>
        <v/>
      </c>
      <c r="K2352" s="5" t="str">
        <f>IF(OR(I2352="",G2352=""),"",IF(G2352="Saída",-I2352,I2352))</f>
        <v/>
      </c>
      <c r="L2352" t="str">
        <f>IF(E2352="","",IFERROR(VLOOKUP(E2352,Listas!$A$2:$C$1048576,3,FALSE),""))</f>
        <v/>
      </c>
    </row>
    <row r="2353" spans="10:12" x14ac:dyDescent="0.25">
      <c r="J2353" t="str">
        <f>IF(H2353="","",IFERROR(VLOOKUP(H2353,Listas!$J$2:$K$1048576,2,FALSE),""))</f>
        <v/>
      </c>
      <c r="K2353" s="5" t="str">
        <f>IF(OR(I2353="",G2353=""),"",IF(G2353="Saída",-I2353,I2353))</f>
        <v/>
      </c>
      <c r="L2353" t="str">
        <f>IF(E2353="","",IFERROR(VLOOKUP(E2353,Listas!$A$2:$C$1048576,3,FALSE),""))</f>
        <v/>
      </c>
    </row>
    <row r="2354" spans="10:12" x14ac:dyDescent="0.25">
      <c r="J2354" t="str">
        <f>IF(H2354="","",IFERROR(VLOOKUP(H2354,Listas!$J$2:$K$1048576,2,FALSE),""))</f>
        <v/>
      </c>
      <c r="K2354" s="5" t="str">
        <f>IF(OR(I2354="",G2354=""),"",IF(G2354="Saída",-I2354,I2354))</f>
        <v/>
      </c>
      <c r="L2354" t="str">
        <f>IF(E2354="","",IFERROR(VLOOKUP(E2354,Listas!$A$2:$C$1048576,3,FALSE),""))</f>
        <v/>
      </c>
    </row>
    <row r="2355" spans="10:12" x14ac:dyDescent="0.25">
      <c r="J2355" t="str">
        <f>IF(H2355="","",IFERROR(VLOOKUP(H2355,Listas!$J$2:$K$1048576,2,FALSE),""))</f>
        <v/>
      </c>
      <c r="K2355" s="5" t="str">
        <f>IF(OR(I2355="",G2355=""),"",IF(G2355="Saída",-I2355,I2355))</f>
        <v/>
      </c>
      <c r="L2355" t="str">
        <f>IF(E2355="","",IFERROR(VLOOKUP(E2355,Listas!$A$2:$C$1048576,3,FALSE),""))</f>
        <v/>
      </c>
    </row>
    <row r="2356" spans="10:12" x14ac:dyDescent="0.25">
      <c r="J2356" t="str">
        <f>IF(H2356="","",IFERROR(VLOOKUP(H2356,Listas!$J$2:$K$1048576,2,FALSE),""))</f>
        <v/>
      </c>
      <c r="K2356" s="5" t="str">
        <f>IF(OR(I2356="",G2356=""),"",IF(G2356="Saída",-I2356,I2356))</f>
        <v/>
      </c>
      <c r="L2356" t="str">
        <f>IF(E2356="","",IFERROR(VLOOKUP(E2356,Listas!$A$2:$C$1048576,3,FALSE),""))</f>
        <v/>
      </c>
    </row>
    <row r="2357" spans="10:12" x14ac:dyDescent="0.25">
      <c r="J2357" t="str">
        <f>IF(H2357="","",IFERROR(VLOOKUP(H2357,Listas!$J$2:$K$1048576,2,FALSE),""))</f>
        <v/>
      </c>
      <c r="K2357" s="5" t="str">
        <f>IF(OR(I2357="",G2357=""),"",IF(G2357="Saída",-I2357,I2357))</f>
        <v/>
      </c>
      <c r="L2357" t="str">
        <f>IF(E2357="","",IFERROR(VLOOKUP(E2357,Listas!$A$2:$C$1048576,3,FALSE),""))</f>
        <v/>
      </c>
    </row>
    <row r="2358" spans="10:12" x14ac:dyDescent="0.25">
      <c r="J2358" t="str">
        <f>IF(H2358="","",IFERROR(VLOOKUP(H2358,Listas!$J$2:$K$1048576,2,FALSE),""))</f>
        <v/>
      </c>
      <c r="K2358" s="5" t="str">
        <f>IF(OR(I2358="",G2358=""),"",IF(G2358="Saída",-I2358,I2358))</f>
        <v/>
      </c>
      <c r="L2358" t="str">
        <f>IF(E2358="","",IFERROR(VLOOKUP(E2358,Listas!$A$2:$C$1048576,3,FALSE),""))</f>
        <v/>
      </c>
    </row>
    <row r="2359" spans="10:12" x14ac:dyDescent="0.25">
      <c r="J2359" t="str">
        <f>IF(H2359="","",IFERROR(VLOOKUP(H2359,Listas!$J$2:$K$1048576,2,FALSE),""))</f>
        <v/>
      </c>
      <c r="K2359" s="5" t="str">
        <f>IF(OR(I2359="",G2359=""),"",IF(G2359="Saída",-I2359,I2359))</f>
        <v/>
      </c>
      <c r="L2359" t="str">
        <f>IF(E2359="","",IFERROR(VLOOKUP(E2359,Listas!$A$2:$C$1048576,3,FALSE),""))</f>
        <v/>
      </c>
    </row>
    <row r="2360" spans="10:12" x14ac:dyDescent="0.25">
      <c r="J2360" t="str">
        <f>IF(H2360="","",IFERROR(VLOOKUP(H2360,Listas!$J$2:$K$1048576,2,FALSE),""))</f>
        <v/>
      </c>
      <c r="K2360" s="5" t="str">
        <f>IF(OR(I2360="",G2360=""),"",IF(G2360="Saída",-I2360,I2360))</f>
        <v/>
      </c>
      <c r="L2360" t="str">
        <f>IF(E2360="","",IFERROR(VLOOKUP(E2360,Listas!$A$2:$C$1048576,3,FALSE),""))</f>
        <v/>
      </c>
    </row>
    <row r="2361" spans="10:12" x14ac:dyDescent="0.25">
      <c r="J2361" t="str">
        <f>IF(H2361="","",IFERROR(VLOOKUP(H2361,Listas!$J$2:$K$1048576,2,FALSE),""))</f>
        <v/>
      </c>
      <c r="K2361" s="5" t="str">
        <f>IF(OR(I2361="",G2361=""),"",IF(G2361="Saída",-I2361,I2361))</f>
        <v/>
      </c>
      <c r="L2361" t="str">
        <f>IF(E2361="","",IFERROR(VLOOKUP(E2361,Listas!$A$2:$C$1048576,3,FALSE),""))</f>
        <v/>
      </c>
    </row>
    <row r="2362" spans="10:12" x14ac:dyDescent="0.25">
      <c r="J2362" t="str">
        <f>IF(H2362="","",IFERROR(VLOOKUP(H2362,Listas!$J$2:$K$1048576,2,FALSE),""))</f>
        <v/>
      </c>
      <c r="K2362" s="5" t="str">
        <f>IF(OR(I2362="",G2362=""),"",IF(G2362="Saída",-I2362,I2362))</f>
        <v/>
      </c>
      <c r="L2362" t="str">
        <f>IF(E2362="","",IFERROR(VLOOKUP(E2362,Listas!$A$2:$C$1048576,3,FALSE),""))</f>
        <v/>
      </c>
    </row>
    <row r="2363" spans="10:12" x14ac:dyDescent="0.25">
      <c r="J2363" t="str">
        <f>IF(H2363="","",IFERROR(VLOOKUP(H2363,Listas!$J$2:$K$1048576,2,FALSE),""))</f>
        <v/>
      </c>
      <c r="K2363" s="5" t="str">
        <f>IF(OR(I2363="",G2363=""),"",IF(G2363="Saída",-I2363,I2363))</f>
        <v/>
      </c>
      <c r="L2363" t="str">
        <f>IF(E2363="","",IFERROR(VLOOKUP(E2363,Listas!$A$2:$C$1048576,3,FALSE),""))</f>
        <v/>
      </c>
    </row>
    <row r="2364" spans="10:12" x14ac:dyDescent="0.25">
      <c r="J2364" t="str">
        <f>IF(H2364="","",IFERROR(VLOOKUP(H2364,Listas!$J$2:$K$1048576,2,FALSE),""))</f>
        <v/>
      </c>
      <c r="K2364" s="5" t="str">
        <f>IF(OR(I2364="",G2364=""),"",IF(G2364="Saída",-I2364,I2364))</f>
        <v/>
      </c>
      <c r="L2364" t="str">
        <f>IF(E2364="","",IFERROR(VLOOKUP(E2364,Listas!$A$2:$C$1048576,3,FALSE),""))</f>
        <v/>
      </c>
    </row>
    <row r="2365" spans="10:12" x14ac:dyDescent="0.25">
      <c r="J2365" t="str">
        <f>IF(H2365="","",IFERROR(VLOOKUP(H2365,Listas!$J$2:$K$1048576,2,FALSE),""))</f>
        <v/>
      </c>
      <c r="K2365" s="5" t="str">
        <f>IF(OR(I2365="",G2365=""),"",IF(G2365="Saída",-I2365,I2365))</f>
        <v/>
      </c>
      <c r="L2365" t="str">
        <f>IF(E2365="","",IFERROR(VLOOKUP(E2365,Listas!$A$2:$C$1048576,3,FALSE),""))</f>
        <v/>
      </c>
    </row>
    <row r="2366" spans="10:12" x14ac:dyDescent="0.25">
      <c r="J2366" t="str">
        <f>IF(H2366="","",IFERROR(VLOOKUP(H2366,Listas!$J$2:$K$1048576,2,FALSE),""))</f>
        <v/>
      </c>
      <c r="K2366" s="5" t="str">
        <f>IF(OR(I2366="",G2366=""),"",IF(G2366="Saída",-I2366,I2366))</f>
        <v/>
      </c>
      <c r="L2366" t="str">
        <f>IF(E2366="","",IFERROR(VLOOKUP(E2366,Listas!$A$2:$C$1048576,3,FALSE),""))</f>
        <v/>
      </c>
    </row>
    <row r="2367" spans="10:12" x14ac:dyDescent="0.25">
      <c r="J2367" t="str">
        <f>IF(H2367="","",IFERROR(VLOOKUP(H2367,Listas!$J$2:$K$1048576,2,FALSE),""))</f>
        <v/>
      </c>
      <c r="K2367" s="5" t="str">
        <f>IF(OR(I2367="",G2367=""),"",IF(G2367="Saída",-I2367,I2367))</f>
        <v/>
      </c>
      <c r="L2367" t="str">
        <f>IF(E2367="","",IFERROR(VLOOKUP(E2367,Listas!$A$2:$C$1048576,3,FALSE),""))</f>
        <v/>
      </c>
    </row>
    <row r="2368" spans="10:12" x14ac:dyDescent="0.25">
      <c r="J2368" t="str">
        <f>IF(H2368="","",IFERROR(VLOOKUP(H2368,Listas!$J$2:$K$1048576,2,FALSE),""))</f>
        <v/>
      </c>
      <c r="K2368" s="5" t="str">
        <f>IF(OR(I2368="",G2368=""),"",IF(G2368="Saída",-I2368,I2368))</f>
        <v/>
      </c>
      <c r="L2368" t="str">
        <f>IF(E2368="","",IFERROR(VLOOKUP(E2368,Listas!$A$2:$C$1048576,3,FALSE),""))</f>
        <v/>
      </c>
    </row>
    <row r="2369" spans="10:12" x14ac:dyDescent="0.25">
      <c r="J2369" t="str">
        <f>IF(H2369="","",IFERROR(VLOOKUP(H2369,Listas!$J$2:$K$1048576,2,FALSE),""))</f>
        <v/>
      </c>
      <c r="K2369" s="5" t="str">
        <f>IF(OR(I2369="",G2369=""),"",IF(G2369="Saída",-I2369,I2369))</f>
        <v/>
      </c>
      <c r="L2369" t="str">
        <f>IF(E2369="","",IFERROR(VLOOKUP(E2369,Listas!$A$2:$C$1048576,3,FALSE),""))</f>
        <v/>
      </c>
    </row>
    <row r="2370" spans="10:12" x14ac:dyDescent="0.25">
      <c r="J2370" t="str">
        <f>IF(H2370="","",IFERROR(VLOOKUP(H2370,Listas!$J$2:$K$1048576,2,FALSE),""))</f>
        <v/>
      </c>
      <c r="K2370" s="5" t="str">
        <f>IF(OR(I2370="",G2370=""),"",IF(G2370="Saída",-I2370,I2370))</f>
        <v/>
      </c>
      <c r="L2370" t="str">
        <f>IF(E2370="","",IFERROR(VLOOKUP(E2370,Listas!$A$2:$C$1048576,3,FALSE),""))</f>
        <v/>
      </c>
    </row>
    <row r="2371" spans="10:12" x14ac:dyDescent="0.25">
      <c r="J2371" t="str">
        <f>IF(H2371="","",IFERROR(VLOOKUP(H2371,Listas!$J$2:$K$1048576,2,FALSE),""))</f>
        <v/>
      </c>
      <c r="K2371" s="5" t="str">
        <f>IF(OR(I2371="",G2371=""),"",IF(G2371="Saída",-I2371,I2371))</f>
        <v/>
      </c>
      <c r="L2371" t="str">
        <f>IF(E2371="","",IFERROR(VLOOKUP(E2371,Listas!$A$2:$C$1048576,3,FALSE),""))</f>
        <v/>
      </c>
    </row>
    <row r="2372" spans="10:12" x14ac:dyDescent="0.25">
      <c r="J2372" t="str">
        <f>IF(H2372="","",IFERROR(VLOOKUP(H2372,Listas!$J$2:$K$1048576,2,FALSE),""))</f>
        <v/>
      </c>
      <c r="K2372" s="5" t="str">
        <f>IF(OR(I2372="",G2372=""),"",IF(G2372="Saída",-I2372,I2372))</f>
        <v/>
      </c>
      <c r="L2372" t="str">
        <f>IF(E2372="","",IFERROR(VLOOKUP(E2372,Listas!$A$2:$C$1048576,3,FALSE),""))</f>
        <v/>
      </c>
    </row>
    <row r="2373" spans="10:12" x14ac:dyDescent="0.25">
      <c r="J2373" t="str">
        <f>IF(H2373="","",IFERROR(VLOOKUP(H2373,Listas!$J$2:$K$1048576,2,FALSE),""))</f>
        <v/>
      </c>
      <c r="K2373" s="5" t="str">
        <f>IF(OR(I2373="",G2373=""),"",IF(G2373="Saída",-I2373,I2373))</f>
        <v/>
      </c>
      <c r="L2373" t="str">
        <f>IF(E2373="","",IFERROR(VLOOKUP(E2373,Listas!$A$2:$C$1048576,3,FALSE),""))</f>
        <v/>
      </c>
    </row>
    <row r="2374" spans="10:12" x14ac:dyDescent="0.25">
      <c r="J2374" t="str">
        <f>IF(H2374="","",IFERROR(VLOOKUP(H2374,Listas!$J$2:$K$1048576,2,FALSE),""))</f>
        <v/>
      </c>
      <c r="K2374" s="5" t="str">
        <f>IF(OR(I2374="",G2374=""),"",IF(G2374="Saída",-I2374,I2374))</f>
        <v/>
      </c>
      <c r="L2374" t="str">
        <f>IF(E2374="","",IFERROR(VLOOKUP(E2374,Listas!$A$2:$C$1048576,3,FALSE),""))</f>
        <v/>
      </c>
    </row>
    <row r="2375" spans="10:12" x14ac:dyDescent="0.25">
      <c r="J2375" t="str">
        <f>IF(H2375="","",IFERROR(VLOOKUP(H2375,Listas!$J$2:$K$1048576,2,FALSE),""))</f>
        <v/>
      </c>
      <c r="K2375" s="5" t="str">
        <f>IF(OR(I2375="",G2375=""),"",IF(G2375="Saída",-I2375,I2375))</f>
        <v/>
      </c>
      <c r="L2375" t="str">
        <f>IF(E2375="","",IFERROR(VLOOKUP(E2375,Listas!$A$2:$C$1048576,3,FALSE),""))</f>
        <v/>
      </c>
    </row>
    <row r="2376" spans="10:12" x14ac:dyDescent="0.25">
      <c r="J2376" t="str">
        <f>IF(H2376="","",IFERROR(VLOOKUP(H2376,Listas!$J$2:$K$1048576,2,FALSE),""))</f>
        <v/>
      </c>
      <c r="K2376" s="5" t="str">
        <f>IF(OR(I2376="",G2376=""),"",IF(G2376="Saída",-I2376,I2376))</f>
        <v/>
      </c>
      <c r="L2376" t="str">
        <f>IF(E2376="","",IFERROR(VLOOKUP(E2376,Listas!$A$2:$C$1048576,3,FALSE),""))</f>
        <v/>
      </c>
    </row>
    <row r="2377" spans="10:12" x14ac:dyDescent="0.25">
      <c r="J2377" t="str">
        <f>IF(H2377="","",IFERROR(VLOOKUP(H2377,Listas!$J$2:$K$1048576,2,FALSE),""))</f>
        <v/>
      </c>
      <c r="K2377" s="5" t="str">
        <f>IF(OR(I2377="",G2377=""),"",IF(G2377="Saída",-I2377,I2377))</f>
        <v/>
      </c>
      <c r="L2377" t="str">
        <f>IF(E2377="","",IFERROR(VLOOKUP(E2377,Listas!$A$2:$C$1048576,3,FALSE),""))</f>
        <v/>
      </c>
    </row>
    <row r="2378" spans="10:12" x14ac:dyDescent="0.25">
      <c r="J2378" t="str">
        <f>IF(H2378="","",IFERROR(VLOOKUP(H2378,Listas!$J$2:$K$1048576,2,FALSE),""))</f>
        <v/>
      </c>
      <c r="K2378" s="5" t="str">
        <f>IF(OR(I2378="",G2378=""),"",IF(G2378="Saída",-I2378,I2378))</f>
        <v/>
      </c>
      <c r="L2378" t="str">
        <f>IF(E2378="","",IFERROR(VLOOKUP(E2378,Listas!$A$2:$C$1048576,3,FALSE),""))</f>
        <v/>
      </c>
    </row>
    <row r="2379" spans="10:12" x14ac:dyDescent="0.25">
      <c r="J2379" t="str">
        <f>IF(H2379="","",IFERROR(VLOOKUP(H2379,Listas!$J$2:$K$1048576,2,FALSE),""))</f>
        <v/>
      </c>
      <c r="K2379" s="5" t="str">
        <f>IF(OR(I2379="",G2379=""),"",IF(G2379="Saída",-I2379,I2379))</f>
        <v/>
      </c>
      <c r="L2379" t="str">
        <f>IF(E2379="","",IFERROR(VLOOKUP(E2379,Listas!$A$2:$C$1048576,3,FALSE),""))</f>
        <v/>
      </c>
    </row>
    <row r="2380" spans="10:12" x14ac:dyDescent="0.25">
      <c r="J2380" t="str">
        <f>IF(H2380="","",IFERROR(VLOOKUP(H2380,Listas!$J$2:$K$1048576,2,FALSE),""))</f>
        <v/>
      </c>
      <c r="K2380" s="5" t="str">
        <f>IF(OR(I2380="",G2380=""),"",IF(G2380="Saída",-I2380,I2380))</f>
        <v/>
      </c>
      <c r="L2380" t="str">
        <f>IF(E2380="","",IFERROR(VLOOKUP(E2380,Listas!$A$2:$C$1048576,3,FALSE),""))</f>
        <v/>
      </c>
    </row>
    <row r="2381" spans="10:12" x14ac:dyDescent="0.25">
      <c r="J2381" t="str">
        <f>IF(H2381="","",IFERROR(VLOOKUP(H2381,Listas!$J$2:$K$1048576,2,FALSE),""))</f>
        <v/>
      </c>
      <c r="K2381" s="5" t="str">
        <f>IF(OR(I2381="",G2381=""),"",IF(G2381="Saída",-I2381,I2381))</f>
        <v/>
      </c>
      <c r="L2381" t="str">
        <f>IF(E2381="","",IFERROR(VLOOKUP(E2381,Listas!$A$2:$C$1048576,3,FALSE),""))</f>
        <v/>
      </c>
    </row>
    <row r="2382" spans="10:12" x14ac:dyDescent="0.25">
      <c r="J2382" t="str">
        <f>IF(H2382="","",IFERROR(VLOOKUP(H2382,Listas!$J$2:$K$1048576,2,FALSE),""))</f>
        <v/>
      </c>
      <c r="K2382" s="5" t="str">
        <f>IF(OR(I2382="",G2382=""),"",IF(G2382="Saída",-I2382,I2382))</f>
        <v/>
      </c>
      <c r="L2382" t="str">
        <f>IF(E2382="","",IFERROR(VLOOKUP(E2382,Listas!$A$2:$C$1048576,3,FALSE),""))</f>
        <v/>
      </c>
    </row>
    <row r="2383" spans="10:12" x14ac:dyDescent="0.25">
      <c r="J2383" t="str">
        <f>IF(H2383="","",IFERROR(VLOOKUP(H2383,Listas!$J$2:$K$1048576,2,FALSE),""))</f>
        <v/>
      </c>
      <c r="K2383" s="5" t="str">
        <f>IF(OR(I2383="",G2383=""),"",IF(G2383="Saída",-I2383,I2383))</f>
        <v/>
      </c>
      <c r="L2383" t="str">
        <f>IF(E2383="","",IFERROR(VLOOKUP(E2383,Listas!$A$2:$C$1048576,3,FALSE),""))</f>
        <v/>
      </c>
    </row>
    <row r="2384" spans="10:12" x14ac:dyDescent="0.25">
      <c r="J2384" t="str">
        <f>IF(H2384="","",IFERROR(VLOOKUP(H2384,Listas!$J$2:$K$1048576,2,FALSE),""))</f>
        <v/>
      </c>
      <c r="K2384" s="5" t="str">
        <f>IF(OR(I2384="",G2384=""),"",IF(G2384="Saída",-I2384,I2384))</f>
        <v/>
      </c>
      <c r="L2384" t="str">
        <f>IF(E2384="","",IFERROR(VLOOKUP(E2384,Listas!$A$2:$C$1048576,3,FALSE),""))</f>
        <v/>
      </c>
    </row>
    <row r="2385" spans="10:12" x14ac:dyDescent="0.25">
      <c r="J2385" t="str">
        <f>IF(H2385="","",IFERROR(VLOOKUP(H2385,Listas!$J$2:$K$1048576,2,FALSE),""))</f>
        <v/>
      </c>
      <c r="K2385" s="5" t="str">
        <f>IF(OR(I2385="",G2385=""),"",IF(G2385="Saída",-I2385,I2385))</f>
        <v/>
      </c>
      <c r="L2385" t="str">
        <f>IF(E2385="","",IFERROR(VLOOKUP(E2385,Listas!$A$2:$C$1048576,3,FALSE),""))</f>
        <v/>
      </c>
    </row>
    <row r="2386" spans="10:12" x14ac:dyDescent="0.25">
      <c r="J2386" t="str">
        <f>IF(H2386="","",IFERROR(VLOOKUP(H2386,Listas!$J$2:$K$1048576,2,FALSE),""))</f>
        <v/>
      </c>
      <c r="K2386" s="5" t="str">
        <f>IF(OR(I2386="",G2386=""),"",IF(G2386="Saída",-I2386,I2386))</f>
        <v/>
      </c>
      <c r="L2386" t="str">
        <f>IF(E2386="","",IFERROR(VLOOKUP(E2386,Listas!$A$2:$C$1048576,3,FALSE),""))</f>
        <v/>
      </c>
    </row>
    <row r="2387" spans="10:12" x14ac:dyDescent="0.25">
      <c r="J2387" t="str">
        <f>IF(H2387="","",IFERROR(VLOOKUP(H2387,Listas!$J$2:$K$1048576,2,FALSE),""))</f>
        <v/>
      </c>
      <c r="K2387" s="5" t="str">
        <f>IF(OR(I2387="",G2387=""),"",IF(G2387="Saída",-I2387,I2387))</f>
        <v/>
      </c>
      <c r="L2387" t="str">
        <f>IF(E2387="","",IFERROR(VLOOKUP(E2387,Listas!$A$2:$C$1048576,3,FALSE),""))</f>
        <v/>
      </c>
    </row>
    <row r="2388" spans="10:12" x14ac:dyDescent="0.25">
      <c r="J2388" t="str">
        <f>IF(H2388="","",IFERROR(VLOOKUP(H2388,Listas!$J$2:$K$1048576,2,FALSE),""))</f>
        <v/>
      </c>
      <c r="K2388" s="5" t="str">
        <f>IF(OR(I2388="",G2388=""),"",IF(G2388="Saída",-I2388,I2388))</f>
        <v/>
      </c>
      <c r="L2388" t="str">
        <f>IF(E2388="","",IFERROR(VLOOKUP(E2388,Listas!$A$2:$C$1048576,3,FALSE),""))</f>
        <v/>
      </c>
    </row>
    <row r="2389" spans="10:12" x14ac:dyDescent="0.25">
      <c r="J2389" t="str">
        <f>IF(H2389="","",IFERROR(VLOOKUP(H2389,Listas!$J$2:$K$1048576,2,FALSE),""))</f>
        <v/>
      </c>
      <c r="K2389" s="5" t="str">
        <f>IF(OR(I2389="",G2389=""),"",IF(G2389="Saída",-I2389,I2389))</f>
        <v/>
      </c>
      <c r="L2389" t="str">
        <f>IF(E2389="","",IFERROR(VLOOKUP(E2389,Listas!$A$2:$C$1048576,3,FALSE),""))</f>
        <v/>
      </c>
    </row>
    <row r="2390" spans="10:12" x14ac:dyDescent="0.25">
      <c r="J2390" t="str">
        <f>IF(H2390="","",IFERROR(VLOOKUP(H2390,Listas!$J$2:$K$1048576,2,FALSE),""))</f>
        <v/>
      </c>
      <c r="K2390" s="5" t="str">
        <f>IF(OR(I2390="",G2390=""),"",IF(G2390="Saída",-I2390,I2390))</f>
        <v/>
      </c>
      <c r="L2390" t="str">
        <f>IF(E2390="","",IFERROR(VLOOKUP(E2390,Listas!$A$2:$C$1048576,3,FALSE),""))</f>
        <v/>
      </c>
    </row>
    <row r="2391" spans="10:12" x14ac:dyDescent="0.25">
      <c r="J2391" t="str">
        <f>IF(H2391="","",IFERROR(VLOOKUP(H2391,Listas!$J$2:$K$1048576,2,FALSE),""))</f>
        <v/>
      </c>
      <c r="K2391" s="5" t="str">
        <f>IF(OR(I2391="",G2391=""),"",IF(G2391="Saída",-I2391,I2391))</f>
        <v/>
      </c>
      <c r="L2391" t="str">
        <f>IF(E2391="","",IFERROR(VLOOKUP(E2391,Listas!$A$2:$C$1048576,3,FALSE),""))</f>
        <v/>
      </c>
    </row>
    <row r="2392" spans="10:12" x14ac:dyDescent="0.25">
      <c r="J2392" t="str">
        <f>IF(H2392="","",IFERROR(VLOOKUP(H2392,Listas!$J$2:$K$1048576,2,FALSE),""))</f>
        <v/>
      </c>
      <c r="K2392" s="5" t="str">
        <f>IF(OR(I2392="",G2392=""),"",IF(G2392="Saída",-I2392,I2392))</f>
        <v/>
      </c>
      <c r="L2392" t="str">
        <f>IF(E2392="","",IFERROR(VLOOKUP(E2392,Listas!$A$2:$C$1048576,3,FALSE),""))</f>
        <v/>
      </c>
    </row>
    <row r="2393" spans="10:12" x14ac:dyDescent="0.25">
      <c r="J2393" t="str">
        <f>IF(H2393="","",IFERROR(VLOOKUP(H2393,Listas!$J$2:$K$1048576,2,FALSE),""))</f>
        <v/>
      </c>
      <c r="K2393" s="5" t="str">
        <f>IF(OR(I2393="",G2393=""),"",IF(G2393="Saída",-I2393,I2393))</f>
        <v/>
      </c>
      <c r="L2393" t="str">
        <f>IF(E2393="","",IFERROR(VLOOKUP(E2393,Listas!$A$2:$C$1048576,3,FALSE),""))</f>
        <v/>
      </c>
    </row>
    <row r="2394" spans="10:12" x14ac:dyDescent="0.25">
      <c r="J2394" t="str">
        <f>IF(H2394="","",IFERROR(VLOOKUP(H2394,Listas!$J$2:$K$1048576,2,FALSE),""))</f>
        <v/>
      </c>
      <c r="K2394" s="5" t="str">
        <f>IF(OR(I2394="",G2394=""),"",IF(G2394="Saída",-I2394,I2394))</f>
        <v/>
      </c>
      <c r="L2394" t="str">
        <f>IF(E2394="","",IFERROR(VLOOKUP(E2394,Listas!$A$2:$C$1048576,3,FALSE),""))</f>
        <v/>
      </c>
    </row>
    <row r="2395" spans="10:12" x14ac:dyDescent="0.25">
      <c r="J2395" t="str">
        <f>IF(H2395="","",IFERROR(VLOOKUP(H2395,Listas!$J$2:$K$1048576,2,FALSE),""))</f>
        <v/>
      </c>
      <c r="K2395" s="5" t="str">
        <f>IF(OR(I2395="",G2395=""),"",IF(G2395="Saída",-I2395,I2395))</f>
        <v/>
      </c>
      <c r="L2395" t="str">
        <f>IF(E2395="","",IFERROR(VLOOKUP(E2395,Listas!$A$2:$C$1048576,3,FALSE),""))</f>
        <v/>
      </c>
    </row>
    <row r="2396" spans="10:12" x14ac:dyDescent="0.25">
      <c r="J2396" t="str">
        <f>IF(H2396="","",IFERROR(VLOOKUP(H2396,Listas!$J$2:$K$1048576,2,FALSE),""))</f>
        <v/>
      </c>
      <c r="K2396" s="5" t="str">
        <f>IF(OR(I2396="",G2396=""),"",IF(G2396="Saída",-I2396,I2396))</f>
        <v/>
      </c>
      <c r="L2396" t="str">
        <f>IF(E2396="","",IFERROR(VLOOKUP(E2396,Listas!$A$2:$C$1048576,3,FALSE),""))</f>
        <v/>
      </c>
    </row>
    <row r="2397" spans="10:12" x14ac:dyDescent="0.25">
      <c r="J2397" t="str">
        <f>IF(H2397="","",IFERROR(VLOOKUP(H2397,Listas!$J$2:$K$1048576,2,FALSE),""))</f>
        <v/>
      </c>
      <c r="K2397" s="5" t="str">
        <f>IF(OR(I2397="",G2397=""),"",IF(G2397="Saída",-I2397,I2397))</f>
        <v/>
      </c>
      <c r="L2397" t="str">
        <f>IF(E2397="","",IFERROR(VLOOKUP(E2397,Listas!$A$2:$C$1048576,3,FALSE),""))</f>
        <v/>
      </c>
    </row>
    <row r="2398" spans="10:12" x14ac:dyDescent="0.25">
      <c r="J2398" t="str">
        <f>IF(H2398="","",IFERROR(VLOOKUP(H2398,Listas!$J$2:$K$1048576,2,FALSE),""))</f>
        <v/>
      </c>
      <c r="K2398" s="5" t="str">
        <f>IF(OR(I2398="",G2398=""),"",IF(G2398="Saída",-I2398,I2398))</f>
        <v/>
      </c>
      <c r="L2398" t="str">
        <f>IF(E2398="","",IFERROR(VLOOKUP(E2398,Listas!$A$2:$C$1048576,3,FALSE),""))</f>
        <v/>
      </c>
    </row>
    <row r="2399" spans="10:12" x14ac:dyDescent="0.25">
      <c r="J2399" t="str">
        <f>IF(H2399="","",IFERROR(VLOOKUP(H2399,Listas!$J$2:$K$1048576,2,FALSE),""))</f>
        <v/>
      </c>
      <c r="K2399" s="5" t="str">
        <f>IF(OR(I2399="",G2399=""),"",IF(G2399="Saída",-I2399,I2399))</f>
        <v/>
      </c>
      <c r="L2399" t="str">
        <f>IF(E2399="","",IFERROR(VLOOKUP(E2399,Listas!$A$2:$C$1048576,3,FALSE),""))</f>
        <v/>
      </c>
    </row>
    <row r="2400" spans="10:12" x14ac:dyDescent="0.25">
      <c r="J2400" t="str">
        <f>IF(H2400="","",IFERROR(VLOOKUP(H2400,Listas!$J$2:$K$1048576,2,FALSE),""))</f>
        <v/>
      </c>
      <c r="K2400" s="5" t="str">
        <f>IF(OR(I2400="",G2400=""),"",IF(G2400="Saída",-I2400,I2400))</f>
        <v/>
      </c>
      <c r="L2400" t="str">
        <f>IF(E2400="","",IFERROR(VLOOKUP(E2400,Listas!$A$2:$C$1048576,3,FALSE),""))</f>
        <v/>
      </c>
    </row>
    <row r="2401" spans="10:12" x14ac:dyDescent="0.25">
      <c r="J2401" t="str">
        <f>IF(H2401="","",IFERROR(VLOOKUP(H2401,Listas!$J$2:$K$1048576,2,FALSE),""))</f>
        <v/>
      </c>
      <c r="K2401" s="5" t="str">
        <f>IF(OR(I2401="",G2401=""),"",IF(G2401="Saída",-I2401,I2401))</f>
        <v/>
      </c>
      <c r="L2401" t="str">
        <f>IF(E2401="","",IFERROR(VLOOKUP(E2401,Listas!$A$2:$C$1048576,3,FALSE),""))</f>
        <v/>
      </c>
    </row>
    <row r="2402" spans="10:12" x14ac:dyDescent="0.25">
      <c r="J2402" t="str">
        <f>IF(H2402="","",IFERROR(VLOOKUP(H2402,Listas!$J$2:$K$1048576,2,FALSE),""))</f>
        <v/>
      </c>
      <c r="K2402" s="5" t="str">
        <f>IF(OR(I2402="",G2402=""),"",IF(G2402="Saída",-I2402,I2402))</f>
        <v/>
      </c>
      <c r="L2402" t="str">
        <f>IF(E2402="","",IFERROR(VLOOKUP(E2402,Listas!$A$2:$C$1048576,3,FALSE),""))</f>
        <v/>
      </c>
    </row>
    <row r="2403" spans="10:12" x14ac:dyDescent="0.25">
      <c r="J2403" t="str">
        <f>IF(H2403="","",IFERROR(VLOOKUP(H2403,Listas!$J$2:$K$1048576,2,FALSE),""))</f>
        <v/>
      </c>
      <c r="K2403" s="5" t="str">
        <f>IF(OR(I2403="",G2403=""),"",IF(G2403="Saída",-I2403,I2403))</f>
        <v/>
      </c>
      <c r="L2403" t="str">
        <f>IF(E2403="","",IFERROR(VLOOKUP(E2403,Listas!$A$2:$C$1048576,3,FALSE),""))</f>
        <v/>
      </c>
    </row>
    <row r="2404" spans="10:12" x14ac:dyDescent="0.25">
      <c r="J2404" t="str">
        <f>IF(H2404="","",IFERROR(VLOOKUP(H2404,Listas!$J$2:$K$1048576,2,FALSE),""))</f>
        <v/>
      </c>
      <c r="K2404" s="5" t="str">
        <f>IF(OR(I2404="",G2404=""),"",IF(G2404="Saída",-I2404,I2404))</f>
        <v/>
      </c>
      <c r="L2404" t="str">
        <f>IF(E2404="","",IFERROR(VLOOKUP(E2404,Listas!$A$2:$C$1048576,3,FALSE),""))</f>
        <v/>
      </c>
    </row>
    <row r="2405" spans="10:12" x14ac:dyDescent="0.25">
      <c r="J2405" t="str">
        <f>IF(H2405="","",IFERROR(VLOOKUP(H2405,Listas!$J$2:$K$1048576,2,FALSE),""))</f>
        <v/>
      </c>
      <c r="K2405" s="5" t="str">
        <f>IF(OR(I2405="",G2405=""),"",IF(G2405="Saída",-I2405,I2405))</f>
        <v/>
      </c>
      <c r="L2405" t="str">
        <f>IF(E2405="","",IFERROR(VLOOKUP(E2405,Listas!$A$2:$C$1048576,3,FALSE),""))</f>
        <v/>
      </c>
    </row>
    <row r="2406" spans="10:12" x14ac:dyDescent="0.25">
      <c r="J2406" t="str">
        <f>IF(H2406="","",IFERROR(VLOOKUP(H2406,Listas!$J$2:$K$1048576,2,FALSE),""))</f>
        <v/>
      </c>
      <c r="K2406" s="5" t="str">
        <f>IF(OR(I2406="",G2406=""),"",IF(G2406="Saída",-I2406,I2406))</f>
        <v/>
      </c>
      <c r="L2406" t="str">
        <f>IF(E2406="","",IFERROR(VLOOKUP(E2406,Listas!$A$2:$C$1048576,3,FALSE),""))</f>
        <v/>
      </c>
    </row>
    <row r="2407" spans="10:12" x14ac:dyDescent="0.25">
      <c r="J2407" t="str">
        <f>IF(H2407="","",IFERROR(VLOOKUP(H2407,Listas!$J$2:$K$1048576,2,FALSE),""))</f>
        <v/>
      </c>
      <c r="K2407" s="5" t="str">
        <f>IF(OR(I2407="",G2407=""),"",IF(G2407="Saída",-I2407,I2407))</f>
        <v/>
      </c>
      <c r="L2407" t="str">
        <f>IF(E2407="","",IFERROR(VLOOKUP(E2407,Listas!$A$2:$C$1048576,3,FALSE),""))</f>
        <v/>
      </c>
    </row>
    <row r="2408" spans="10:12" x14ac:dyDescent="0.25">
      <c r="J2408" t="str">
        <f>IF(H2408="","",IFERROR(VLOOKUP(H2408,Listas!$J$2:$K$1048576,2,FALSE),""))</f>
        <v/>
      </c>
      <c r="K2408" s="5" t="str">
        <f>IF(OR(I2408="",G2408=""),"",IF(G2408="Saída",-I2408,I2408))</f>
        <v/>
      </c>
      <c r="L2408" t="str">
        <f>IF(E2408="","",IFERROR(VLOOKUP(E2408,Listas!$A$2:$C$1048576,3,FALSE),""))</f>
        <v/>
      </c>
    </row>
    <row r="2409" spans="10:12" x14ac:dyDescent="0.25">
      <c r="J2409" t="str">
        <f>IF(H2409="","",IFERROR(VLOOKUP(H2409,Listas!$J$2:$K$1048576,2,FALSE),""))</f>
        <v/>
      </c>
      <c r="K2409" s="5" t="str">
        <f>IF(OR(I2409="",G2409=""),"",IF(G2409="Saída",-I2409,I2409))</f>
        <v/>
      </c>
      <c r="L2409" t="str">
        <f>IF(E2409="","",IFERROR(VLOOKUP(E2409,Listas!$A$2:$C$1048576,3,FALSE),""))</f>
        <v/>
      </c>
    </row>
    <row r="2410" spans="10:12" x14ac:dyDescent="0.25">
      <c r="J2410" t="str">
        <f>IF(H2410="","",IFERROR(VLOOKUP(H2410,Listas!$J$2:$K$1048576,2,FALSE),""))</f>
        <v/>
      </c>
      <c r="K2410" s="5" t="str">
        <f>IF(OR(I2410="",G2410=""),"",IF(G2410="Saída",-I2410,I2410))</f>
        <v/>
      </c>
      <c r="L2410" t="str">
        <f>IF(E2410="","",IFERROR(VLOOKUP(E2410,Listas!$A$2:$C$1048576,3,FALSE),""))</f>
        <v/>
      </c>
    </row>
    <row r="2411" spans="10:12" x14ac:dyDescent="0.25">
      <c r="J2411" t="str">
        <f>IF(H2411="","",IFERROR(VLOOKUP(H2411,Listas!$J$2:$K$1048576,2,FALSE),""))</f>
        <v/>
      </c>
      <c r="K2411" s="5" t="str">
        <f>IF(OR(I2411="",G2411=""),"",IF(G2411="Saída",-I2411,I2411))</f>
        <v/>
      </c>
      <c r="L2411" t="str">
        <f>IF(E2411="","",IFERROR(VLOOKUP(E2411,Listas!$A$2:$C$1048576,3,FALSE),""))</f>
        <v/>
      </c>
    </row>
    <row r="2412" spans="10:12" x14ac:dyDescent="0.25">
      <c r="J2412" t="str">
        <f>IF(H2412="","",IFERROR(VLOOKUP(H2412,Listas!$J$2:$K$1048576,2,FALSE),""))</f>
        <v/>
      </c>
      <c r="K2412" s="5" t="str">
        <f>IF(OR(I2412="",G2412=""),"",IF(G2412="Saída",-I2412,I2412))</f>
        <v/>
      </c>
      <c r="L2412" t="str">
        <f>IF(E2412="","",IFERROR(VLOOKUP(E2412,Listas!$A$2:$C$1048576,3,FALSE),""))</f>
        <v/>
      </c>
    </row>
    <row r="2413" spans="10:12" x14ac:dyDescent="0.25">
      <c r="J2413" t="str">
        <f>IF(H2413="","",IFERROR(VLOOKUP(H2413,Listas!$J$2:$K$1048576,2,FALSE),""))</f>
        <v/>
      </c>
      <c r="K2413" s="5" t="str">
        <f>IF(OR(I2413="",G2413=""),"",IF(G2413="Saída",-I2413,I2413))</f>
        <v/>
      </c>
      <c r="L2413" t="str">
        <f>IF(E2413="","",IFERROR(VLOOKUP(E2413,Listas!$A$2:$C$1048576,3,FALSE),""))</f>
        <v/>
      </c>
    </row>
    <row r="2414" spans="10:12" x14ac:dyDescent="0.25">
      <c r="J2414" t="str">
        <f>IF(H2414="","",IFERROR(VLOOKUP(H2414,Listas!$J$2:$K$1048576,2,FALSE),""))</f>
        <v/>
      </c>
      <c r="K2414" s="5" t="str">
        <f>IF(OR(I2414="",G2414=""),"",IF(G2414="Saída",-I2414,I2414))</f>
        <v/>
      </c>
      <c r="L2414" t="str">
        <f>IF(E2414="","",IFERROR(VLOOKUP(E2414,Listas!$A$2:$C$1048576,3,FALSE),""))</f>
        <v/>
      </c>
    </row>
    <row r="2415" spans="10:12" x14ac:dyDescent="0.25">
      <c r="J2415" t="str">
        <f>IF(H2415="","",IFERROR(VLOOKUP(H2415,Listas!$J$2:$K$1048576,2,FALSE),""))</f>
        <v/>
      </c>
      <c r="K2415" s="5" t="str">
        <f>IF(OR(I2415="",G2415=""),"",IF(G2415="Saída",-I2415,I2415))</f>
        <v/>
      </c>
      <c r="L2415" t="str">
        <f>IF(E2415="","",IFERROR(VLOOKUP(E2415,Listas!$A$2:$C$1048576,3,FALSE),""))</f>
        <v/>
      </c>
    </row>
    <row r="2416" spans="10:12" x14ac:dyDescent="0.25">
      <c r="J2416" t="str">
        <f>IF(H2416="","",IFERROR(VLOOKUP(H2416,Listas!$J$2:$K$1048576,2,FALSE),""))</f>
        <v/>
      </c>
      <c r="K2416" s="5" t="str">
        <f>IF(OR(I2416="",G2416=""),"",IF(G2416="Saída",-I2416,I2416))</f>
        <v/>
      </c>
      <c r="L2416" t="str">
        <f>IF(E2416="","",IFERROR(VLOOKUP(E2416,Listas!$A$2:$C$1048576,3,FALSE),""))</f>
        <v/>
      </c>
    </row>
    <row r="2417" spans="10:12" x14ac:dyDescent="0.25">
      <c r="J2417" t="str">
        <f>IF(H2417="","",IFERROR(VLOOKUP(H2417,Listas!$J$2:$K$1048576,2,FALSE),""))</f>
        <v/>
      </c>
      <c r="K2417" s="5" t="str">
        <f>IF(OR(I2417="",G2417=""),"",IF(G2417="Saída",-I2417,I2417))</f>
        <v/>
      </c>
      <c r="L2417" t="str">
        <f>IF(E2417="","",IFERROR(VLOOKUP(E2417,Listas!$A$2:$C$1048576,3,FALSE),""))</f>
        <v/>
      </c>
    </row>
    <row r="2418" spans="10:12" x14ac:dyDescent="0.25">
      <c r="J2418" t="str">
        <f>IF(H2418="","",IFERROR(VLOOKUP(H2418,Listas!$J$2:$K$1048576,2,FALSE),""))</f>
        <v/>
      </c>
      <c r="K2418" s="5" t="str">
        <f>IF(OR(I2418="",G2418=""),"",IF(G2418="Saída",-I2418,I2418))</f>
        <v/>
      </c>
      <c r="L2418" t="str">
        <f>IF(E2418="","",IFERROR(VLOOKUP(E2418,Listas!$A$2:$C$1048576,3,FALSE),""))</f>
        <v/>
      </c>
    </row>
    <row r="2419" spans="10:12" x14ac:dyDescent="0.25">
      <c r="J2419" t="str">
        <f>IF(H2419="","",IFERROR(VLOOKUP(H2419,Listas!$J$2:$K$1048576,2,FALSE),""))</f>
        <v/>
      </c>
      <c r="K2419" s="5" t="str">
        <f>IF(OR(I2419="",G2419=""),"",IF(G2419="Saída",-I2419,I2419))</f>
        <v/>
      </c>
      <c r="L2419" t="str">
        <f>IF(E2419="","",IFERROR(VLOOKUP(E2419,Listas!$A$2:$C$1048576,3,FALSE),""))</f>
        <v/>
      </c>
    </row>
    <row r="2420" spans="10:12" x14ac:dyDescent="0.25">
      <c r="J2420" t="str">
        <f>IF(H2420="","",IFERROR(VLOOKUP(H2420,Listas!$J$2:$K$1048576,2,FALSE),""))</f>
        <v/>
      </c>
      <c r="K2420" s="5" t="str">
        <f>IF(OR(I2420="",G2420=""),"",IF(G2420="Saída",-I2420,I2420))</f>
        <v/>
      </c>
      <c r="L2420" t="str">
        <f>IF(E2420="","",IFERROR(VLOOKUP(E2420,Listas!$A$2:$C$1048576,3,FALSE),""))</f>
        <v/>
      </c>
    </row>
    <row r="2421" spans="10:12" x14ac:dyDescent="0.25">
      <c r="J2421" t="str">
        <f>IF(H2421="","",IFERROR(VLOOKUP(H2421,Listas!$J$2:$K$1048576,2,FALSE),""))</f>
        <v/>
      </c>
      <c r="K2421" s="5" t="str">
        <f>IF(OR(I2421="",G2421=""),"",IF(G2421="Saída",-I2421,I2421))</f>
        <v/>
      </c>
      <c r="L2421" t="str">
        <f>IF(E2421="","",IFERROR(VLOOKUP(E2421,Listas!$A$2:$C$1048576,3,FALSE),""))</f>
        <v/>
      </c>
    </row>
    <row r="2422" spans="10:12" x14ac:dyDescent="0.25">
      <c r="J2422" t="str">
        <f>IF(H2422="","",IFERROR(VLOOKUP(H2422,Listas!$J$2:$K$1048576,2,FALSE),""))</f>
        <v/>
      </c>
      <c r="K2422" s="5" t="str">
        <f>IF(OR(I2422="",G2422=""),"",IF(G2422="Saída",-I2422,I2422))</f>
        <v/>
      </c>
      <c r="L2422" t="str">
        <f>IF(E2422="","",IFERROR(VLOOKUP(E2422,Listas!$A$2:$C$1048576,3,FALSE),""))</f>
        <v/>
      </c>
    </row>
    <row r="2423" spans="10:12" x14ac:dyDescent="0.25">
      <c r="J2423" t="str">
        <f>IF(H2423="","",IFERROR(VLOOKUP(H2423,Listas!$J$2:$K$1048576,2,FALSE),""))</f>
        <v/>
      </c>
      <c r="K2423" s="5" t="str">
        <f>IF(OR(I2423="",G2423=""),"",IF(G2423="Saída",-I2423,I2423))</f>
        <v/>
      </c>
      <c r="L2423" t="str">
        <f>IF(E2423="","",IFERROR(VLOOKUP(E2423,Listas!$A$2:$C$1048576,3,FALSE),""))</f>
        <v/>
      </c>
    </row>
    <row r="2424" spans="10:12" x14ac:dyDescent="0.25">
      <c r="J2424" t="str">
        <f>IF(H2424="","",IFERROR(VLOOKUP(H2424,Listas!$J$2:$K$1048576,2,FALSE),""))</f>
        <v/>
      </c>
      <c r="K2424" s="5" t="str">
        <f>IF(OR(I2424="",G2424=""),"",IF(G2424="Saída",-I2424,I2424))</f>
        <v/>
      </c>
      <c r="L2424" t="str">
        <f>IF(E2424="","",IFERROR(VLOOKUP(E2424,Listas!$A$2:$C$1048576,3,FALSE),""))</f>
        <v/>
      </c>
    </row>
    <row r="2425" spans="10:12" x14ac:dyDescent="0.25">
      <c r="J2425" t="str">
        <f>IF(H2425="","",IFERROR(VLOOKUP(H2425,Listas!$J$2:$K$1048576,2,FALSE),""))</f>
        <v/>
      </c>
      <c r="K2425" s="5" t="str">
        <f>IF(OR(I2425="",G2425=""),"",IF(G2425="Saída",-I2425,I2425))</f>
        <v/>
      </c>
      <c r="L2425" t="str">
        <f>IF(E2425="","",IFERROR(VLOOKUP(E2425,Listas!$A$2:$C$1048576,3,FALSE),""))</f>
        <v/>
      </c>
    </row>
    <row r="2426" spans="10:12" x14ac:dyDescent="0.25">
      <c r="J2426" t="str">
        <f>IF(H2426="","",IFERROR(VLOOKUP(H2426,Listas!$J$2:$K$1048576,2,FALSE),""))</f>
        <v/>
      </c>
      <c r="K2426" s="5" t="str">
        <f>IF(OR(I2426="",G2426=""),"",IF(G2426="Saída",-I2426,I2426))</f>
        <v/>
      </c>
      <c r="L2426" t="str">
        <f>IF(E2426="","",IFERROR(VLOOKUP(E2426,Listas!$A$2:$C$1048576,3,FALSE),""))</f>
        <v/>
      </c>
    </row>
    <row r="2427" spans="10:12" x14ac:dyDescent="0.25">
      <c r="J2427" t="str">
        <f>IF(H2427="","",IFERROR(VLOOKUP(H2427,Listas!$J$2:$K$1048576,2,FALSE),""))</f>
        <v/>
      </c>
      <c r="K2427" s="5" t="str">
        <f>IF(OR(I2427="",G2427=""),"",IF(G2427="Saída",-I2427,I2427))</f>
        <v/>
      </c>
      <c r="L2427" t="str">
        <f>IF(E2427="","",IFERROR(VLOOKUP(E2427,Listas!$A$2:$C$1048576,3,FALSE),""))</f>
        <v/>
      </c>
    </row>
    <row r="2428" spans="10:12" x14ac:dyDescent="0.25">
      <c r="J2428" t="str">
        <f>IF(H2428="","",IFERROR(VLOOKUP(H2428,Listas!$J$2:$K$1048576,2,FALSE),""))</f>
        <v/>
      </c>
      <c r="K2428" s="5" t="str">
        <f>IF(OR(I2428="",G2428=""),"",IF(G2428="Saída",-I2428,I2428))</f>
        <v/>
      </c>
      <c r="L2428" t="str">
        <f>IF(E2428="","",IFERROR(VLOOKUP(E2428,Listas!$A$2:$C$1048576,3,FALSE),""))</f>
        <v/>
      </c>
    </row>
    <row r="2429" spans="10:12" x14ac:dyDescent="0.25">
      <c r="J2429" t="str">
        <f>IF(H2429="","",IFERROR(VLOOKUP(H2429,Listas!$J$2:$K$1048576,2,FALSE),""))</f>
        <v/>
      </c>
      <c r="K2429" s="5" t="str">
        <f>IF(OR(I2429="",G2429=""),"",IF(G2429="Saída",-I2429,I2429))</f>
        <v/>
      </c>
      <c r="L2429" t="str">
        <f>IF(E2429="","",IFERROR(VLOOKUP(E2429,Listas!$A$2:$C$1048576,3,FALSE),""))</f>
        <v/>
      </c>
    </row>
    <row r="2430" spans="10:12" x14ac:dyDescent="0.25">
      <c r="J2430" t="str">
        <f>IF(H2430="","",IFERROR(VLOOKUP(H2430,Listas!$J$2:$K$1048576,2,FALSE),""))</f>
        <v/>
      </c>
      <c r="K2430" s="5" t="str">
        <f>IF(OR(I2430="",G2430=""),"",IF(G2430="Saída",-I2430,I2430))</f>
        <v/>
      </c>
      <c r="L2430" t="str">
        <f>IF(E2430="","",IFERROR(VLOOKUP(E2430,Listas!$A$2:$C$1048576,3,FALSE),""))</f>
        <v/>
      </c>
    </row>
    <row r="2431" spans="10:12" x14ac:dyDescent="0.25">
      <c r="J2431" t="str">
        <f>IF(H2431="","",IFERROR(VLOOKUP(H2431,Listas!$J$2:$K$1048576,2,FALSE),""))</f>
        <v/>
      </c>
      <c r="K2431" s="5" t="str">
        <f>IF(OR(I2431="",G2431=""),"",IF(G2431="Saída",-I2431,I2431))</f>
        <v/>
      </c>
      <c r="L2431" t="str">
        <f>IF(E2431="","",IFERROR(VLOOKUP(E2431,Listas!$A$2:$C$1048576,3,FALSE),""))</f>
        <v/>
      </c>
    </row>
    <row r="2432" spans="10:12" x14ac:dyDescent="0.25">
      <c r="J2432" t="str">
        <f>IF(H2432="","",IFERROR(VLOOKUP(H2432,Listas!$J$2:$K$1048576,2,FALSE),""))</f>
        <v/>
      </c>
      <c r="K2432" s="5" t="str">
        <f>IF(OR(I2432="",G2432=""),"",IF(G2432="Saída",-I2432,I2432))</f>
        <v/>
      </c>
      <c r="L2432" t="str">
        <f>IF(E2432="","",IFERROR(VLOOKUP(E2432,Listas!$A$2:$C$1048576,3,FALSE),""))</f>
        <v/>
      </c>
    </row>
    <row r="2433" spans="10:12" x14ac:dyDescent="0.25">
      <c r="J2433" t="str">
        <f>IF(H2433="","",IFERROR(VLOOKUP(H2433,Listas!$J$2:$K$1048576,2,FALSE),""))</f>
        <v/>
      </c>
      <c r="K2433" s="5" t="str">
        <f>IF(OR(I2433="",G2433=""),"",IF(G2433="Saída",-I2433,I2433))</f>
        <v/>
      </c>
      <c r="L2433" t="str">
        <f>IF(E2433="","",IFERROR(VLOOKUP(E2433,Listas!$A$2:$C$1048576,3,FALSE),""))</f>
        <v/>
      </c>
    </row>
    <row r="2434" spans="10:12" x14ac:dyDescent="0.25">
      <c r="J2434" t="str">
        <f>IF(H2434="","",IFERROR(VLOOKUP(H2434,Listas!$J$2:$K$1048576,2,FALSE),""))</f>
        <v/>
      </c>
      <c r="K2434" s="5" t="str">
        <f>IF(OR(I2434="",G2434=""),"",IF(G2434="Saída",-I2434,I2434))</f>
        <v/>
      </c>
      <c r="L2434" t="str">
        <f>IF(E2434="","",IFERROR(VLOOKUP(E2434,Listas!$A$2:$C$1048576,3,FALSE),""))</f>
        <v/>
      </c>
    </row>
    <row r="2435" spans="10:12" x14ac:dyDescent="0.25">
      <c r="J2435" t="str">
        <f>IF(H2435="","",IFERROR(VLOOKUP(H2435,Listas!$J$2:$K$1048576,2,FALSE),""))</f>
        <v/>
      </c>
      <c r="K2435" s="5" t="str">
        <f>IF(OR(I2435="",G2435=""),"",IF(G2435="Saída",-I2435,I2435))</f>
        <v/>
      </c>
      <c r="L2435" t="str">
        <f>IF(E2435="","",IFERROR(VLOOKUP(E2435,Listas!$A$2:$C$1048576,3,FALSE),""))</f>
        <v/>
      </c>
    </row>
    <row r="2436" spans="10:12" x14ac:dyDescent="0.25">
      <c r="J2436" t="str">
        <f>IF(H2436="","",IFERROR(VLOOKUP(H2436,Listas!$J$2:$K$1048576,2,FALSE),""))</f>
        <v/>
      </c>
      <c r="K2436" s="5" t="str">
        <f>IF(OR(I2436="",G2436=""),"",IF(G2436="Saída",-I2436,I2436))</f>
        <v/>
      </c>
      <c r="L2436" t="str">
        <f>IF(E2436="","",IFERROR(VLOOKUP(E2436,Listas!$A$2:$C$1048576,3,FALSE),""))</f>
        <v/>
      </c>
    </row>
    <row r="2437" spans="10:12" x14ac:dyDescent="0.25">
      <c r="J2437" t="str">
        <f>IF(H2437="","",IFERROR(VLOOKUP(H2437,Listas!$J$2:$K$1048576,2,FALSE),""))</f>
        <v/>
      </c>
      <c r="K2437" s="5" t="str">
        <f>IF(OR(I2437="",G2437=""),"",IF(G2437="Saída",-I2437,I2437))</f>
        <v/>
      </c>
      <c r="L2437" t="str">
        <f>IF(E2437="","",IFERROR(VLOOKUP(E2437,Listas!$A$2:$C$1048576,3,FALSE),""))</f>
        <v/>
      </c>
    </row>
    <row r="2438" spans="10:12" x14ac:dyDescent="0.25">
      <c r="J2438" t="str">
        <f>IF(H2438="","",IFERROR(VLOOKUP(H2438,Listas!$J$2:$K$1048576,2,FALSE),""))</f>
        <v/>
      </c>
      <c r="K2438" s="5" t="str">
        <f>IF(OR(I2438="",G2438=""),"",IF(G2438="Saída",-I2438,I2438))</f>
        <v/>
      </c>
      <c r="L2438" t="str">
        <f>IF(E2438="","",IFERROR(VLOOKUP(E2438,Listas!$A$2:$C$1048576,3,FALSE),""))</f>
        <v/>
      </c>
    </row>
    <row r="2439" spans="10:12" x14ac:dyDescent="0.25">
      <c r="J2439" t="str">
        <f>IF(H2439="","",IFERROR(VLOOKUP(H2439,Listas!$J$2:$K$1048576,2,FALSE),""))</f>
        <v/>
      </c>
      <c r="K2439" s="5" t="str">
        <f>IF(OR(I2439="",G2439=""),"",IF(G2439="Saída",-I2439,I2439))</f>
        <v/>
      </c>
      <c r="L2439" t="str">
        <f>IF(E2439="","",IFERROR(VLOOKUP(E2439,Listas!$A$2:$C$1048576,3,FALSE),""))</f>
        <v/>
      </c>
    </row>
    <row r="2440" spans="10:12" x14ac:dyDescent="0.25">
      <c r="J2440" t="str">
        <f>IF(H2440="","",IFERROR(VLOOKUP(H2440,Listas!$J$2:$K$1048576,2,FALSE),""))</f>
        <v/>
      </c>
      <c r="K2440" s="5" t="str">
        <f>IF(OR(I2440="",G2440=""),"",IF(G2440="Saída",-I2440,I2440))</f>
        <v/>
      </c>
      <c r="L2440" t="str">
        <f>IF(E2440="","",IFERROR(VLOOKUP(E2440,Listas!$A$2:$C$1048576,3,FALSE),""))</f>
        <v/>
      </c>
    </row>
    <row r="2441" spans="10:12" x14ac:dyDescent="0.25">
      <c r="J2441" t="str">
        <f>IF(H2441="","",IFERROR(VLOOKUP(H2441,Listas!$J$2:$K$1048576,2,FALSE),""))</f>
        <v/>
      </c>
      <c r="K2441" s="5" t="str">
        <f>IF(OR(I2441="",G2441=""),"",IF(G2441="Saída",-I2441,I2441))</f>
        <v/>
      </c>
      <c r="L2441" t="str">
        <f>IF(E2441="","",IFERROR(VLOOKUP(E2441,Listas!$A$2:$C$1048576,3,FALSE),""))</f>
        <v/>
      </c>
    </row>
    <row r="2442" spans="10:12" x14ac:dyDescent="0.25">
      <c r="J2442" t="str">
        <f>IF(H2442="","",IFERROR(VLOOKUP(H2442,Listas!$J$2:$K$1048576,2,FALSE),""))</f>
        <v/>
      </c>
      <c r="K2442" s="5" t="str">
        <f>IF(OR(I2442="",G2442=""),"",IF(G2442="Saída",-I2442,I2442))</f>
        <v/>
      </c>
      <c r="L2442" t="str">
        <f>IF(E2442="","",IFERROR(VLOOKUP(E2442,Listas!$A$2:$C$1048576,3,FALSE),""))</f>
        <v/>
      </c>
    </row>
    <row r="2443" spans="10:12" x14ac:dyDescent="0.25">
      <c r="J2443" t="str">
        <f>IF(H2443="","",IFERROR(VLOOKUP(H2443,Listas!$J$2:$K$1048576,2,FALSE),""))</f>
        <v/>
      </c>
      <c r="K2443" s="5" t="str">
        <f>IF(OR(I2443="",G2443=""),"",IF(G2443="Saída",-I2443,I2443))</f>
        <v/>
      </c>
      <c r="L2443" t="str">
        <f>IF(E2443="","",IFERROR(VLOOKUP(E2443,Listas!$A$2:$C$1048576,3,FALSE),""))</f>
        <v/>
      </c>
    </row>
    <row r="2444" spans="10:12" x14ac:dyDescent="0.25">
      <c r="J2444" t="str">
        <f>IF(H2444="","",IFERROR(VLOOKUP(H2444,Listas!$J$2:$K$1048576,2,FALSE),""))</f>
        <v/>
      </c>
      <c r="K2444" s="5" t="str">
        <f>IF(OR(I2444="",G2444=""),"",IF(G2444="Saída",-I2444,I2444))</f>
        <v/>
      </c>
      <c r="L2444" t="str">
        <f>IF(E2444="","",IFERROR(VLOOKUP(E2444,Listas!$A$2:$C$1048576,3,FALSE),""))</f>
        <v/>
      </c>
    </row>
    <row r="2445" spans="10:12" x14ac:dyDescent="0.25">
      <c r="J2445" t="str">
        <f>IF(H2445="","",IFERROR(VLOOKUP(H2445,Listas!$J$2:$K$1048576,2,FALSE),""))</f>
        <v/>
      </c>
      <c r="K2445" s="5" t="str">
        <f>IF(OR(I2445="",G2445=""),"",IF(G2445="Saída",-I2445,I2445))</f>
        <v/>
      </c>
      <c r="L2445" t="str">
        <f>IF(E2445="","",IFERROR(VLOOKUP(E2445,Listas!$A$2:$C$1048576,3,FALSE),""))</f>
        <v/>
      </c>
    </row>
    <row r="2446" spans="10:12" x14ac:dyDescent="0.25">
      <c r="J2446" t="str">
        <f>IF(H2446="","",IFERROR(VLOOKUP(H2446,Listas!$J$2:$K$1048576,2,FALSE),""))</f>
        <v/>
      </c>
      <c r="K2446" s="5" t="str">
        <f>IF(OR(I2446="",G2446=""),"",IF(G2446="Saída",-I2446,I2446))</f>
        <v/>
      </c>
      <c r="L2446" t="str">
        <f>IF(E2446="","",IFERROR(VLOOKUP(E2446,Listas!$A$2:$C$1048576,3,FALSE),""))</f>
        <v/>
      </c>
    </row>
    <row r="2447" spans="10:12" x14ac:dyDescent="0.25">
      <c r="J2447" t="str">
        <f>IF(H2447="","",IFERROR(VLOOKUP(H2447,Listas!$J$2:$K$1048576,2,FALSE),""))</f>
        <v/>
      </c>
      <c r="K2447" s="5" t="str">
        <f>IF(OR(I2447="",G2447=""),"",IF(G2447="Saída",-I2447,I2447))</f>
        <v/>
      </c>
      <c r="L2447" t="str">
        <f>IF(E2447="","",IFERROR(VLOOKUP(E2447,Listas!$A$2:$C$1048576,3,FALSE),""))</f>
        <v/>
      </c>
    </row>
    <row r="2448" spans="10:12" x14ac:dyDescent="0.25">
      <c r="J2448" t="str">
        <f>IF(H2448="","",IFERROR(VLOOKUP(H2448,Listas!$J$2:$K$1048576,2,FALSE),""))</f>
        <v/>
      </c>
      <c r="K2448" s="5" t="str">
        <f>IF(OR(I2448="",G2448=""),"",IF(G2448="Saída",-I2448,I2448))</f>
        <v/>
      </c>
      <c r="L2448" t="str">
        <f>IF(E2448="","",IFERROR(VLOOKUP(E2448,Listas!$A$2:$C$1048576,3,FALSE),""))</f>
        <v/>
      </c>
    </row>
    <row r="2449" spans="10:12" x14ac:dyDescent="0.25">
      <c r="J2449" t="str">
        <f>IF(H2449="","",IFERROR(VLOOKUP(H2449,Listas!$J$2:$K$1048576,2,FALSE),""))</f>
        <v/>
      </c>
      <c r="K2449" s="5" t="str">
        <f>IF(OR(I2449="",G2449=""),"",IF(G2449="Saída",-I2449,I2449))</f>
        <v/>
      </c>
      <c r="L2449" t="str">
        <f>IF(E2449="","",IFERROR(VLOOKUP(E2449,Listas!$A$2:$C$1048576,3,FALSE),""))</f>
        <v/>
      </c>
    </row>
    <row r="2450" spans="10:12" x14ac:dyDescent="0.25">
      <c r="J2450" t="str">
        <f>IF(H2450="","",IFERROR(VLOOKUP(H2450,Listas!$J$2:$K$1048576,2,FALSE),""))</f>
        <v/>
      </c>
      <c r="K2450" s="5" t="str">
        <f>IF(OR(I2450="",G2450=""),"",IF(G2450="Saída",-I2450,I2450))</f>
        <v/>
      </c>
      <c r="L2450" t="str">
        <f>IF(E2450="","",IFERROR(VLOOKUP(E2450,Listas!$A$2:$C$1048576,3,FALSE),""))</f>
        <v/>
      </c>
    </row>
    <row r="2451" spans="10:12" x14ac:dyDescent="0.25">
      <c r="J2451" t="str">
        <f>IF(H2451="","",IFERROR(VLOOKUP(H2451,Listas!$J$2:$K$1048576,2,FALSE),""))</f>
        <v/>
      </c>
      <c r="K2451" s="5" t="str">
        <f>IF(OR(I2451="",G2451=""),"",IF(G2451="Saída",-I2451,I2451))</f>
        <v/>
      </c>
      <c r="L2451" t="str">
        <f>IF(E2451="","",IFERROR(VLOOKUP(E2451,Listas!$A$2:$C$1048576,3,FALSE),""))</f>
        <v/>
      </c>
    </row>
    <row r="2452" spans="10:12" x14ac:dyDescent="0.25">
      <c r="J2452" t="str">
        <f>IF(H2452="","",IFERROR(VLOOKUP(H2452,Listas!$J$2:$K$1048576,2,FALSE),""))</f>
        <v/>
      </c>
      <c r="K2452" s="5" t="str">
        <f>IF(OR(I2452="",G2452=""),"",IF(G2452="Saída",-I2452,I2452))</f>
        <v/>
      </c>
      <c r="L2452" t="str">
        <f>IF(E2452="","",IFERROR(VLOOKUP(E2452,Listas!$A$2:$C$1048576,3,FALSE),""))</f>
        <v/>
      </c>
    </row>
    <row r="2453" spans="10:12" x14ac:dyDescent="0.25">
      <c r="J2453" t="str">
        <f>IF(H2453="","",IFERROR(VLOOKUP(H2453,Listas!$J$2:$K$1048576,2,FALSE),""))</f>
        <v/>
      </c>
      <c r="K2453" s="5" t="str">
        <f>IF(OR(I2453="",G2453=""),"",IF(G2453="Saída",-I2453,I2453))</f>
        <v/>
      </c>
      <c r="L2453" t="str">
        <f>IF(E2453="","",IFERROR(VLOOKUP(E2453,Listas!$A$2:$C$1048576,3,FALSE),""))</f>
        <v/>
      </c>
    </row>
    <row r="2454" spans="10:12" x14ac:dyDescent="0.25">
      <c r="J2454" t="str">
        <f>IF(H2454="","",IFERROR(VLOOKUP(H2454,Listas!$J$2:$K$1048576,2,FALSE),""))</f>
        <v/>
      </c>
      <c r="K2454" s="5" t="str">
        <f>IF(OR(I2454="",G2454=""),"",IF(G2454="Saída",-I2454,I2454))</f>
        <v/>
      </c>
      <c r="L2454" t="str">
        <f>IF(E2454="","",IFERROR(VLOOKUP(E2454,Listas!$A$2:$C$1048576,3,FALSE),""))</f>
        <v/>
      </c>
    </row>
    <row r="2455" spans="10:12" x14ac:dyDescent="0.25">
      <c r="J2455" t="str">
        <f>IF(H2455="","",IFERROR(VLOOKUP(H2455,Listas!$J$2:$K$1048576,2,FALSE),""))</f>
        <v/>
      </c>
      <c r="K2455" s="5" t="str">
        <f>IF(OR(I2455="",G2455=""),"",IF(G2455="Saída",-I2455,I2455))</f>
        <v/>
      </c>
      <c r="L2455" t="str">
        <f>IF(E2455="","",IFERROR(VLOOKUP(E2455,Listas!$A$2:$C$1048576,3,FALSE),""))</f>
        <v/>
      </c>
    </row>
    <row r="2456" spans="10:12" x14ac:dyDescent="0.25">
      <c r="J2456" t="str">
        <f>IF(H2456="","",IFERROR(VLOOKUP(H2456,Listas!$J$2:$K$1048576,2,FALSE),""))</f>
        <v/>
      </c>
      <c r="K2456" s="5" t="str">
        <f>IF(OR(I2456="",G2456=""),"",IF(G2456="Saída",-I2456,I2456))</f>
        <v/>
      </c>
      <c r="L2456" t="str">
        <f>IF(E2456="","",IFERROR(VLOOKUP(E2456,Listas!$A$2:$C$1048576,3,FALSE),""))</f>
        <v/>
      </c>
    </row>
    <row r="2457" spans="10:12" x14ac:dyDescent="0.25">
      <c r="J2457" t="str">
        <f>IF(H2457="","",IFERROR(VLOOKUP(H2457,Listas!$J$2:$K$1048576,2,FALSE),""))</f>
        <v/>
      </c>
      <c r="K2457" s="5" t="str">
        <f>IF(OR(I2457="",G2457=""),"",IF(G2457="Saída",-I2457,I2457))</f>
        <v/>
      </c>
      <c r="L2457" t="str">
        <f>IF(E2457="","",IFERROR(VLOOKUP(E2457,Listas!$A$2:$C$1048576,3,FALSE),""))</f>
        <v/>
      </c>
    </row>
    <row r="2458" spans="10:12" x14ac:dyDescent="0.25">
      <c r="J2458" t="str">
        <f>IF(H2458="","",IFERROR(VLOOKUP(H2458,Listas!$J$2:$K$1048576,2,FALSE),""))</f>
        <v/>
      </c>
      <c r="K2458" s="5" t="str">
        <f>IF(OR(I2458="",G2458=""),"",IF(G2458="Saída",-I2458,I2458))</f>
        <v/>
      </c>
      <c r="L2458" t="str">
        <f>IF(E2458="","",IFERROR(VLOOKUP(E2458,Listas!$A$2:$C$1048576,3,FALSE),""))</f>
        <v/>
      </c>
    </row>
    <row r="2459" spans="10:12" x14ac:dyDescent="0.25">
      <c r="J2459" t="str">
        <f>IF(H2459="","",IFERROR(VLOOKUP(H2459,Listas!$J$2:$K$1048576,2,FALSE),""))</f>
        <v/>
      </c>
      <c r="K2459" s="5" t="str">
        <f>IF(OR(I2459="",G2459=""),"",IF(G2459="Saída",-I2459,I2459))</f>
        <v/>
      </c>
      <c r="L2459" t="str">
        <f>IF(E2459="","",IFERROR(VLOOKUP(E2459,Listas!$A$2:$C$1048576,3,FALSE),""))</f>
        <v/>
      </c>
    </row>
    <row r="2460" spans="10:12" x14ac:dyDescent="0.25">
      <c r="J2460" t="str">
        <f>IF(H2460="","",IFERROR(VLOOKUP(H2460,Listas!$J$2:$K$1048576,2,FALSE),""))</f>
        <v/>
      </c>
      <c r="K2460" s="5" t="str">
        <f>IF(OR(I2460="",G2460=""),"",IF(G2460="Saída",-I2460,I2460))</f>
        <v/>
      </c>
      <c r="L2460" t="str">
        <f>IF(E2460="","",IFERROR(VLOOKUP(E2460,Listas!$A$2:$C$1048576,3,FALSE),""))</f>
        <v/>
      </c>
    </row>
    <row r="2461" spans="10:12" x14ac:dyDescent="0.25">
      <c r="J2461" t="str">
        <f>IF(H2461="","",IFERROR(VLOOKUP(H2461,Listas!$J$2:$K$1048576,2,FALSE),""))</f>
        <v/>
      </c>
      <c r="K2461" s="5" t="str">
        <f>IF(OR(I2461="",G2461=""),"",IF(G2461="Saída",-I2461,I2461))</f>
        <v/>
      </c>
      <c r="L2461" t="str">
        <f>IF(E2461="","",IFERROR(VLOOKUP(E2461,Listas!$A$2:$C$1048576,3,FALSE),""))</f>
        <v/>
      </c>
    </row>
    <row r="2462" spans="10:12" x14ac:dyDescent="0.25">
      <c r="J2462" t="str">
        <f>IF(H2462="","",IFERROR(VLOOKUP(H2462,Listas!$J$2:$K$1048576,2,FALSE),""))</f>
        <v/>
      </c>
      <c r="K2462" s="5" t="str">
        <f>IF(OR(I2462="",G2462=""),"",IF(G2462="Saída",-I2462,I2462))</f>
        <v/>
      </c>
      <c r="L2462" t="str">
        <f>IF(E2462="","",IFERROR(VLOOKUP(E2462,Listas!$A$2:$C$1048576,3,FALSE),""))</f>
        <v/>
      </c>
    </row>
    <row r="2463" spans="10:12" x14ac:dyDescent="0.25">
      <c r="J2463" t="str">
        <f>IF(H2463="","",IFERROR(VLOOKUP(H2463,Listas!$J$2:$K$1048576,2,FALSE),""))</f>
        <v/>
      </c>
      <c r="K2463" s="5" t="str">
        <f>IF(OR(I2463="",G2463=""),"",IF(G2463="Saída",-I2463,I2463))</f>
        <v/>
      </c>
      <c r="L2463" t="str">
        <f>IF(E2463="","",IFERROR(VLOOKUP(E2463,Listas!$A$2:$C$1048576,3,FALSE),""))</f>
        <v/>
      </c>
    </row>
    <row r="2464" spans="10:12" x14ac:dyDescent="0.25">
      <c r="J2464" t="str">
        <f>IF(H2464="","",IFERROR(VLOOKUP(H2464,Listas!$J$2:$K$1048576,2,FALSE),""))</f>
        <v/>
      </c>
      <c r="K2464" s="5" t="str">
        <f>IF(OR(I2464="",G2464=""),"",IF(G2464="Saída",-I2464,I2464))</f>
        <v/>
      </c>
      <c r="L2464" t="str">
        <f>IF(E2464="","",IFERROR(VLOOKUP(E2464,Listas!$A$2:$C$1048576,3,FALSE),""))</f>
        <v/>
      </c>
    </row>
    <row r="2465" spans="10:12" x14ac:dyDescent="0.25">
      <c r="J2465" t="str">
        <f>IF(H2465="","",IFERROR(VLOOKUP(H2465,Listas!$J$2:$K$1048576,2,FALSE),""))</f>
        <v/>
      </c>
      <c r="K2465" s="5" t="str">
        <f>IF(OR(I2465="",G2465=""),"",IF(G2465="Saída",-I2465,I2465))</f>
        <v/>
      </c>
      <c r="L2465" t="str">
        <f>IF(E2465="","",IFERROR(VLOOKUP(E2465,Listas!$A$2:$C$1048576,3,FALSE),""))</f>
        <v/>
      </c>
    </row>
    <row r="2466" spans="10:12" x14ac:dyDescent="0.25">
      <c r="J2466" t="str">
        <f>IF(H2466="","",IFERROR(VLOOKUP(H2466,Listas!$J$2:$K$1048576,2,FALSE),""))</f>
        <v/>
      </c>
      <c r="K2466" s="5" t="str">
        <f>IF(OR(I2466="",G2466=""),"",IF(G2466="Saída",-I2466,I2466))</f>
        <v/>
      </c>
      <c r="L2466" t="str">
        <f>IF(E2466="","",IFERROR(VLOOKUP(E2466,Listas!$A$2:$C$1048576,3,FALSE),""))</f>
        <v/>
      </c>
    </row>
    <row r="2467" spans="10:12" x14ac:dyDescent="0.25">
      <c r="J2467" t="str">
        <f>IF(H2467="","",IFERROR(VLOOKUP(H2467,Listas!$J$2:$K$1048576,2,FALSE),""))</f>
        <v/>
      </c>
      <c r="K2467" s="5" t="str">
        <f>IF(OR(I2467="",G2467=""),"",IF(G2467="Saída",-I2467,I2467))</f>
        <v/>
      </c>
      <c r="L2467" t="str">
        <f>IF(E2467="","",IFERROR(VLOOKUP(E2467,Listas!$A$2:$C$1048576,3,FALSE),""))</f>
        <v/>
      </c>
    </row>
    <row r="2468" spans="10:12" x14ac:dyDescent="0.25">
      <c r="J2468" t="str">
        <f>IF(H2468="","",IFERROR(VLOOKUP(H2468,Listas!$J$2:$K$1048576,2,FALSE),""))</f>
        <v/>
      </c>
      <c r="K2468" s="5" t="str">
        <f>IF(OR(I2468="",G2468=""),"",IF(G2468="Saída",-I2468,I2468))</f>
        <v/>
      </c>
      <c r="L2468" t="str">
        <f>IF(E2468="","",IFERROR(VLOOKUP(E2468,Listas!$A$2:$C$1048576,3,FALSE),""))</f>
        <v/>
      </c>
    </row>
    <row r="2469" spans="10:12" x14ac:dyDescent="0.25">
      <c r="J2469" t="str">
        <f>IF(H2469="","",IFERROR(VLOOKUP(H2469,Listas!$J$2:$K$1048576,2,FALSE),""))</f>
        <v/>
      </c>
      <c r="K2469" s="5" t="str">
        <f>IF(OR(I2469="",G2469=""),"",IF(G2469="Saída",-I2469,I2469))</f>
        <v/>
      </c>
      <c r="L2469" t="str">
        <f>IF(E2469="","",IFERROR(VLOOKUP(E2469,Listas!$A$2:$C$1048576,3,FALSE),""))</f>
        <v/>
      </c>
    </row>
    <row r="2470" spans="10:12" x14ac:dyDescent="0.25">
      <c r="J2470" t="str">
        <f>IF(H2470="","",IFERROR(VLOOKUP(H2470,Listas!$J$2:$K$1048576,2,FALSE),""))</f>
        <v/>
      </c>
      <c r="K2470" s="5" t="str">
        <f>IF(OR(I2470="",G2470=""),"",IF(G2470="Saída",-I2470,I2470))</f>
        <v/>
      </c>
      <c r="L2470" t="str">
        <f>IF(E2470="","",IFERROR(VLOOKUP(E2470,Listas!$A$2:$C$1048576,3,FALSE),""))</f>
        <v/>
      </c>
    </row>
    <row r="2471" spans="10:12" x14ac:dyDescent="0.25">
      <c r="J2471" t="str">
        <f>IF(H2471="","",IFERROR(VLOOKUP(H2471,Listas!$J$2:$K$1048576,2,FALSE),""))</f>
        <v/>
      </c>
      <c r="K2471" s="5" t="str">
        <f>IF(OR(I2471="",G2471=""),"",IF(G2471="Saída",-I2471,I2471))</f>
        <v/>
      </c>
      <c r="L2471" t="str">
        <f>IF(E2471="","",IFERROR(VLOOKUP(E2471,Listas!$A$2:$C$1048576,3,FALSE),""))</f>
        <v/>
      </c>
    </row>
    <row r="2472" spans="10:12" x14ac:dyDescent="0.25">
      <c r="J2472" t="str">
        <f>IF(H2472="","",IFERROR(VLOOKUP(H2472,Listas!$J$2:$K$1048576,2,FALSE),""))</f>
        <v/>
      </c>
      <c r="K2472" s="5" t="str">
        <f>IF(OR(I2472="",G2472=""),"",IF(G2472="Saída",-I2472,I2472))</f>
        <v/>
      </c>
      <c r="L2472" t="str">
        <f>IF(E2472="","",IFERROR(VLOOKUP(E2472,Listas!$A$2:$C$1048576,3,FALSE),""))</f>
        <v/>
      </c>
    </row>
    <row r="2473" spans="10:12" x14ac:dyDescent="0.25">
      <c r="J2473" t="str">
        <f>IF(H2473="","",IFERROR(VLOOKUP(H2473,Listas!$J$2:$K$1048576,2,FALSE),""))</f>
        <v/>
      </c>
      <c r="K2473" s="5" t="str">
        <f>IF(OR(I2473="",G2473=""),"",IF(G2473="Saída",-I2473,I2473))</f>
        <v/>
      </c>
      <c r="L2473" t="str">
        <f>IF(E2473="","",IFERROR(VLOOKUP(E2473,Listas!$A$2:$C$1048576,3,FALSE),""))</f>
        <v/>
      </c>
    </row>
    <row r="2474" spans="10:12" x14ac:dyDescent="0.25">
      <c r="J2474" t="str">
        <f>IF(H2474="","",IFERROR(VLOOKUP(H2474,Listas!$J$2:$K$1048576,2,FALSE),""))</f>
        <v/>
      </c>
      <c r="K2474" s="5" t="str">
        <f>IF(OR(I2474="",G2474=""),"",IF(G2474="Saída",-I2474,I2474))</f>
        <v/>
      </c>
      <c r="L2474" t="str">
        <f>IF(E2474="","",IFERROR(VLOOKUP(E2474,Listas!$A$2:$C$1048576,3,FALSE),""))</f>
        <v/>
      </c>
    </row>
    <row r="2475" spans="10:12" x14ac:dyDescent="0.25">
      <c r="J2475" t="str">
        <f>IF(H2475="","",IFERROR(VLOOKUP(H2475,Listas!$J$2:$K$1048576,2,FALSE),""))</f>
        <v/>
      </c>
      <c r="K2475" s="5" t="str">
        <f>IF(OR(I2475="",G2475=""),"",IF(G2475="Saída",-I2475,I2475))</f>
        <v/>
      </c>
      <c r="L2475" t="str">
        <f>IF(E2475="","",IFERROR(VLOOKUP(E2475,Listas!$A$2:$C$1048576,3,FALSE),""))</f>
        <v/>
      </c>
    </row>
    <row r="2476" spans="10:12" x14ac:dyDescent="0.25">
      <c r="J2476" t="str">
        <f>IF(H2476="","",IFERROR(VLOOKUP(H2476,Listas!$J$2:$K$1048576,2,FALSE),""))</f>
        <v/>
      </c>
      <c r="K2476" s="5" t="str">
        <f>IF(OR(I2476="",G2476=""),"",IF(G2476="Saída",-I2476,I2476))</f>
        <v/>
      </c>
      <c r="L2476" t="str">
        <f>IF(E2476="","",IFERROR(VLOOKUP(E2476,Listas!$A$2:$C$1048576,3,FALSE),""))</f>
        <v/>
      </c>
    </row>
    <row r="2477" spans="10:12" x14ac:dyDescent="0.25">
      <c r="J2477" t="str">
        <f>IF(H2477="","",IFERROR(VLOOKUP(H2477,Listas!$J$2:$K$1048576,2,FALSE),""))</f>
        <v/>
      </c>
      <c r="K2477" s="5" t="str">
        <f>IF(OR(I2477="",G2477=""),"",IF(G2477="Saída",-I2477,I2477))</f>
        <v/>
      </c>
      <c r="L2477" t="str">
        <f>IF(E2477="","",IFERROR(VLOOKUP(E2477,Listas!$A$2:$C$1048576,3,FALSE),""))</f>
        <v/>
      </c>
    </row>
    <row r="2478" spans="10:12" x14ac:dyDescent="0.25">
      <c r="J2478" t="str">
        <f>IF(H2478="","",IFERROR(VLOOKUP(H2478,Listas!$J$2:$K$1048576,2,FALSE),""))</f>
        <v/>
      </c>
      <c r="K2478" s="5" t="str">
        <f>IF(OR(I2478="",G2478=""),"",IF(G2478="Saída",-I2478,I2478))</f>
        <v/>
      </c>
      <c r="L2478" t="str">
        <f>IF(E2478="","",IFERROR(VLOOKUP(E2478,Listas!$A$2:$C$1048576,3,FALSE),""))</f>
        <v/>
      </c>
    </row>
    <row r="2479" spans="10:12" x14ac:dyDescent="0.25">
      <c r="J2479" t="str">
        <f>IF(H2479="","",IFERROR(VLOOKUP(H2479,Listas!$J$2:$K$1048576,2,FALSE),""))</f>
        <v/>
      </c>
      <c r="K2479" s="5" t="str">
        <f>IF(OR(I2479="",G2479=""),"",IF(G2479="Saída",-I2479,I2479))</f>
        <v/>
      </c>
      <c r="L2479" t="str">
        <f>IF(E2479="","",IFERROR(VLOOKUP(E2479,Listas!$A$2:$C$1048576,3,FALSE),""))</f>
        <v/>
      </c>
    </row>
    <row r="2480" spans="10:12" x14ac:dyDescent="0.25">
      <c r="J2480" t="str">
        <f>IF(H2480="","",IFERROR(VLOOKUP(H2480,Listas!$J$2:$K$1048576,2,FALSE),""))</f>
        <v/>
      </c>
      <c r="K2480" s="5" t="str">
        <f>IF(OR(I2480="",G2480=""),"",IF(G2480="Saída",-I2480,I2480))</f>
        <v/>
      </c>
      <c r="L2480" t="str">
        <f>IF(E2480="","",IFERROR(VLOOKUP(E2480,Listas!$A$2:$C$1048576,3,FALSE),""))</f>
        <v/>
      </c>
    </row>
    <row r="2481" spans="10:12" x14ac:dyDescent="0.25">
      <c r="J2481" t="str">
        <f>IF(H2481="","",IFERROR(VLOOKUP(H2481,Listas!$J$2:$K$1048576,2,FALSE),""))</f>
        <v/>
      </c>
      <c r="K2481" s="5" t="str">
        <f>IF(OR(I2481="",G2481=""),"",IF(G2481="Saída",-I2481,I2481))</f>
        <v/>
      </c>
      <c r="L2481" t="str">
        <f>IF(E2481="","",IFERROR(VLOOKUP(E2481,Listas!$A$2:$C$1048576,3,FALSE),""))</f>
        <v/>
      </c>
    </row>
    <row r="2482" spans="10:12" x14ac:dyDescent="0.25">
      <c r="J2482" t="str">
        <f>IF(H2482="","",IFERROR(VLOOKUP(H2482,Listas!$J$2:$K$1048576,2,FALSE),""))</f>
        <v/>
      </c>
      <c r="K2482" s="5" t="str">
        <f>IF(OR(I2482="",G2482=""),"",IF(G2482="Saída",-I2482,I2482))</f>
        <v/>
      </c>
      <c r="L2482" t="str">
        <f>IF(E2482="","",IFERROR(VLOOKUP(E2482,Listas!$A$2:$C$1048576,3,FALSE),""))</f>
        <v/>
      </c>
    </row>
    <row r="2483" spans="10:12" x14ac:dyDescent="0.25">
      <c r="J2483" t="str">
        <f>IF(H2483="","",IFERROR(VLOOKUP(H2483,Listas!$J$2:$K$1048576,2,FALSE),""))</f>
        <v/>
      </c>
      <c r="K2483" s="5" t="str">
        <f>IF(OR(I2483="",G2483=""),"",IF(G2483="Saída",-I2483,I2483))</f>
        <v/>
      </c>
      <c r="L2483" t="str">
        <f>IF(E2483="","",IFERROR(VLOOKUP(E2483,Listas!$A$2:$C$1048576,3,FALSE),""))</f>
        <v/>
      </c>
    </row>
    <row r="2484" spans="10:12" x14ac:dyDescent="0.25">
      <c r="J2484" t="str">
        <f>IF(H2484="","",IFERROR(VLOOKUP(H2484,Listas!$J$2:$K$1048576,2,FALSE),""))</f>
        <v/>
      </c>
      <c r="K2484" s="5" t="str">
        <f>IF(OR(I2484="",G2484=""),"",IF(G2484="Saída",-I2484,I2484))</f>
        <v/>
      </c>
      <c r="L2484" t="str">
        <f>IF(E2484="","",IFERROR(VLOOKUP(E2484,Listas!$A$2:$C$1048576,3,FALSE),""))</f>
        <v/>
      </c>
    </row>
    <row r="2485" spans="10:12" x14ac:dyDescent="0.25">
      <c r="J2485" t="str">
        <f>IF(H2485="","",IFERROR(VLOOKUP(H2485,Listas!$J$2:$K$1048576,2,FALSE),""))</f>
        <v/>
      </c>
      <c r="K2485" s="5" t="str">
        <f>IF(OR(I2485="",G2485=""),"",IF(G2485="Saída",-I2485,I2485))</f>
        <v/>
      </c>
      <c r="L2485" t="str">
        <f>IF(E2485="","",IFERROR(VLOOKUP(E2485,Listas!$A$2:$C$1048576,3,FALSE),""))</f>
        <v/>
      </c>
    </row>
    <row r="2486" spans="10:12" x14ac:dyDescent="0.25">
      <c r="J2486" t="str">
        <f>IF(H2486="","",IFERROR(VLOOKUP(H2486,Listas!$J$2:$K$1048576,2,FALSE),""))</f>
        <v/>
      </c>
      <c r="K2486" s="5" t="str">
        <f>IF(OR(I2486="",G2486=""),"",IF(G2486="Saída",-I2486,I2486))</f>
        <v/>
      </c>
      <c r="L2486" t="str">
        <f>IF(E2486="","",IFERROR(VLOOKUP(E2486,Listas!$A$2:$C$1048576,3,FALSE),""))</f>
        <v/>
      </c>
    </row>
    <row r="2487" spans="10:12" x14ac:dyDescent="0.25">
      <c r="J2487" t="str">
        <f>IF(H2487="","",IFERROR(VLOOKUP(H2487,Listas!$J$2:$K$1048576,2,FALSE),""))</f>
        <v/>
      </c>
      <c r="K2487" s="5" t="str">
        <f>IF(OR(I2487="",G2487=""),"",IF(G2487="Saída",-I2487,I2487))</f>
        <v/>
      </c>
      <c r="L2487" t="str">
        <f>IF(E2487="","",IFERROR(VLOOKUP(E2487,Listas!$A$2:$C$1048576,3,FALSE),""))</f>
        <v/>
      </c>
    </row>
    <row r="2488" spans="10:12" x14ac:dyDescent="0.25">
      <c r="J2488" t="str">
        <f>IF(H2488="","",IFERROR(VLOOKUP(H2488,Listas!$J$2:$K$1048576,2,FALSE),""))</f>
        <v/>
      </c>
      <c r="K2488" s="5" t="str">
        <f>IF(OR(I2488="",G2488=""),"",IF(G2488="Saída",-I2488,I2488))</f>
        <v/>
      </c>
      <c r="L2488" t="str">
        <f>IF(E2488="","",IFERROR(VLOOKUP(E2488,Listas!$A$2:$C$1048576,3,FALSE),""))</f>
        <v/>
      </c>
    </row>
    <row r="2489" spans="10:12" x14ac:dyDescent="0.25">
      <c r="J2489" t="str">
        <f>IF(H2489="","",IFERROR(VLOOKUP(H2489,Listas!$J$2:$K$1048576,2,FALSE),""))</f>
        <v/>
      </c>
      <c r="K2489" s="5" t="str">
        <f>IF(OR(I2489="",G2489=""),"",IF(G2489="Saída",-I2489,I2489))</f>
        <v/>
      </c>
      <c r="L2489" t="str">
        <f>IF(E2489="","",IFERROR(VLOOKUP(E2489,Listas!$A$2:$C$1048576,3,FALSE),""))</f>
        <v/>
      </c>
    </row>
    <row r="2490" spans="10:12" x14ac:dyDescent="0.25">
      <c r="J2490" t="str">
        <f>IF(H2490="","",IFERROR(VLOOKUP(H2490,Listas!$J$2:$K$1048576,2,FALSE),""))</f>
        <v/>
      </c>
      <c r="K2490" s="5" t="str">
        <f>IF(OR(I2490="",G2490=""),"",IF(G2490="Saída",-I2490,I2490))</f>
        <v/>
      </c>
      <c r="L2490" t="str">
        <f>IF(E2490="","",IFERROR(VLOOKUP(E2490,Listas!$A$2:$C$1048576,3,FALSE),""))</f>
        <v/>
      </c>
    </row>
    <row r="2491" spans="10:12" x14ac:dyDescent="0.25">
      <c r="J2491" t="str">
        <f>IF(H2491="","",IFERROR(VLOOKUP(H2491,Listas!$J$2:$K$1048576,2,FALSE),""))</f>
        <v/>
      </c>
      <c r="K2491" s="5" t="str">
        <f>IF(OR(I2491="",G2491=""),"",IF(G2491="Saída",-I2491,I2491))</f>
        <v/>
      </c>
      <c r="L2491" t="str">
        <f>IF(E2491="","",IFERROR(VLOOKUP(E2491,Listas!$A$2:$C$1048576,3,FALSE),""))</f>
        <v/>
      </c>
    </row>
    <row r="2492" spans="10:12" x14ac:dyDescent="0.25">
      <c r="J2492" t="str">
        <f>IF(H2492="","",IFERROR(VLOOKUP(H2492,Listas!$J$2:$K$1048576,2,FALSE),""))</f>
        <v/>
      </c>
      <c r="K2492" s="5" t="str">
        <f>IF(OR(I2492="",G2492=""),"",IF(G2492="Saída",-I2492,I2492))</f>
        <v/>
      </c>
      <c r="L2492" t="str">
        <f>IF(E2492="","",IFERROR(VLOOKUP(E2492,Listas!$A$2:$C$1048576,3,FALSE),""))</f>
        <v/>
      </c>
    </row>
    <row r="2493" spans="10:12" x14ac:dyDescent="0.25">
      <c r="J2493" t="str">
        <f>IF(H2493="","",IFERROR(VLOOKUP(H2493,Listas!$J$2:$K$1048576,2,FALSE),""))</f>
        <v/>
      </c>
      <c r="K2493" s="5" t="str">
        <f>IF(OR(I2493="",G2493=""),"",IF(G2493="Saída",-I2493,I2493))</f>
        <v/>
      </c>
      <c r="L2493" t="str">
        <f>IF(E2493="","",IFERROR(VLOOKUP(E2493,Listas!$A$2:$C$1048576,3,FALSE),""))</f>
        <v/>
      </c>
    </row>
    <row r="2494" spans="10:12" x14ac:dyDescent="0.25">
      <c r="J2494" t="str">
        <f>IF(H2494="","",IFERROR(VLOOKUP(H2494,Listas!$J$2:$K$1048576,2,FALSE),""))</f>
        <v/>
      </c>
      <c r="K2494" s="5" t="str">
        <f>IF(OR(I2494="",G2494=""),"",IF(G2494="Saída",-I2494,I2494))</f>
        <v/>
      </c>
      <c r="L2494" t="str">
        <f>IF(E2494="","",IFERROR(VLOOKUP(E2494,Listas!$A$2:$C$1048576,3,FALSE),""))</f>
        <v/>
      </c>
    </row>
    <row r="2495" spans="10:12" x14ac:dyDescent="0.25">
      <c r="J2495" t="str">
        <f>IF(H2495="","",IFERROR(VLOOKUP(H2495,Listas!$J$2:$K$1048576,2,FALSE),""))</f>
        <v/>
      </c>
      <c r="K2495" s="5" t="str">
        <f>IF(OR(I2495="",G2495=""),"",IF(G2495="Saída",-I2495,I2495))</f>
        <v/>
      </c>
      <c r="L2495" t="str">
        <f>IF(E2495="","",IFERROR(VLOOKUP(E2495,Listas!$A$2:$C$1048576,3,FALSE),""))</f>
        <v/>
      </c>
    </row>
    <row r="2496" spans="10:12" x14ac:dyDescent="0.25">
      <c r="J2496" t="str">
        <f>IF(H2496="","",IFERROR(VLOOKUP(H2496,Listas!$J$2:$K$1048576,2,FALSE),""))</f>
        <v/>
      </c>
      <c r="K2496" s="5" t="str">
        <f>IF(OR(I2496="",G2496=""),"",IF(G2496="Saída",-I2496,I2496))</f>
        <v/>
      </c>
      <c r="L2496" t="str">
        <f>IF(E2496="","",IFERROR(VLOOKUP(E2496,Listas!$A$2:$C$1048576,3,FALSE),""))</f>
        <v/>
      </c>
    </row>
    <row r="2497" spans="10:12" x14ac:dyDescent="0.25">
      <c r="J2497" t="str">
        <f>IF(H2497="","",IFERROR(VLOOKUP(H2497,Listas!$J$2:$K$1048576,2,FALSE),""))</f>
        <v/>
      </c>
      <c r="K2497" s="5" t="str">
        <f>IF(OR(I2497="",G2497=""),"",IF(G2497="Saída",-I2497,I2497))</f>
        <v/>
      </c>
      <c r="L2497" t="str">
        <f>IF(E2497="","",IFERROR(VLOOKUP(E2497,Listas!$A$2:$C$1048576,3,FALSE),""))</f>
        <v/>
      </c>
    </row>
    <row r="2498" spans="10:12" x14ac:dyDescent="0.25">
      <c r="J2498" t="str">
        <f>IF(H2498="","",IFERROR(VLOOKUP(H2498,Listas!$J$2:$K$1048576,2,FALSE),""))</f>
        <v/>
      </c>
      <c r="K2498" s="5" t="str">
        <f>IF(OR(I2498="",G2498=""),"",IF(G2498="Saída",-I2498,I2498))</f>
        <v/>
      </c>
      <c r="L2498" t="str">
        <f>IF(E2498="","",IFERROR(VLOOKUP(E2498,Listas!$A$2:$C$1048576,3,FALSE),""))</f>
        <v/>
      </c>
    </row>
    <row r="2499" spans="10:12" x14ac:dyDescent="0.25">
      <c r="J2499" t="str">
        <f>IF(H2499="","",IFERROR(VLOOKUP(H2499,Listas!$J$2:$K$1048576,2,FALSE),""))</f>
        <v/>
      </c>
      <c r="K2499" s="5" t="str">
        <f>IF(OR(I2499="",G2499=""),"",IF(G2499="Saída",-I2499,I2499))</f>
        <v/>
      </c>
      <c r="L2499" t="str">
        <f>IF(E2499="","",IFERROR(VLOOKUP(E2499,Listas!$A$2:$C$1048576,3,FALSE),""))</f>
        <v/>
      </c>
    </row>
    <row r="2500" spans="10:12" x14ac:dyDescent="0.25">
      <c r="J2500" t="str">
        <f>IF(H2500="","",IFERROR(VLOOKUP(H2500,Listas!$J$2:$K$1048576,2,FALSE),""))</f>
        <v/>
      </c>
      <c r="K2500" s="5" t="str">
        <f>IF(OR(I2500="",G2500=""),"",IF(G2500="Saída",-I2500,I2500))</f>
        <v/>
      </c>
      <c r="L2500" t="str">
        <f>IF(E2500="","",IFERROR(VLOOKUP(E2500,Listas!$A$2:$C$1048576,3,FALSE),""))</f>
        <v/>
      </c>
    </row>
    <row r="2501" spans="10:12" x14ac:dyDescent="0.25">
      <c r="J2501" t="str">
        <f>IF(H2501="","",IFERROR(VLOOKUP(H2501,Listas!$J$2:$K$1048576,2,FALSE),""))</f>
        <v/>
      </c>
      <c r="K2501" s="5" t="str">
        <f>IF(OR(I2501="",G2501=""),"",IF(G2501="Saída",-I2501,I2501))</f>
        <v/>
      </c>
      <c r="L2501" t="str">
        <f>IF(E2501="","",IFERROR(VLOOKUP(E2501,Listas!$A$2:$C$1048576,3,FALSE),""))</f>
        <v/>
      </c>
    </row>
    <row r="2502" spans="10:12" x14ac:dyDescent="0.25">
      <c r="J2502" t="str">
        <f>IF(H2502="","",IFERROR(VLOOKUP(H2502,Listas!$J$2:$K$1048576,2,FALSE),""))</f>
        <v/>
      </c>
      <c r="K2502" s="5" t="str">
        <f>IF(OR(I2502="",G2502=""),"",IF(G2502="Saída",-I2502,I2502))</f>
        <v/>
      </c>
      <c r="L2502" t="str">
        <f>IF(E2502="","",IFERROR(VLOOKUP(E2502,Listas!$A$2:$C$1048576,3,FALSE),""))</f>
        <v/>
      </c>
    </row>
    <row r="2503" spans="10:12" x14ac:dyDescent="0.25">
      <c r="J2503" t="str">
        <f>IF(H2503="","",IFERROR(VLOOKUP(H2503,Listas!$J$2:$K$1048576,2,FALSE),""))</f>
        <v/>
      </c>
      <c r="K2503" s="5" t="str">
        <f>IF(OR(I2503="",G2503=""),"",IF(G2503="Saída",-I2503,I2503))</f>
        <v/>
      </c>
      <c r="L2503" t="str">
        <f>IF(E2503="","",IFERROR(VLOOKUP(E2503,Listas!$A$2:$C$1048576,3,FALSE),""))</f>
        <v/>
      </c>
    </row>
    <row r="2504" spans="10:12" x14ac:dyDescent="0.25">
      <c r="J2504" t="str">
        <f>IF(H2504="","",IFERROR(VLOOKUP(H2504,Listas!$J$2:$K$1048576,2,FALSE),""))</f>
        <v/>
      </c>
      <c r="K2504" s="5" t="str">
        <f>IF(OR(I2504="",G2504=""),"",IF(G2504="Saída",-I2504,I2504))</f>
        <v/>
      </c>
      <c r="L2504" t="str">
        <f>IF(E2504="","",IFERROR(VLOOKUP(E2504,Listas!$A$2:$C$1048576,3,FALSE),""))</f>
        <v/>
      </c>
    </row>
    <row r="2505" spans="10:12" x14ac:dyDescent="0.25">
      <c r="J2505" t="str">
        <f>IF(H2505="","",IFERROR(VLOOKUP(H2505,Listas!$J$2:$K$1048576,2,FALSE),""))</f>
        <v/>
      </c>
      <c r="K2505" s="5" t="str">
        <f>IF(OR(I2505="",G2505=""),"",IF(G2505="Saída",-I2505,I2505))</f>
        <v/>
      </c>
      <c r="L2505" t="str">
        <f>IF(E2505="","",IFERROR(VLOOKUP(E2505,Listas!$A$2:$C$1048576,3,FALSE),""))</f>
        <v/>
      </c>
    </row>
    <row r="2506" spans="10:12" x14ac:dyDescent="0.25">
      <c r="J2506" t="str">
        <f>IF(H2506="","",IFERROR(VLOOKUP(H2506,Listas!$J$2:$K$1048576,2,FALSE),""))</f>
        <v/>
      </c>
      <c r="K2506" s="5" t="str">
        <f>IF(OR(I2506="",G2506=""),"",IF(G2506="Saída",-I2506,I2506))</f>
        <v/>
      </c>
      <c r="L2506" t="str">
        <f>IF(E2506="","",IFERROR(VLOOKUP(E2506,Listas!$A$2:$C$1048576,3,FALSE),""))</f>
        <v/>
      </c>
    </row>
    <row r="2507" spans="10:12" x14ac:dyDescent="0.25">
      <c r="J2507" t="str">
        <f>IF(H2507="","",IFERROR(VLOOKUP(H2507,Listas!$J$2:$K$1048576,2,FALSE),""))</f>
        <v/>
      </c>
      <c r="K2507" s="5" t="str">
        <f>IF(OR(I2507="",G2507=""),"",IF(G2507="Saída",-I2507,I2507))</f>
        <v/>
      </c>
      <c r="L2507" t="str">
        <f>IF(E2507="","",IFERROR(VLOOKUP(E2507,Listas!$A$2:$C$1048576,3,FALSE),""))</f>
        <v/>
      </c>
    </row>
    <row r="2508" spans="10:12" x14ac:dyDescent="0.25">
      <c r="J2508" t="str">
        <f>IF(H2508="","",IFERROR(VLOOKUP(H2508,Listas!$J$2:$K$1048576,2,FALSE),""))</f>
        <v/>
      </c>
      <c r="K2508" s="5" t="str">
        <f>IF(OR(I2508="",G2508=""),"",IF(G2508="Saída",-I2508,I2508))</f>
        <v/>
      </c>
      <c r="L2508" t="str">
        <f>IF(E2508="","",IFERROR(VLOOKUP(E2508,Listas!$A$2:$C$1048576,3,FALSE),""))</f>
        <v/>
      </c>
    </row>
    <row r="2509" spans="10:12" x14ac:dyDescent="0.25">
      <c r="J2509" t="str">
        <f>IF(H2509="","",IFERROR(VLOOKUP(H2509,Listas!$J$2:$K$1048576,2,FALSE),""))</f>
        <v/>
      </c>
      <c r="K2509" s="5" t="str">
        <f>IF(OR(I2509="",G2509=""),"",IF(G2509="Saída",-I2509,I2509))</f>
        <v/>
      </c>
      <c r="L2509" t="str">
        <f>IF(E2509="","",IFERROR(VLOOKUP(E2509,Listas!$A$2:$C$1048576,3,FALSE),""))</f>
        <v/>
      </c>
    </row>
    <row r="2510" spans="10:12" x14ac:dyDescent="0.25">
      <c r="J2510" t="str">
        <f>IF(H2510="","",IFERROR(VLOOKUP(H2510,Listas!$J$2:$K$1048576,2,FALSE),""))</f>
        <v/>
      </c>
      <c r="K2510" s="5" t="str">
        <f>IF(OR(I2510="",G2510=""),"",IF(G2510="Saída",-I2510,I2510))</f>
        <v/>
      </c>
      <c r="L2510" t="str">
        <f>IF(E2510="","",IFERROR(VLOOKUP(E2510,Listas!$A$2:$C$1048576,3,FALSE),""))</f>
        <v/>
      </c>
    </row>
    <row r="2511" spans="10:12" x14ac:dyDescent="0.25">
      <c r="J2511" t="str">
        <f>IF(H2511="","",IFERROR(VLOOKUP(H2511,Listas!$J$2:$K$1048576,2,FALSE),""))</f>
        <v/>
      </c>
      <c r="K2511" s="5" t="str">
        <f>IF(OR(I2511="",G2511=""),"",IF(G2511="Saída",-I2511,I2511))</f>
        <v/>
      </c>
      <c r="L2511" t="str">
        <f>IF(E2511="","",IFERROR(VLOOKUP(E2511,Listas!$A$2:$C$1048576,3,FALSE),""))</f>
        <v/>
      </c>
    </row>
    <row r="2512" spans="10:12" x14ac:dyDescent="0.25">
      <c r="J2512" t="str">
        <f>IF(H2512="","",IFERROR(VLOOKUP(H2512,Listas!$J$2:$K$1048576,2,FALSE),""))</f>
        <v/>
      </c>
      <c r="K2512" s="5" t="str">
        <f>IF(OR(I2512="",G2512=""),"",IF(G2512="Saída",-I2512,I2512))</f>
        <v/>
      </c>
      <c r="L2512" t="str">
        <f>IF(E2512="","",IFERROR(VLOOKUP(E2512,Listas!$A$2:$C$1048576,3,FALSE),""))</f>
        <v/>
      </c>
    </row>
    <row r="2513" spans="10:12" x14ac:dyDescent="0.25">
      <c r="J2513" t="str">
        <f>IF(H2513="","",IFERROR(VLOOKUP(H2513,Listas!$J$2:$K$1048576,2,FALSE),""))</f>
        <v/>
      </c>
      <c r="K2513" s="5" t="str">
        <f>IF(OR(I2513="",G2513=""),"",IF(G2513="Saída",-I2513,I2513))</f>
        <v/>
      </c>
      <c r="L2513" t="str">
        <f>IF(E2513="","",IFERROR(VLOOKUP(E2513,Listas!$A$2:$C$1048576,3,FALSE),""))</f>
        <v/>
      </c>
    </row>
    <row r="2514" spans="10:12" x14ac:dyDescent="0.25">
      <c r="J2514" t="str">
        <f>IF(H2514="","",IFERROR(VLOOKUP(H2514,Listas!$J$2:$K$1048576,2,FALSE),""))</f>
        <v/>
      </c>
      <c r="K2514" s="5" t="str">
        <f>IF(OR(I2514="",G2514=""),"",IF(G2514="Saída",-I2514,I2514))</f>
        <v/>
      </c>
      <c r="L2514" t="str">
        <f>IF(E2514="","",IFERROR(VLOOKUP(E2514,Listas!$A$2:$C$1048576,3,FALSE),""))</f>
        <v/>
      </c>
    </row>
    <row r="2515" spans="10:12" x14ac:dyDescent="0.25">
      <c r="J2515" t="str">
        <f>IF(H2515="","",IFERROR(VLOOKUP(H2515,Listas!$J$2:$K$1048576,2,FALSE),""))</f>
        <v/>
      </c>
      <c r="K2515" s="5" t="str">
        <f>IF(OR(I2515="",G2515=""),"",IF(G2515="Saída",-I2515,I2515))</f>
        <v/>
      </c>
      <c r="L2515" t="str">
        <f>IF(E2515="","",IFERROR(VLOOKUP(E2515,Listas!$A$2:$C$1048576,3,FALSE),""))</f>
        <v/>
      </c>
    </row>
    <row r="2516" spans="10:12" x14ac:dyDescent="0.25">
      <c r="J2516" t="str">
        <f>IF(H2516="","",IFERROR(VLOOKUP(H2516,Listas!$J$2:$K$1048576,2,FALSE),""))</f>
        <v/>
      </c>
      <c r="K2516" s="5" t="str">
        <f>IF(OR(I2516="",G2516=""),"",IF(G2516="Saída",-I2516,I2516))</f>
        <v/>
      </c>
      <c r="L2516" t="str">
        <f>IF(E2516="","",IFERROR(VLOOKUP(E2516,Listas!$A$2:$C$1048576,3,FALSE),""))</f>
        <v/>
      </c>
    </row>
    <row r="2517" spans="10:12" x14ac:dyDescent="0.25">
      <c r="J2517" t="str">
        <f>IF(H2517="","",IFERROR(VLOOKUP(H2517,Listas!$J$2:$K$1048576,2,FALSE),""))</f>
        <v/>
      </c>
      <c r="K2517" s="5" t="str">
        <f>IF(OR(I2517="",G2517=""),"",IF(G2517="Saída",-I2517,I2517))</f>
        <v/>
      </c>
      <c r="L2517" t="str">
        <f>IF(E2517="","",IFERROR(VLOOKUP(E2517,Listas!$A$2:$C$1048576,3,FALSE),""))</f>
        <v/>
      </c>
    </row>
    <row r="2518" spans="10:12" x14ac:dyDescent="0.25">
      <c r="J2518" t="str">
        <f>IF(H2518="","",IFERROR(VLOOKUP(H2518,Listas!$J$2:$K$1048576,2,FALSE),""))</f>
        <v/>
      </c>
      <c r="K2518" s="5" t="str">
        <f>IF(OR(I2518="",G2518=""),"",IF(G2518="Saída",-I2518,I2518))</f>
        <v/>
      </c>
      <c r="L2518" t="str">
        <f>IF(E2518="","",IFERROR(VLOOKUP(E2518,Listas!$A$2:$C$1048576,3,FALSE),""))</f>
        <v/>
      </c>
    </row>
    <row r="2519" spans="10:12" x14ac:dyDescent="0.25">
      <c r="J2519" t="str">
        <f>IF(H2519="","",IFERROR(VLOOKUP(H2519,Listas!$J$2:$K$1048576,2,FALSE),""))</f>
        <v/>
      </c>
      <c r="K2519" s="5" t="str">
        <f>IF(OR(I2519="",G2519=""),"",IF(G2519="Saída",-I2519,I2519))</f>
        <v/>
      </c>
      <c r="L2519" t="str">
        <f>IF(E2519="","",IFERROR(VLOOKUP(E2519,Listas!$A$2:$C$1048576,3,FALSE),""))</f>
        <v/>
      </c>
    </row>
    <row r="2520" spans="10:12" x14ac:dyDescent="0.25">
      <c r="J2520" t="str">
        <f>IF(H2520="","",IFERROR(VLOOKUP(H2520,Listas!$J$2:$K$1048576,2,FALSE),""))</f>
        <v/>
      </c>
      <c r="K2520" s="5" t="str">
        <f>IF(OR(I2520="",G2520=""),"",IF(G2520="Saída",-I2520,I2520))</f>
        <v/>
      </c>
      <c r="L2520" t="str">
        <f>IF(E2520="","",IFERROR(VLOOKUP(E2520,Listas!$A$2:$C$1048576,3,FALSE),""))</f>
        <v/>
      </c>
    </row>
    <row r="2521" spans="10:12" x14ac:dyDescent="0.25">
      <c r="J2521" t="str">
        <f>IF(H2521="","",IFERROR(VLOOKUP(H2521,Listas!$J$2:$K$1048576,2,FALSE),""))</f>
        <v/>
      </c>
      <c r="K2521" s="5" t="str">
        <f>IF(OR(I2521="",G2521=""),"",IF(G2521="Saída",-I2521,I2521))</f>
        <v/>
      </c>
      <c r="L2521" t="str">
        <f>IF(E2521="","",IFERROR(VLOOKUP(E2521,Listas!$A$2:$C$1048576,3,FALSE),""))</f>
        <v/>
      </c>
    </row>
    <row r="2522" spans="10:12" x14ac:dyDescent="0.25">
      <c r="J2522" t="str">
        <f>IF(H2522="","",IFERROR(VLOOKUP(H2522,Listas!$J$2:$K$1048576,2,FALSE),""))</f>
        <v/>
      </c>
      <c r="K2522" s="5" t="str">
        <f>IF(OR(I2522="",G2522=""),"",IF(G2522="Saída",-I2522,I2522))</f>
        <v/>
      </c>
      <c r="L2522" t="str">
        <f>IF(E2522="","",IFERROR(VLOOKUP(E2522,Listas!$A$2:$C$1048576,3,FALSE),""))</f>
        <v/>
      </c>
    </row>
    <row r="2523" spans="10:12" x14ac:dyDescent="0.25">
      <c r="J2523" t="str">
        <f>IF(H2523="","",IFERROR(VLOOKUP(H2523,Listas!$J$2:$K$1048576,2,FALSE),""))</f>
        <v/>
      </c>
      <c r="K2523" s="5" t="str">
        <f>IF(OR(I2523="",G2523=""),"",IF(G2523="Saída",-I2523,I2523))</f>
        <v/>
      </c>
      <c r="L2523" t="str">
        <f>IF(E2523="","",IFERROR(VLOOKUP(E2523,Listas!$A$2:$C$1048576,3,FALSE),""))</f>
        <v/>
      </c>
    </row>
    <row r="2524" spans="10:12" x14ac:dyDescent="0.25">
      <c r="J2524" t="str">
        <f>IF(H2524="","",IFERROR(VLOOKUP(H2524,Listas!$J$2:$K$1048576,2,FALSE),""))</f>
        <v/>
      </c>
      <c r="K2524" s="5" t="str">
        <f>IF(OR(I2524="",G2524=""),"",IF(G2524="Saída",-I2524,I2524))</f>
        <v/>
      </c>
      <c r="L2524" t="str">
        <f>IF(E2524="","",IFERROR(VLOOKUP(E2524,Listas!$A$2:$C$1048576,3,FALSE),""))</f>
        <v/>
      </c>
    </row>
    <row r="2525" spans="10:12" x14ac:dyDescent="0.25">
      <c r="J2525" t="str">
        <f>IF(H2525="","",IFERROR(VLOOKUP(H2525,Listas!$J$2:$K$1048576,2,FALSE),""))</f>
        <v/>
      </c>
      <c r="K2525" s="5" t="str">
        <f>IF(OR(I2525="",G2525=""),"",IF(G2525="Saída",-I2525,I2525))</f>
        <v/>
      </c>
      <c r="L2525" t="str">
        <f>IF(E2525="","",IFERROR(VLOOKUP(E2525,Listas!$A$2:$C$1048576,3,FALSE),""))</f>
        <v/>
      </c>
    </row>
    <row r="2526" spans="10:12" x14ac:dyDescent="0.25">
      <c r="J2526" t="str">
        <f>IF(H2526="","",IFERROR(VLOOKUP(H2526,Listas!$J$2:$K$1048576,2,FALSE),""))</f>
        <v/>
      </c>
      <c r="K2526" s="5" t="str">
        <f>IF(OR(I2526="",G2526=""),"",IF(G2526="Saída",-I2526,I2526))</f>
        <v/>
      </c>
      <c r="L2526" t="str">
        <f>IF(E2526="","",IFERROR(VLOOKUP(E2526,Listas!$A$2:$C$1048576,3,FALSE),""))</f>
        <v/>
      </c>
    </row>
    <row r="2527" spans="10:12" x14ac:dyDescent="0.25">
      <c r="J2527" t="str">
        <f>IF(H2527="","",IFERROR(VLOOKUP(H2527,Listas!$J$2:$K$1048576,2,FALSE),""))</f>
        <v/>
      </c>
      <c r="K2527" s="5" t="str">
        <f>IF(OR(I2527="",G2527=""),"",IF(G2527="Saída",-I2527,I2527))</f>
        <v/>
      </c>
      <c r="L2527" t="str">
        <f>IF(E2527="","",IFERROR(VLOOKUP(E2527,Listas!$A$2:$C$1048576,3,FALSE),""))</f>
        <v/>
      </c>
    </row>
    <row r="2528" spans="10:12" x14ac:dyDescent="0.25">
      <c r="J2528" t="str">
        <f>IF(H2528="","",IFERROR(VLOOKUP(H2528,Listas!$J$2:$K$1048576,2,FALSE),""))</f>
        <v/>
      </c>
      <c r="K2528" s="5" t="str">
        <f>IF(OR(I2528="",G2528=""),"",IF(G2528="Saída",-I2528,I2528))</f>
        <v/>
      </c>
      <c r="L2528" t="str">
        <f>IF(E2528="","",IFERROR(VLOOKUP(E2528,Listas!$A$2:$C$1048576,3,FALSE),""))</f>
        <v/>
      </c>
    </row>
    <row r="2529" spans="10:12" x14ac:dyDescent="0.25">
      <c r="J2529" t="str">
        <f>IF(H2529="","",IFERROR(VLOOKUP(H2529,Listas!$J$2:$K$1048576,2,FALSE),""))</f>
        <v/>
      </c>
      <c r="K2529" s="5" t="str">
        <f>IF(OR(I2529="",G2529=""),"",IF(G2529="Saída",-I2529,I2529))</f>
        <v/>
      </c>
      <c r="L2529" t="str">
        <f>IF(E2529="","",IFERROR(VLOOKUP(E2529,Listas!$A$2:$C$1048576,3,FALSE),""))</f>
        <v/>
      </c>
    </row>
    <row r="2530" spans="10:12" x14ac:dyDescent="0.25">
      <c r="J2530" t="str">
        <f>IF(H2530="","",IFERROR(VLOOKUP(H2530,Listas!$J$2:$K$1048576,2,FALSE),""))</f>
        <v/>
      </c>
      <c r="K2530" s="5" t="str">
        <f>IF(OR(I2530="",G2530=""),"",IF(G2530="Saída",-I2530,I2530))</f>
        <v/>
      </c>
      <c r="L2530" t="str">
        <f>IF(E2530="","",IFERROR(VLOOKUP(E2530,Listas!$A$2:$C$1048576,3,FALSE),""))</f>
        <v/>
      </c>
    </row>
    <row r="2531" spans="10:12" x14ac:dyDescent="0.25">
      <c r="J2531" t="str">
        <f>IF(H2531="","",IFERROR(VLOOKUP(H2531,Listas!$J$2:$K$1048576,2,FALSE),""))</f>
        <v/>
      </c>
      <c r="K2531" s="5" t="str">
        <f>IF(OR(I2531="",G2531=""),"",IF(G2531="Saída",-I2531,I2531))</f>
        <v/>
      </c>
      <c r="L2531" t="str">
        <f>IF(E2531="","",IFERROR(VLOOKUP(E2531,Listas!$A$2:$C$1048576,3,FALSE),""))</f>
        <v/>
      </c>
    </row>
    <row r="2532" spans="10:12" x14ac:dyDescent="0.25">
      <c r="J2532" t="str">
        <f>IF(H2532="","",IFERROR(VLOOKUP(H2532,Listas!$J$2:$K$1048576,2,FALSE),""))</f>
        <v/>
      </c>
      <c r="K2532" s="5" t="str">
        <f>IF(OR(I2532="",G2532=""),"",IF(G2532="Saída",-I2532,I2532))</f>
        <v/>
      </c>
      <c r="L2532" t="str">
        <f>IF(E2532="","",IFERROR(VLOOKUP(E2532,Listas!$A$2:$C$1048576,3,FALSE),""))</f>
        <v/>
      </c>
    </row>
    <row r="2533" spans="10:12" x14ac:dyDescent="0.25">
      <c r="J2533" t="str">
        <f>IF(H2533="","",IFERROR(VLOOKUP(H2533,Listas!$J$2:$K$1048576,2,FALSE),""))</f>
        <v/>
      </c>
      <c r="K2533" s="5" t="str">
        <f>IF(OR(I2533="",G2533=""),"",IF(G2533="Saída",-I2533,I2533))</f>
        <v/>
      </c>
      <c r="L2533" t="str">
        <f>IF(E2533="","",IFERROR(VLOOKUP(E2533,Listas!$A$2:$C$1048576,3,FALSE),""))</f>
        <v/>
      </c>
    </row>
    <row r="2534" spans="10:12" x14ac:dyDescent="0.25">
      <c r="J2534" t="str">
        <f>IF(H2534="","",IFERROR(VLOOKUP(H2534,Listas!$J$2:$K$1048576,2,FALSE),""))</f>
        <v/>
      </c>
      <c r="K2534" s="5" t="str">
        <f>IF(OR(I2534="",G2534=""),"",IF(G2534="Saída",-I2534,I2534))</f>
        <v/>
      </c>
      <c r="L2534" t="str">
        <f>IF(E2534="","",IFERROR(VLOOKUP(E2534,Listas!$A$2:$C$1048576,3,FALSE),""))</f>
        <v/>
      </c>
    </row>
    <row r="2535" spans="10:12" x14ac:dyDescent="0.25">
      <c r="J2535" t="str">
        <f>IF(H2535="","",IFERROR(VLOOKUP(H2535,Listas!$J$2:$K$1048576,2,FALSE),""))</f>
        <v/>
      </c>
      <c r="K2535" s="5" t="str">
        <f>IF(OR(I2535="",G2535=""),"",IF(G2535="Saída",-I2535,I2535))</f>
        <v/>
      </c>
      <c r="L2535" t="str">
        <f>IF(E2535="","",IFERROR(VLOOKUP(E2535,Listas!$A$2:$C$1048576,3,FALSE),""))</f>
        <v/>
      </c>
    </row>
    <row r="2536" spans="10:12" x14ac:dyDescent="0.25">
      <c r="J2536" t="str">
        <f>IF(H2536="","",IFERROR(VLOOKUP(H2536,Listas!$J$2:$K$1048576,2,FALSE),""))</f>
        <v/>
      </c>
      <c r="K2536" s="5" t="str">
        <f>IF(OR(I2536="",G2536=""),"",IF(G2536="Saída",-I2536,I2536))</f>
        <v/>
      </c>
      <c r="L2536" t="str">
        <f>IF(E2536="","",IFERROR(VLOOKUP(E2536,Listas!$A$2:$C$1048576,3,FALSE),""))</f>
        <v/>
      </c>
    </row>
    <row r="2537" spans="10:12" x14ac:dyDescent="0.25">
      <c r="J2537" t="str">
        <f>IF(H2537="","",IFERROR(VLOOKUP(H2537,Listas!$J$2:$K$1048576,2,FALSE),""))</f>
        <v/>
      </c>
      <c r="K2537" s="5" t="str">
        <f>IF(OR(I2537="",G2537=""),"",IF(G2537="Saída",-I2537,I2537))</f>
        <v/>
      </c>
      <c r="L2537" t="str">
        <f>IF(E2537="","",IFERROR(VLOOKUP(E2537,Listas!$A$2:$C$1048576,3,FALSE),""))</f>
        <v/>
      </c>
    </row>
    <row r="2538" spans="10:12" x14ac:dyDescent="0.25">
      <c r="J2538" t="str">
        <f>IF(H2538="","",IFERROR(VLOOKUP(H2538,Listas!$J$2:$K$1048576,2,FALSE),""))</f>
        <v/>
      </c>
      <c r="K2538" s="5" t="str">
        <f>IF(OR(I2538="",G2538=""),"",IF(G2538="Saída",-I2538,I2538))</f>
        <v/>
      </c>
      <c r="L2538" t="str">
        <f>IF(E2538="","",IFERROR(VLOOKUP(E2538,Listas!$A$2:$C$1048576,3,FALSE),""))</f>
        <v/>
      </c>
    </row>
    <row r="2539" spans="10:12" x14ac:dyDescent="0.25">
      <c r="J2539" t="str">
        <f>IF(H2539="","",IFERROR(VLOOKUP(H2539,Listas!$J$2:$K$1048576,2,FALSE),""))</f>
        <v/>
      </c>
      <c r="K2539" s="5" t="str">
        <f>IF(OR(I2539="",G2539=""),"",IF(G2539="Saída",-I2539,I2539))</f>
        <v/>
      </c>
      <c r="L2539" t="str">
        <f>IF(E2539="","",IFERROR(VLOOKUP(E2539,Listas!$A$2:$C$1048576,3,FALSE),""))</f>
        <v/>
      </c>
    </row>
    <row r="2540" spans="10:12" x14ac:dyDescent="0.25">
      <c r="J2540" t="str">
        <f>IF(H2540="","",IFERROR(VLOOKUP(H2540,Listas!$J$2:$K$1048576,2,FALSE),""))</f>
        <v/>
      </c>
      <c r="K2540" s="5" t="str">
        <f>IF(OR(I2540="",G2540=""),"",IF(G2540="Saída",-I2540,I2540))</f>
        <v/>
      </c>
      <c r="L2540" t="str">
        <f>IF(E2540="","",IFERROR(VLOOKUP(E2540,Listas!$A$2:$C$1048576,3,FALSE),""))</f>
        <v/>
      </c>
    </row>
    <row r="2541" spans="10:12" x14ac:dyDescent="0.25">
      <c r="J2541" t="str">
        <f>IF(H2541="","",IFERROR(VLOOKUP(H2541,Listas!$J$2:$K$1048576,2,FALSE),""))</f>
        <v/>
      </c>
      <c r="K2541" s="5" t="str">
        <f>IF(OR(I2541="",G2541=""),"",IF(G2541="Saída",-I2541,I2541))</f>
        <v/>
      </c>
      <c r="L2541" t="str">
        <f>IF(E2541="","",IFERROR(VLOOKUP(E2541,Listas!$A$2:$C$1048576,3,FALSE),""))</f>
        <v/>
      </c>
    </row>
    <row r="2542" spans="10:12" x14ac:dyDescent="0.25">
      <c r="J2542" t="str">
        <f>IF(H2542="","",IFERROR(VLOOKUP(H2542,Listas!$J$2:$K$1048576,2,FALSE),""))</f>
        <v/>
      </c>
      <c r="K2542" s="5" t="str">
        <f>IF(OR(I2542="",G2542=""),"",IF(G2542="Saída",-I2542,I2542))</f>
        <v/>
      </c>
      <c r="L2542" t="str">
        <f>IF(E2542="","",IFERROR(VLOOKUP(E2542,Listas!$A$2:$C$1048576,3,FALSE),""))</f>
        <v/>
      </c>
    </row>
    <row r="2543" spans="10:12" x14ac:dyDescent="0.25">
      <c r="J2543" t="str">
        <f>IF(H2543="","",IFERROR(VLOOKUP(H2543,Listas!$J$2:$K$1048576,2,FALSE),""))</f>
        <v/>
      </c>
      <c r="K2543" s="5" t="str">
        <f>IF(OR(I2543="",G2543=""),"",IF(G2543="Saída",-I2543,I2543))</f>
        <v/>
      </c>
      <c r="L2543" t="str">
        <f>IF(E2543="","",IFERROR(VLOOKUP(E2543,Listas!$A$2:$C$1048576,3,FALSE),""))</f>
        <v/>
      </c>
    </row>
    <row r="2544" spans="10:12" x14ac:dyDescent="0.25">
      <c r="J2544" t="str">
        <f>IF(H2544="","",IFERROR(VLOOKUP(H2544,Listas!$J$2:$K$1048576,2,FALSE),""))</f>
        <v/>
      </c>
      <c r="K2544" s="5" t="str">
        <f>IF(OR(I2544="",G2544=""),"",IF(G2544="Saída",-I2544,I2544))</f>
        <v/>
      </c>
      <c r="L2544" t="str">
        <f>IF(E2544="","",IFERROR(VLOOKUP(E2544,Listas!$A$2:$C$1048576,3,FALSE),""))</f>
        <v/>
      </c>
    </row>
    <row r="2545" spans="10:12" x14ac:dyDescent="0.25">
      <c r="J2545" t="str">
        <f>IF(H2545="","",IFERROR(VLOOKUP(H2545,Listas!$J$2:$K$1048576,2,FALSE),""))</f>
        <v/>
      </c>
      <c r="K2545" s="5" t="str">
        <f>IF(OR(I2545="",G2545=""),"",IF(G2545="Saída",-I2545,I2545))</f>
        <v/>
      </c>
      <c r="L2545" t="str">
        <f>IF(E2545="","",IFERROR(VLOOKUP(E2545,Listas!$A$2:$C$1048576,3,FALSE),""))</f>
        <v/>
      </c>
    </row>
    <row r="2546" spans="10:12" x14ac:dyDescent="0.25">
      <c r="J2546" t="str">
        <f>IF(H2546="","",IFERROR(VLOOKUP(H2546,Listas!$J$2:$K$1048576,2,FALSE),""))</f>
        <v/>
      </c>
      <c r="K2546" s="5" t="str">
        <f>IF(OR(I2546="",G2546=""),"",IF(G2546="Saída",-I2546,I2546))</f>
        <v/>
      </c>
      <c r="L2546" t="str">
        <f>IF(E2546="","",IFERROR(VLOOKUP(E2546,Listas!$A$2:$C$1048576,3,FALSE),""))</f>
        <v/>
      </c>
    </row>
    <row r="2547" spans="10:12" x14ac:dyDescent="0.25">
      <c r="J2547" t="str">
        <f>IF(H2547="","",IFERROR(VLOOKUP(H2547,Listas!$J$2:$K$1048576,2,FALSE),""))</f>
        <v/>
      </c>
      <c r="K2547" s="5" t="str">
        <f>IF(OR(I2547="",G2547=""),"",IF(G2547="Saída",-I2547,I2547))</f>
        <v/>
      </c>
      <c r="L2547" t="str">
        <f>IF(E2547="","",IFERROR(VLOOKUP(E2547,Listas!$A$2:$C$1048576,3,FALSE),""))</f>
        <v/>
      </c>
    </row>
    <row r="2548" spans="10:12" x14ac:dyDescent="0.25">
      <c r="J2548" t="str">
        <f>IF(H2548="","",IFERROR(VLOOKUP(H2548,Listas!$J$2:$K$1048576,2,FALSE),""))</f>
        <v/>
      </c>
      <c r="K2548" s="5" t="str">
        <f>IF(OR(I2548="",G2548=""),"",IF(G2548="Saída",-I2548,I2548))</f>
        <v/>
      </c>
      <c r="L2548" t="str">
        <f>IF(E2548="","",IFERROR(VLOOKUP(E2548,Listas!$A$2:$C$1048576,3,FALSE),""))</f>
        <v/>
      </c>
    </row>
    <row r="2549" spans="10:12" x14ac:dyDescent="0.25">
      <c r="J2549" t="str">
        <f>IF(H2549="","",IFERROR(VLOOKUP(H2549,Listas!$J$2:$K$1048576,2,FALSE),""))</f>
        <v/>
      </c>
      <c r="K2549" s="5" t="str">
        <f>IF(OR(I2549="",G2549=""),"",IF(G2549="Saída",-I2549,I2549))</f>
        <v/>
      </c>
      <c r="L2549" t="str">
        <f>IF(E2549="","",IFERROR(VLOOKUP(E2549,Listas!$A$2:$C$1048576,3,FALSE),""))</f>
        <v/>
      </c>
    </row>
    <row r="2550" spans="10:12" x14ac:dyDescent="0.25">
      <c r="J2550" t="str">
        <f>IF(H2550="","",IFERROR(VLOOKUP(H2550,Listas!$J$2:$K$1048576,2,FALSE),""))</f>
        <v/>
      </c>
      <c r="K2550" s="5" t="str">
        <f>IF(OR(I2550="",G2550=""),"",IF(G2550="Saída",-I2550,I2550))</f>
        <v/>
      </c>
      <c r="L2550" t="str">
        <f>IF(E2550="","",IFERROR(VLOOKUP(E2550,Listas!$A$2:$C$1048576,3,FALSE),""))</f>
        <v/>
      </c>
    </row>
    <row r="2551" spans="10:12" x14ac:dyDescent="0.25">
      <c r="J2551" t="str">
        <f>IF(H2551="","",IFERROR(VLOOKUP(H2551,Listas!$J$2:$K$1048576,2,FALSE),""))</f>
        <v/>
      </c>
      <c r="K2551" s="5" t="str">
        <f>IF(OR(I2551="",G2551=""),"",IF(G2551="Saída",-I2551,I2551))</f>
        <v/>
      </c>
      <c r="L2551" t="str">
        <f>IF(E2551="","",IFERROR(VLOOKUP(E2551,Listas!$A$2:$C$1048576,3,FALSE),""))</f>
        <v/>
      </c>
    </row>
    <row r="2552" spans="10:12" x14ac:dyDescent="0.25">
      <c r="J2552" t="str">
        <f>IF(H2552="","",IFERROR(VLOOKUP(H2552,Listas!$J$2:$K$1048576,2,FALSE),""))</f>
        <v/>
      </c>
      <c r="K2552" s="5" t="str">
        <f>IF(OR(I2552="",G2552=""),"",IF(G2552="Saída",-I2552,I2552))</f>
        <v/>
      </c>
      <c r="L2552" t="str">
        <f>IF(E2552="","",IFERROR(VLOOKUP(E2552,Listas!$A$2:$C$1048576,3,FALSE),""))</f>
        <v/>
      </c>
    </row>
    <row r="2553" spans="10:12" x14ac:dyDescent="0.25">
      <c r="J2553" t="str">
        <f>IF(H2553="","",IFERROR(VLOOKUP(H2553,Listas!$J$2:$K$1048576,2,FALSE),""))</f>
        <v/>
      </c>
      <c r="K2553" s="5" t="str">
        <f>IF(OR(I2553="",G2553=""),"",IF(G2553="Saída",-I2553,I2553))</f>
        <v/>
      </c>
      <c r="L2553" t="str">
        <f>IF(E2553="","",IFERROR(VLOOKUP(E2553,Listas!$A$2:$C$1048576,3,FALSE),""))</f>
        <v/>
      </c>
    </row>
    <row r="2554" spans="10:12" x14ac:dyDescent="0.25">
      <c r="J2554" t="str">
        <f>IF(H2554="","",IFERROR(VLOOKUP(H2554,Listas!$J$2:$K$1048576,2,FALSE),""))</f>
        <v/>
      </c>
      <c r="K2554" s="5" t="str">
        <f>IF(OR(I2554="",G2554=""),"",IF(G2554="Saída",-I2554,I2554))</f>
        <v/>
      </c>
      <c r="L2554" t="str">
        <f>IF(E2554="","",IFERROR(VLOOKUP(E2554,Listas!$A$2:$C$1048576,3,FALSE),""))</f>
        <v/>
      </c>
    </row>
    <row r="2555" spans="10:12" x14ac:dyDescent="0.25">
      <c r="J2555" t="str">
        <f>IF(H2555="","",IFERROR(VLOOKUP(H2555,Listas!$J$2:$K$1048576,2,FALSE),""))</f>
        <v/>
      </c>
      <c r="K2555" s="5" t="str">
        <f>IF(OR(I2555="",G2555=""),"",IF(G2555="Saída",-I2555,I2555))</f>
        <v/>
      </c>
      <c r="L2555" t="str">
        <f>IF(E2555="","",IFERROR(VLOOKUP(E2555,Listas!$A$2:$C$1048576,3,FALSE),""))</f>
        <v/>
      </c>
    </row>
    <row r="2556" spans="10:12" x14ac:dyDescent="0.25">
      <c r="J2556" t="str">
        <f>IF(H2556="","",IFERROR(VLOOKUP(H2556,Listas!$J$2:$K$1048576,2,FALSE),""))</f>
        <v/>
      </c>
      <c r="K2556" s="5" t="str">
        <f>IF(OR(I2556="",G2556=""),"",IF(G2556="Saída",-I2556,I2556))</f>
        <v/>
      </c>
      <c r="L2556" t="str">
        <f>IF(E2556="","",IFERROR(VLOOKUP(E2556,Listas!$A$2:$C$1048576,3,FALSE),""))</f>
        <v/>
      </c>
    </row>
    <row r="2557" spans="10:12" x14ac:dyDescent="0.25">
      <c r="J2557" t="str">
        <f>IF(H2557="","",IFERROR(VLOOKUP(H2557,Listas!$J$2:$K$1048576,2,FALSE),""))</f>
        <v/>
      </c>
      <c r="K2557" s="5" t="str">
        <f>IF(OR(I2557="",G2557=""),"",IF(G2557="Saída",-I2557,I2557))</f>
        <v/>
      </c>
      <c r="L2557" t="str">
        <f>IF(E2557="","",IFERROR(VLOOKUP(E2557,Listas!$A$2:$C$1048576,3,FALSE),""))</f>
        <v/>
      </c>
    </row>
    <row r="2558" spans="10:12" x14ac:dyDescent="0.25">
      <c r="J2558" t="str">
        <f>IF(H2558="","",IFERROR(VLOOKUP(H2558,Listas!$J$2:$K$1048576,2,FALSE),""))</f>
        <v/>
      </c>
      <c r="K2558" s="5" t="str">
        <f>IF(OR(I2558="",G2558=""),"",IF(G2558="Saída",-I2558,I2558))</f>
        <v/>
      </c>
      <c r="L2558" t="str">
        <f>IF(E2558="","",IFERROR(VLOOKUP(E2558,Listas!$A$2:$C$1048576,3,FALSE),""))</f>
        <v/>
      </c>
    </row>
    <row r="2559" spans="10:12" x14ac:dyDescent="0.25">
      <c r="J2559" t="str">
        <f>IF(H2559="","",IFERROR(VLOOKUP(H2559,Listas!$J$2:$K$1048576,2,FALSE),""))</f>
        <v/>
      </c>
      <c r="K2559" s="5" t="str">
        <f>IF(OR(I2559="",G2559=""),"",IF(G2559="Saída",-I2559,I2559))</f>
        <v/>
      </c>
      <c r="L2559" t="str">
        <f>IF(E2559="","",IFERROR(VLOOKUP(E2559,Listas!$A$2:$C$1048576,3,FALSE),""))</f>
        <v/>
      </c>
    </row>
    <row r="2560" spans="10:12" x14ac:dyDescent="0.25">
      <c r="J2560" t="str">
        <f>IF(H2560="","",IFERROR(VLOOKUP(H2560,Listas!$J$2:$K$1048576,2,FALSE),""))</f>
        <v/>
      </c>
      <c r="K2560" s="5" t="str">
        <f>IF(OR(I2560="",G2560=""),"",IF(G2560="Saída",-I2560,I2560))</f>
        <v/>
      </c>
      <c r="L2560" t="str">
        <f>IF(E2560="","",IFERROR(VLOOKUP(E2560,Listas!$A$2:$C$1048576,3,FALSE),""))</f>
        <v/>
      </c>
    </row>
    <row r="2561" spans="10:12" x14ac:dyDescent="0.25">
      <c r="J2561" t="str">
        <f>IF(H2561="","",IFERROR(VLOOKUP(H2561,Listas!$J$2:$K$1048576,2,FALSE),""))</f>
        <v/>
      </c>
      <c r="K2561" s="5" t="str">
        <f>IF(OR(I2561="",G2561=""),"",IF(G2561="Saída",-I2561,I2561))</f>
        <v/>
      </c>
      <c r="L2561" t="str">
        <f>IF(E2561="","",IFERROR(VLOOKUP(E2561,Listas!$A$2:$C$1048576,3,FALSE),""))</f>
        <v/>
      </c>
    </row>
    <row r="2562" spans="10:12" x14ac:dyDescent="0.25">
      <c r="J2562" t="str">
        <f>IF(H2562="","",IFERROR(VLOOKUP(H2562,Listas!$J$2:$K$1048576,2,FALSE),""))</f>
        <v/>
      </c>
      <c r="K2562" s="5" t="str">
        <f>IF(OR(I2562="",G2562=""),"",IF(G2562="Saída",-I2562,I2562))</f>
        <v/>
      </c>
      <c r="L2562" t="str">
        <f>IF(E2562="","",IFERROR(VLOOKUP(E2562,Listas!$A$2:$C$1048576,3,FALSE),""))</f>
        <v/>
      </c>
    </row>
    <row r="2563" spans="10:12" x14ac:dyDescent="0.25">
      <c r="J2563" t="str">
        <f>IF(H2563="","",IFERROR(VLOOKUP(H2563,Listas!$J$2:$K$1048576,2,FALSE),""))</f>
        <v/>
      </c>
      <c r="K2563" s="5" t="str">
        <f>IF(OR(I2563="",G2563=""),"",IF(G2563="Saída",-I2563,I2563))</f>
        <v/>
      </c>
      <c r="L2563" t="str">
        <f>IF(E2563="","",IFERROR(VLOOKUP(E2563,Listas!$A$2:$C$1048576,3,FALSE),""))</f>
        <v/>
      </c>
    </row>
    <row r="2564" spans="10:12" x14ac:dyDescent="0.25">
      <c r="J2564" t="str">
        <f>IF(H2564="","",IFERROR(VLOOKUP(H2564,Listas!$J$2:$K$1048576,2,FALSE),""))</f>
        <v/>
      </c>
      <c r="K2564" s="5" t="str">
        <f>IF(OR(I2564="",G2564=""),"",IF(G2564="Saída",-I2564,I2564))</f>
        <v/>
      </c>
      <c r="L2564" t="str">
        <f>IF(E2564="","",IFERROR(VLOOKUP(E2564,Listas!$A$2:$C$1048576,3,FALSE),""))</f>
        <v/>
      </c>
    </row>
    <row r="2565" spans="10:12" x14ac:dyDescent="0.25">
      <c r="J2565" t="str">
        <f>IF(H2565="","",IFERROR(VLOOKUP(H2565,Listas!$J$2:$K$1048576,2,FALSE),""))</f>
        <v/>
      </c>
      <c r="K2565" s="5" t="str">
        <f>IF(OR(I2565="",G2565=""),"",IF(G2565="Saída",-I2565,I2565))</f>
        <v/>
      </c>
      <c r="L2565" t="str">
        <f>IF(E2565="","",IFERROR(VLOOKUP(E2565,Listas!$A$2:$C$1048576,3,FALSE),""))</f>
        <v/>
      </c>
    </row>
    <row r="2566" spans="10:12" x14ac:dyDescent="0.25">
      <c r="J2566" t="str">
        <f>IF(H2566="","",IFERROR(VLOOKUP(H2566,Listas!$J$2:$K$1048576,2,FALSE),""))</f>
        <v/>
      </c>
      <c r="K2566" s="5" t="str">
        <f>IF(OR(I2566="",G2566=""),"",IF(G2566="Saída",-I2566,I2566))</f>
        <v/>
      </c>
      <c r="L2566" t="str">
        <f>IF(E2566="","",IFERROR(VLOOKUP(E2566,Listas!$A$2:$C$1048576,3,FALSE),""))</f>
        <v/>
      </c>
    </row>
    <row r="2567" spans="10:12" x14ac:dyDescent="0.25">
      <c r="J2567" t="str">
        <f>IF(H2567="","",IFERROR(VLOOKUP(H2567,Listas!$J$2:$K$1048576,2,FALSE),""))</f>
        <v/>
      </c>
      <c r="K2567" s="5" t="str">
        <f>IF(OR(I2567="",G2567=""),"",IF(G2567="Saída",-I2567,I2567))</f>
        <v/>
      </c>
      <c r="L2567" t="str">
        <f>IF(E2567="","",IFERROR(VLOOKUP(E2567,Listas!$A$2:$C$1048576,3,FALSE),""))</f>
        <v/>
      </c>
    </row>
    <row r="2568" spans="10:12" x14ac:dyDescent="0.25">
      <c r="J2568" t="str">
        <f>IF(H2568="","",IFERROR(VLOOKUP(H2568,Listas!$J$2:$K$1048576,2,FALSE),""))</f>
        <v/>
      </c>
      <c r="K2568" s="5" t="str">
        <f>IF(OR(I2568="",G2568=""),"",IF(G2568="Saída",-I2568,I2568))</f>
        <v/>
      </c>
      <c r="L2568" t="str">
        <f>IF(E2568="","",IFERROR(VLOOKUP(E2568,Listas!$A$2:$C$1048576,3,FALSE),""))</f>
        <v/>
      </c>
    </row>
    <row r="2569" spans="10:12" x14ac:dyDescent="0.25">
      <c r="J2569" t="str">
        <f>IF(H2569="","",IFERROR(VLOOKUP(H2569,Listas!$J$2:$K$1048576,2,FALSE),""))</f>
        <v/>
      </c>
      <c r="K2569" s="5" t="str">
        <f>IF(OR(I2569="",G2569=""),"",IF(G2569="Saída",-I2569,I2569))</f>
        <v/>
      </c>
      <c r="L2569" t="str">
        <f>IF(E2569="","",IFERROR(VLOOKUP(E2569,Listas!$A$2:$C$1048576,3,FALSE),""))</f>
        <v/>
      </c>
    </row>
    <row r="2570" spans="10:12" x14ac:dyDescent="0.25">
      <c r="J2570" t="str">
        <f>IF(H2570="","",IFERROR(VLOOKUP(H2570,Listas!$J$2:$K$1048576,2,FALSE),""))</f>
        <v/>
      </c>
      <c r="K2570" s="5" t="str">
        <f>IF(OR(I2570="",G2570=""),"",IF(G2570="Saída",-I2570,I2570))</f>
        <v/>
      </c>
      <c r="L2570" t="str">
        <f>IF(E2570="","",IFERROR(VLOOKUP(E2570,Listas!$A$2:$C$1048576,3,FALSE),""))</f>
        <v/>
      </c>
    </row>
    <row r="2571" spans="10:12" x14ac:dyDescent="0.25">
      <c r="J2571" t="str">
        <f>IF(H2571="","",IFERROR(VLOOKUP(H2571,Listas!$J$2:$K$1048576,2,FALSE),""))</f>
        <v/>
      </c>
      <c r="K2571" s="5" t="str">
        <f>IF(OR(I2571="",G2571=""),"",IF(G2571="Saída",-I2571,I2571))</f>
        <v/>
      </c>
      <c r="L2571" t="str">
        <f>IF(E2571="","",IFERROR(VLOOKUP(E2571,Listas!$A$2:$C$1048576,3,FALSE),""))</f>
        <v/>
      </c>
    </row>
    <row r="2572" spans="10:12" x14ac:dyDescent="0.25">
      <c r="J2572" t="str">
        <f>IF(H2572="","",IFERROR(VLOOKUP(H2572,Listas!$J$2:$K$1048576,2,FALSE),""))</f>
        <v/>
      </c>
      <c r="K2572" s="5" t="str">
        <f>IF(OR(I2572="",G2572=""),"",IF(G2572="Saída",-I2572,I2572))</f>
        <v/>
      </c>
      <c r="L2572" t="str">
        <f>IF(E2572="","",IFERROR(VLOOKUP(E2572,Listas!$A$2:$C$1048576,3,FALSE),""))</f>
        <v/>
      </c>
    </row>
    <row r="2573" spans="10:12" x14ac:dyDescent="0.25">
      <c r="J2573" t="str">
        <f>IF(H2573="","",IFERROR(VLOOKUP(H2573,Listas!$J$2:$K$1048576,2,FALSE),""))</f>
        <v/>
      </c>
      <c r="K2573" s="5" t="str">
        <f>IF(OR(I2573="",G2573=""),"",IF(G2573="Saída",-I2573,I2573))</f>
        <v/>
      </c>
      <c r="L2573" t="str">
        <f>IF(E2573="","",IFERROR(VLOOKUP(E2573,Listas!$A$2:$C$1048576,3,FALSE),""))</f>
        <v/>
      </c>
    </row>
    <row r="2574" spans="10:12" x14ac:dyDescent="0.25">
      <c r="J2574" t="str">
        <f>IF(H2574="","",IFERROR(VLOOKUP(H2574,Listas!$J$2:$K$1048576,2,FALSE),""))</f>
        <v/>
      </c>
      <c r="K2574" s="5" t="str">
        <f>IF(OR(I2574="",G2574=""),"",IF(G2574="Saída",-I2574,I2574))</f>
        <v/>
      </c>
      <c r="L2574" t="str">
        <f>IF(E2574="","",IFERROR(VLOOKUP(E2574,Listas!$A$2:$C$1048576,3,FALSE),""))</f>
        <v/>
      </c>
    </row>
    <row r="2575" spans="10:12" x14ac:dyDescent="0.25">
      <c r="J2575" t="str">
        <f>IF(H2575="","",IFERROR(VLOOKUP(H2575,Listas!$J$2:$K$1048576,2,FALSE),""))</f>
        <v/>
      </c>
      <c r="K2575" s="5" t="str">
        <f>IF(OR(I2575="",G2575=""),"",IF(G2575="Saída",-I2575,I2575))</f>
        <v/>
      </c>
      <c r="L2575" t="str">
        <f>IF(E2575="","",IFERROR(VLOOKUP(E2575,Listas!$A$2:$C$1048576,3,FALSE),""))</f>
        <v/>
      </c>
    </row>
    <row r="2576" spans="10:12" x14ac:dyDescent="0.25">
      <c r="J2576" t="str">
        <f>IF(H2576="","",IFERROR(VLOOKUP(H2576,Listas!$J$2:$K$1048576,2,FALSE),""))</f>
        <v/>
      </c>
      <c r="K2576" s="5" t="str">
        <f>IF(OR(I2576="",G2576=""),"",IF(G2576="Saída",-I2576,I2576))</f>
        <v/>
      </c>
      <c r="L2576" t="str">
        <f>IF(E2576="","",IFERROR(VLOOKUP(E2576,Listas!$A$2:$C$1048576,3,FALSE),""))</f>
        <v/>
      </c>
    </row>
    <row r="2577" spans="10:12" x14ac:dyDescent="0.25">
      <c r="J2577" t="str">
        <f>IF(H2577="","",IFERROR(VLOOKUP(H2577,Listas!$J$2:$K$1048576,2,FALSE),""))</f>
        <v/>
      </c>
      <c r="K2577" s="5" t="str">
        <f>IF(OR(I2577="",G2577=""),"",IF(G2577="Saída",-I2577,I2577))</f>
        <v/>
      </c>
      <c r="L2577" t="str">
        <f>IF(E2577="","",IFERROR(VLOOKUP(E2577,Listas!$A$2:$C$1048576,3,FALSE),""))</f>
        <v/>
      </c>
    </row>
    <row r="2578" spans="10:12" x14ac:dyDescent="0.25">
      <c r="J2578" t="str">
        <f>IF(H2578="","",IFERROR(VLOOKUP(H2578,Listas!$J$2:$K$1048576,2,FALSE),""))</f>
        <v/>
      </c>
      <c r="K2578" s="5" t="str">
        <f>IF(OR(I2578="",G2578=""),"",IF(G2578="Saída",-I2578,I2578))</f>
        <v/>
      </c>
      <c r="L2578" t="str">
        <f>IF(E2578="","",IFERROR(VLOOKUP(E2578,Listas!$A$2:$C$1048576,3,FALSE),""))</f>
        <v/>
      </c>
    </row>
    <row r="2579" spans="10:12" x14ac:dyDescent="0.25">
      <c r="J2579" t="str">
        <f>IF(H2579="","",IFERROR(VLOOKUP(H2579,Listas!$J$2:$K$1048576,2,FALSE),""))</f>
        <v/>
      </c>
      <c r="K2579" s="5" t="str">
        <f>IF(OR(I2579="",G2579=""),"",IF(G2579="Saída",-I2579,I2579))</f>
        <v/>
      </c>
      <c r="L2579" t="str">
        <f>IF(E2579="","",IFERROR(VLOOKUP(E2579,Listas!$A$2:$C$1048576,3,FALSE),""))</f>
        <v/>
      </c>
    </row>
    <row r="2580" spans="10:12" x14ac:dyDescent="0.25">
      <c r="J2580" t="str">
        <f>IF(H2580="","",IFERROR(VLOOKUP(H2580,Listas!$J$2:$K$1048576,2,FALSE),""))</f>
        <v/>
      </c>
      <c r="K2580" s="5" t="str">
        <f>IF(OR(I2580="",G2580=""),"",IF(G2580="Saída",-I2580,I2580))</f>
        <v/>
      </c>
      <c r="L2580" t="str">
        <f>IF(E2580="","",IFERROR(VLOOKUP(E2580,Listas!$A$2:$C$1048576,3,FALSE),""))</f>
        <v/>
      </c>
    </row>
    <row r="2581" spans="10:12" x14ac:dyDescent="0.25">
      <c r="J2581" t="str">
        <f>IF(H2581="","",IFERROR(VLOOKUP(H2581,Listas!$J$2:$K$1048576,2,FALSE),""))</f>
        <v/>
      </c>
      <c r="K2581" s="5" t="str">
        <f>IF(OR(I2581="",G2581=""),"",IF(G2581="Saída",-I2581,I2581))</f>
        <v/>
      </c>
      <c r="L2581" t="str">
        <f>IF(E2581="","",IFERROR(VLOOKUP(E2581,Listas!$A$2:$C$1048576,3,FALSE),""))</f>
        <v/>
      </c>
    </row>
    <row r="2582" spans="10:12" x14ac:dyDescent="0.25">
      <c r="J2582" t="str">
        <f>IF(H2582="","",IFERROR(VLOOKUP(H2582,Listas!$J$2:$K$1048576,2,FALSE),""))</f>
        <v/>
      </c>
      <c r="K2582" s="5" t="str">
        <f>IF(OR(I2582="",G2582=""),"",IF(G2582="Saída",-I2582,I2582))</f>
        <v/>
      </c>
      <c r="L2582" t="str">
        <f>IF(E2582="","",IFERROR(VLOOKUP(E2582,Listas!$A$2:$C$1048576,3,FALSE),""))</f>
        <v/>
      </c>
    </row>
    <row r="2583" spans="10:12" x14ac:dyDescent="0.25">
      <c r="J2583" t="str">
        <f>IF(H2583="","",IFERROR(VLOOKUP(H2583,Listas!$J$2:$K$1048576,2,FALSE),""))</f>
        <v/>
      </c>
      <c r="K2583" s="5" t="str">
        <f>IF(OR(I2583="",G2583=""),"",IF(G2583="Saída",-I2583,I2583))</f>
        <v/>
      </c>
      <c r="L2583" t="str">
        <f>IF(E2583="","",IFERROR(VLOOKUP(E2583,Listas!$A$2:$C$1048576,3,FALSE),""))</f>
        <v/>
      </c>
    </row>
    <row r="2584" spans="10:12" x14ac:dyDescent="0.25">
      <c r="J2584" t="str">
        <f>IF(H2584="","",IFERROR(VLOOKUP(H2584,Listas!$J$2:$K$1048576,2,FALSE),""))</f>
        <v/>
      </c>
      <c r="K2584" s="5" t="str">
        <f>IF(OR(I2584="",G2584=""),"",IF(G2584="Saída",-I2584,I2584))</f>
        <v/>
      </c>
      <c r="L2584" t="str">
        <f>IF(E2584="","",IFERROR(VLOOKUP(E2584,Listas!$A$2:$C$1048576,3,FALSE),""))</f>
        <v/>
      </c>
    </row>
    <row r="2585" spans="10:12" x14ac:dyDescent="0.25">
      <c r="J2585" t="str">
        <f>IF(H2585="","",IFERROR(VLOOKUP(H2585,Listas!$J$2:$K$1048576,2,FALSE),""))</f>
        <v/>
      </c>
      <c r="K2585" s="5" t="str">
        <f>IF(OR(I2585="",G2585=""),"",IF(G2585="Saída",-I2585,I2585))</f>
        <v/>
      </c>
      <c r="L2585" t="str">
        <f>IF(E2585="","",IFERROR(VLOOKUP(E2585,Listas!$A$2:$C$1048576,3,FALSE),""))</f>
        <v/>
      </c>
    </row>
    <row r="2586" spans="10:12" x14ac:dyDescent="0.25">
      <c r="J2586" t="str">
        <f>IF(H2586="","",IFERROR(VLOOKUP(H2586,Listas!$J$2:$K$1048576,2,FALSE),""))</f>
        <v/>
      </c>
      <c r="K2586" s="5" t="str">
        <f>IF(OR(I2586="",G2586=""),"",IF(G2586="Saída",-I2586,I2586))</f>
        <v/>
      </c>
      <c r="L2586" t="str">
        <f>IF(E2586="","",IFERROR(VLOOKUP(E2586,Listas!$A$2:$C$1048576,3,FALSE),""))</f>
        <v/>
      </c>
    </row>
    <row r="2587" spans="10:12" x14ac:dyDescent="0.25">
      <c r="J2587" t="str">
        <f>IF(H2587="","",IFERROR(VLOOKUP(H2587,Listas!$J$2:$K$1048576,2,FALSE),""))</f>
        <v/>
      </c>
      <c r="K2587" s="5" t="str">
        <f>IF(OR(I2587="",G2587=""),"",IF(G2587="Saída",-I2587,I2587))</f>
        <v/>
      </c>
      <c r="L2587" t="str">
        <f>IF(E2587="","",IFERROR(VLOOKUP(E2587,Listas!$A$2:$C$1048576,3,FALSE),""))</f>
        <v/>
      </c>
    </row>
    <row r="2588" spans="10:12" x14ac:dyDescent="0.25">
      <c r="J2588" t="str">
        <f>IF(H2588="","",IFERROR(VLOOKUP(H2588,Listas!$J$2:$K$1048576,2,FALSE),""))</f>
        <v/>
      </c>
      <c r="K2588" s="5" t="str">
        <f>IF(OR(I2588="",G2588=""),"",IF(G2588="Saída",-I2588,I2588))</f>
        <v/>
      </c>
      <c r="L2588" t="str">
        <f>IF(E2588="","",IFERROR(VLOOKUP(E2588,Listas!$A$2:$C$1048576,3,FALSE),""))</f>
        <v/>
      </c>
    </row>
    <row r="2589" spans="10:12" x14ac:dyDescent="0.25">
      <c r="J2589" t="str">
        <f>IF(H2589="","",IFERROR(VLOOKUP(H2589,Listas!$J$2:$K$1048576,2,FALSE),""))</f>
        <v/>
      </c>
      <c r="K2589" s="5" t="str">
        <f>IF(OR(I2589="",G2589=""),"",IF(G2589="Saída",-I2589,I2589))</f>
        <v/>
      </c>
      <c r="L2589" t="str">
        <f>IF(E2589="","",IFERROR(VLOOKUP(E2589,Listas!$A$2:$C$1048576,3,FALSE),""))</f>
        <v/>
      </c>
    </row>
    <row r="2590" spans="10:12" x14ac:dyDescent="0.25">
      <c r="J2590" t="str">
        <f>IF(H2590="","",IFERROR(VLOOKUP(H2590,Listas!$J$2:$K$1048576,2,FALSE),""))</f>
        <v/>
      </c>
      <c r="K2590" s="5" t="str">
        <f>IF(OR(I2590="",G2590=""),"",IF(G2590="Saída",-I2590,I2590))</f>
        <v/>
      </c>
      <c r="L2590" t="str">
        <f>IF(E2590="","",IFERROR(VLOOKUP(E2590,Listas!$A$2:$C$1048576,3,FALSE),""))</f>
        <v/>
      </c>
    </row>
    <row r="2591" spans="10:12" x14ac:dyDescent="0.25">
      <c r="J2591" t="str">
        <f>IF(H2591="","",IFERROR(VLOOKUP(H2591,Listas!$J$2:$K$1048576,2,FALSE),""))</f>
        <v/>
      </c>
      <c r="K2591" s="5" t="str">
        <f>IF(OR(I2591="",G2591=""),"",IF(G2591="Saída",-I2591,I2591))</f>
        <v/>
      </c>
      <c r="L2591" t="str">
        <f>IF(E2591="","",IFERROR(VLOOKUP(E2591,Listas!$A$2:$C$1048576,3,FALSE),""))</f>
        <v/>
      </c>
    </row>
    <row r="2592" spans="10:12" x14ac:dyDescent="0.25">
      <c r="J2592" t="str">
        <f>IF(H2592="","",IFERROR(VLOOKUP(H2592,Listas!$J$2:$K$1048576,2,FALSE),""))</f>
        <v/>
      </c>
      <c r="K2592" s="5" t="str">
        <f>IF(OR(I2592="",G2592=""),"",IF(G2592="Saída",-I2592,I2592))</f>
        <v/>
      </c>
      <c r="L2592" t="str">
        <f>IF(E2592="","",IFERROR(VLOOKUP(E2592,Listas!$A$2:$C$1048576,3,FALSE),""))</f>
        <v/>
      </c>
    </row>
    <row r="2593" spans="10:12" x14ac:dyDescent="0.25">
      <c r="J2593" t="str">
        <f>IF(H2593="","",IFERROR(VLOOKUP(H2593,Listas!$J$2:$K$1048576,2,FALSE),""))</f>
        <v/>
      </c>
      <c r="K2593" s="5" t="str">
        <f>IF(OR(I2593="",G2593=""),"",IF(G2593="Saída",-I2593,I2593))</f>
        <v/>
      </c>
      <c r="L2593" t="str">
        <f>IF(E2593="","",IFERROR(VLOOKUP(E2593,Listas!$A$2:$C$1048576,3,FALSE),""))</f>
        <v/>
      </c>
    </row>
    <row r="2594" spans="10:12" x14ac:dyDescent="0.25">
      <c r="J2594" t="str">
        <f>IF(H2594="","",IFERROR(VLOOKUP(H2594,Listas!$J$2:$K$1048576,2,FALSE),""))</f>
        <v/>
      </c>
      <c r="K2594" s="5" t="str">
        <f>IF(OR(I2594="",G2594=""),"",IF(G2594="Saída",-I2594,I2594))</f>
        <v/>
      </c>
      <c r="L2594" t="str">
        <f>IF(E2594="","",IFERROR(VLOOKUP(E2594,Listas!$A$2:$C$1048576,3,FALSE),""))</f>
        <v/>
      </c>
    </row>
    <row r="2595" spans="10:12" x14ac:dyDescent="0.25">
      <c r="J2595" t="str">
        <f>IF(H2595="","",IFERROR(VLOOKUP(H2595,Listas!$J$2:$K$1048576,2,FALSE),""))</f>
        <v/>
      </c>
      <c r="K2595" s="5" t="str">
        <f>IF(OR(I2595="",G2595=""),"",IF(G2595="Saída",-I2595,I2595))</f>
        <v/>
      </c>
      <c r="L2595" t="str">
        <f>IF(E2595="","",IFERROR(VLOOKUP(E2595,Listas!$A$2:$C$1048576,3,FALSE),""))</f>
        <v/>
      </c>
    </row>
    <row r="2596" spans="10:12" x14ac:dyDescent="0.25">
      <c r="J2596" t="str">
        <f>IF(H2596="","",IFERROR(VLOOKUP(H2596,Listas!$J$2:$K$1048576,2,FALSE),""))</f>
        <v/>
      </c>
      <c r="K2596" s="5" t="str">
        <f>IF(OR(I2596="",G2596=""),"",IF(G2596="Saída",-I2596,I2596))</f>
        <v/>
      </c>
      <c r="L2596" t="str">
        <f>IF(E2596="","",IFERROR(VLOOKUP(E2596,Listas!$A$2:$C$1048576,3,FALSE),""))</f>
        <v/>
      </c>
    </row>
    <row r="2597" spans="10:12" x14ac:dyDescent="0.25">
      <c r="J2597" t="str">
        <f>IF(H2597="","",IFERROR(VLOOKUP(H2597,Listas!$J$2:$K$1048576,2,FALSE),""))</f>
        <v/>
      </c>
      <c r="K2597" s="5" t="str">
        <f>IF(OR(I2597="",G2597=""),"",IF(G2597="Saída",-I2597,I2597))</f>
        <v/>
      </c>
      <c r="L2597" t="str">
        <f>IF(E2597="","",IFERROR(VLOOKUP(E2597,Listas!$A$2:$C$1048576,3,FALSE),""))</f>
        <v/>
      </c>
    </row>
    <row r="2598" spans="10:12" x14ac:dyDescent="0.25">
      <c r="J2598" t="str">
        <f>IF(H2598="","",IFERROR(VLOOKUP(H2598,Listas!$J$2:$K$1048576,2,FALSE),""))</f>
        <v/>
      </c>
      <c r="K2598" s="5" t="str">
        <f>IF(OR(I2598="",G2598=""),"",IF(G2598="Saída",-I2598,I2598))</f>
        <v/>
      </c>
      <c r="L2598" t="str">
        <f>IF(E2598="","",IFERROR(VLOOKUP(E2598,Listas!$A$2:$C$1048576,3,FALSE),""))</f>
        <v/>
      </c>
    </row>
    <row r="2599" spans="10:12" x14ac:dyDescent="0.25">
      <c r="J2599" t="str">
        <f>IF(H2599="","",IFERROR(VLOOKUP(H2599,Listas!$J$2:$K$1048576,2,FALSE),""))</f>
        <v/>
      </c>
      <c r="K2599" s="5" t="str">
        <f>IF(OR(I2599="",G2599=""),"",IF(G2599="Saída",-I2599,I2599))</f>
        <v/>
      </c>
      <c r="L2599" t="str">
        <f>IF(E2599="","",IFERROR(VLOOKUP(E2599,Listas!$A$2:$C$1048576,3,FALSE),""))</f>
        <v/>
      </c>
    </row>
    <row r="2600" spans="10:12" x14ac:dyDescent="0.25">
      <c r="J2600" t="str">
        <f>IF(H2600="","",IFERROR(VLOOKUP(H2600,Listas!$J$2:$K$1048576,2,FALSE),""))</f>
        <v/>
      </c>
      <c r="K2600" s="5" t="str">
        <f>IF(OR(I2600="",G2600=""),"",IF(G2600="Saída",-I2600,I2600))</f>
        <v/>
      </c>
      <c r="L2600" t="str">
        <f>IF(E2600="","",IFERROR(VLOOKUP(E2600,Listas!$A$2:$C$1048576,3,FALSE),""))</f>
        <v/>
      </c>
    </row>
    <row r="2601" spans="10:12" x14ac:dyDescent="0.25">
      <c r="J2601" t="str">
        <f>IF(H2601="","",IFERROR(VLOOKUP(H2601,Listas!$J$2:$K$1048576,2,FALSE),""))</f>
        <v/>
      </c>
      <c r="K2601" s="5" t="str">
        <f>IF(OR(I2601="",G2601=""),"",IF(G2601="Saída",-I2601,I2601))</f>
        <v/>
      </c>
      <c r="L2601" t="str">
        <f>IF(E2601="","",IFERROR(VLOOKUP(E2601,Listas!$A$2:$C$1048576,3,FALSE),""))</f>
        <v/>
      </c>
    </row>
    <row r="2602" spans="10:12" x14ac:dyDescent="0.25">
      <c r="J2602" t="str">
        <f>IF(H2602="","",IFERROR(VLOOKUP(H2602,Listas!$J$2:$K$1048576,2,FALSE),""))</f>
        <v/>
      </c>
      <c r="K2602" s="5" t="str">
        <f>IF(OR(I2602="",G2602=""),"",IF(G2602="Saída",-I2602,I2602))</f>
        <v/>
      </c>
      <c r="L2602" t="str">
        <f>IF(E2602="","",IFERROR(VLOOKUP(E2602,Listas!$A$2:$C$1048576,3,FALSE),""))</f>
        <v/>
      </c>
    </row>
    <row r="2603" spans="10:12" x14ac:dyDescent="0.25">
      <c r="J2603" t="str">
        <f>IF(H2603="","",IFERROR(VLOOKUP(H2603,Listas!$J$2:$K$1048576,2,FALSE),""))</f>
        <v/>
      </c>
      <c r="K2603" s="5" t="str">
        <f>IF(OR(I2603="",G2603=""),"",IF(G2603="Saída",-I2603,I2603))</f>
        <v/>
      </c>
      <c r="L2603" t="str">
        <f>IF(E2603="","",IFERROR(VLOOKUP(E2603,Listas!$A$2:$C$1048576,3,FALSE),""))</f>
        <v/>
      </c>
    </row>
    <row r="2604" spans="10:12" x14ac:dyDescent="0.25">
      <c r="J2604" t="str">
        <f>IF(H2604="","",IFERROR(VLOOKUP(H2604,Listas!$J$2:$K$1048576,2,FALSE),""))</f>
        <v/>
      </c>
      <c r="K2604" s="5" t="str">
        <f>IF(OR(I2604="",G2604=""),"",IF(G2604="Saída",-I2604,I2604))</f>
        <v/>
      </c>
      <c r="L2604" t="str">
        <f>IF(E2604="","",IFERROR(VLOOKUP(E2604,Listas!$A$2:$C$1048576,3,FALSE),""))</f>
        <v/>
      </c>
    </row>
    <row r="2605" spans="10:12" x14ac:dyDescent="0.25">
      <c r="J2605" t="str">
        <f>IF(H2605="","",IFERROR(VLOOKUP(H2605,Listas!$J$2:$K$1048576,2,FALSE),""))</f>
        <v/>
      </c>
      <c r="K2605" s="5" t="str">
        <f>IF(OR(I2605="",G2605=""),"",IF(G2605="Saída",-I2605,I2605))</f>
        <v/>
      </c>
      <c r="L2605" t="str">
        <f>IF(E2605="","",IFERROR(VLOOKUP(E2605,Listas!$A$2:$C$1048576,3,FALSE),""))</f>
        <v/>
      </c>
    </row>
    <row r="2606" spans="10:12" x14ac:dyDescent="0.25">
      <c r="J2606" t="str">
        <f>IF(H2606="","",IFERROR(VLOOKUP(H2606,Listas!$J$2:$K$1048576,2,FALSE),""))</f>
        <v/>
      </c>
      <c r="K2606" s="5" t="str">
        <f>IF(OR(I2606="",G2606=""),"",IF(G2606="Saída",-I2606,I2606))</f>
        <v/>
      </c>
      <c r="L2606" t="str">
        <f>IF(E2606="","",IFERROR(VLOOKUP(E2606,Listas!$A$2:$C$1048576,3,FALSE),""))</f>
        <v/>
      </c>
    </row>
    <row r="2607" spans="10:12" x14ac:dyDescent="0.25">
      <c r="J2607" t="str">
        <f>IF(H2607="","",IFERROR(VLOOKUP(H2607,Listas!$J$2:$K$1048576,2,FALSE),""))</f>
        <v/>
      </c>
      <c r="K2607" s="5" t="str">
        <f>IF(OR(I2607="",G2607=""),"",IF(G2607="Saída",-I2607,I2607))</f>
        <v/>
      </c>
      <c r="L2607" t="str">
        <f>IF(E2607="","",IFERROR(VLOOKUP(E2607,Listas!$A$2:$C$1048576,3,FALSE),""))</f>
        <v/>
      </c>
    </row>
    <row r="2608" spans="10:12" x14ac:dyDescent="0.25">
      <c r="J2608" t="str">
        <f>IF(H2608="","",IFERROR(VLOOKUP(H2608,Listas!$J$2:$K$1048576,2,FALSE),""))</f>
        <v/>
      </c>
      <c r="K2608" s="5" t="str">
        <f>IF(OR(I2608="",G2608=""),"",IF(G2608="Saída",-I2608,I2608))</f>
        <v/>
      </c>
      <c r="L2608" t="str">
        <f>IF(E2608="","",IFERROR(VLOOKUP(E2608,Listas!$A$2:$C$1048576,3,FALSE),""))</f>
        <v/>
      </c>
    </row>
    <row r="2609" spans="10:12" x14ac:dyDescent="0.25">
      <c r="J2609" t="str">
        <f>IF(H2609="","",IFERROR(VLOOKUP(H2609,Listas!$J$2:$K$1048576,2,FALSE),""))</f>
        <v/>
      </c>
      <c r="K2609" s="5" t="str">
        <f>IF(OR(I2609="",G2609=""),"",IF(G2609="Saída",-I2609,I2609))</f>
        <v/>
      </c>
      <c r="L2609" t="str">
        <f>IF(E2609="","",IFERROR(VLOOKUP(E2609,Listas!$A$2:$C$1048576,3,FALSE),""))</f>
        <v/>
      </c>
    </row>
    <row r="2610" spans="10:12" x14ac:dyDescent="0.25">
      <c r="J2610" t="str">
        <f>IF(H2610="","",IFERROR(VLOOKUP(H2610,Listas!$J$2:$K$1048576,2,FALSE),""))</f>
        <v/>
      </c>
      <c r="K2610" s="5" t="str">
        <f>IF(OR(I2610="",G2610=""),"",IF(G2610="Saída",-I2610,I2610))</f>
        <v/>
      </c>
      <c r="L2610" t="str">
        <f>IF(E2610="","",IFERROR(VLOOKUP(E2610,Listas!$A$2:$C$1048576,3,FALSE),""))</f>
        <v/>
      </c>
    </row>
    <row r="2611" spans="10:12" x14ac:dyDescent="0.25">
      <c r="J2611" t="str">
        <f>IF(H2611="","",IFERROR(VLOOKUP(H2611,Listas!$J$2:$K$1048576,2,FALSE),""))</f>
        <v/>
      </c>
      <c r="K2611" s="5" t="str">
        <f>IF(OR(I2611="",G2611=""),"",IF(G2611="Saída",-I2611,I2611))</f>
        <v/>
      </c>
      <c r="L2611" t="str">
        <f>IF(E2611="","",IFERROR(VLOOKUP(E2611,Listas!$A$2:$C$1048576,3,FALSE),""))</f>
        <v/>
      </c>
    </row>
    <row r="2612" spans="10:12" x14ac:dyDescent="0.25">
      <c r="J2612" t="str">
        <f>IF(H2612="","",IFERROR(VLOOKUP(H2612,Listas!$J$2:$K$1048576,2,FALSE),""))</f>
        <v/>
      </c>
      <c r="K2612" s="5" t="str">
        <f>IF(OR(I2612="",G2612=""),"",IF(G2612="Saída",-I2612,I2612))</f>
        <v/>
      </c>
      <c r="L2612" t="str">
        <f>IF(E2612="","",IFERROR(VLOOKUP(E2612,Listas!$A$2:$C$1048576,3,FALSE),""))</f>
        <v/>
      </c>
    </row>
    <row r="2613" spans="10:12" x14ac:dyDescent="0.25">
      <c r="J2613" t="str">
        <f>IF(H2613="","",IFERROR(VLOOKUP(H2613,Listas!$J$2:$K$1048576,2,FALSE),""))</f>
        <v/>
      </c>
      <c r="K2613" s="5" t="str">
        <f>IF(OR(I2613="",G2613=""),"",IF(G2613="Saída",-I2613,I2613))</f>
        <v/>
      </c>
      <c r="L2613" t="str">
        <f>IF(E2613="","",IFERROR(VLOOKUP(E2613,Listas!$A$2:$C$1048576,3,FALSE),""))</f>
        <v/>
      </c>
    </row>
    <row r="2614" spans="10:12" x14ac:dyDescent="0.25">
      <c r="J2614" t="str">
        <f>IF(H2614="","",IFERROR(VLOOKUP(H2614,Listas!$J$2:$K$1048576,2,FALSE),""))</f>
        <v/>
      </c>
      <c r="K2614" s="5" t="str">
        <f>IF(OR(I2614="",G2614=""),"",IF(G2614="Saída",-I2614,I2614))</f>
        <v/>
      </c>
      <c r="L2614" t="str">
        <f>IF(E2614="","",IFERROR(VLOOKUP(E2614,Listas!$A$2:$C$1048576,3,FALSE),""))</f>
        <v/>
      </c>
    </row>
    <row r="2615" spans="10:12" x14ac:dyDescent="0.25">
      <c r="J2615" t="str">
        <f>IF(H2615="","",IFERROR(VLOOKUP(H2615,Listas!$J$2:$K$1048576,2,FALSE),""))</f>
        <v/>
      </c>
      <c r="K2615" s="5" t="str">
        <f>IF(OR(I2615="",G2615=""),"",IF(G2615="Saída",-I2615,I2615))</f>
        <v/>
      </c>
      <c r="L2615" t="str">
        <f>IF(E2615="","",IFERROR(VLOOKUP(E2615,Listas!$A$2:$C$1048576,3,FALSE),""))</f>
        <v/>
      </c>
    </row>
    <row r="2616" spans="10:12" x14ac:dyDescent="0.25">
      <c r="J2616" t="str">
        <f>IF(H2616="","",IFERROR(VLOOKUP(H2616,Listas!$J$2:$K$1048576,2,FALSE),""))</f>
        <v/>
      </c>
      <c r="K2616" s="5" t="str">
        <f>IF(OR(I2616="",G2616=""),"",IF(G2616="Saída",-I2616,I2616))</f>
        <v/>
      </c>
      <c r="L2616" t="str">
        <f>IF(E2616="","",IFERROR(VLOOKUP(E2616,Listas!$A$2:$C$1048576,3,FALSE),""))</f>
        <v/>
      </c>
    </row>
    <row r="2617" spans="10:12" x14ac:dyDescent="0.25">
      <c r="J2617" t="str">
        <f>IF(H2617="","",IFERROR(VLOOKUP(H2617,Listas!$J$2:$K$1048576,2,FALSE),""))</f>
        <v/>
      </c>
      <c r="K2617" s="5" t="str">
        <f>IF(OR(I2617="",G2617=""),"",IF(G2617="Saída",-I2617,I2617))</f>
        <v/>
      </c>
      <c r="L2617" t="str">
        <f>IF(E2617="","",IFERROR(VLOOKUP(E2617,Listas!$A$2:$C$1048576,3,FALSE),""))</f>
        <v/>
      </c>
    </row>
    <row r="2618" spans="10:12" x14ac:dyDescent="0.25">
      <c r="J2618" t="str">
        <f>IF(H2618="","",IFERROR(VLOOKUP(H2618,Listas!$J$2:$K$1048576,2,FALSE),""))</f>
        <v/>
      </c>
      <c r="K2618" s="5" t="str">
        <f>IF(OR(I2618="",G2618=""),"",IF(G2618="Saída",-I2618,I2618))</f>
        <v/>
      </c>
      <c r="L2618" t="str">
        <f>IF(E2618="","",IFERROR(VLOOKUP(E2618,Listas!$A$2:$C$1048576,3,FALSE),""))</f>
        <v/>
      </c>
    </row>
    <row r="2619" spans="10:12" x14ac:dyDescent="0.25">
      <c r="J2619" t="str">
        <f>IF(H2619="","",IFERROR(VLOOKUP(H2619,Listas!$J$2:$K$1048576,2,FALSE),""))</f>
        <v/>
      </c>
      <c r="K2619" s="5" t="str">
        <f>IF(OR(I2619="",G2619=""),"",IF(G2619="Saída",-I2619,I2619))</f>
        <v/>
      </c>
      <c r="L2619" t="str">
        <f>IF(E2619="","",IFERROR(VLOOKUP(E2619,Listas!$A$2:$C$1048576,3,FALSE),""))</f>
        <v/>
      </c>
    </row>
    <row r="2620" spans="10:12" x14ac:dyDescent="0.25">
      <c r="J2620" t="str">
        <f>IF(H2620="","",IFERROR(VLOOKUP(H2620,Listas!$J$2:$K$1048576,2,FALSE),""))</f>
        <v/>
      </c>
      <c r="K2620" s="5" t="str">
        <f>IF(OR(I2620="",G2620=""),"",IF(G2620="Saída",-I2620,I2620))</f>
        <v/>
      </c>
      <c r="L2620" t="str">
        <f>IF(E2620="","",IFERROR(VLOOKUP(E2620,Listas!$A$2:$C$1048576,3,FALSE),""))</f>
        <v/>
      </c>
    </row>
    <row r="2621" spans="10:12" x14ac:dyDescent="0.25">
      <c r="J2621" t="str">
        <f>IF(H2621="","",IFERROR(VLOOKUP(H2621,Listas!$J$2:$K$1048576,2,FALSE),""))</f>
        <v/>
      </c>
      <c r="K2621" s="5" t="str">
        <f>IF(OR(I2621="",G2621=""),"",IF(G2621="Saída",-I2621,I2621))</f>
        <v/>
      </c>
      <c r="L2621" t="str">
        <f>IF(E2621="","",IFERROR(VLOOKUP(E2621,Listas!$A$2:$C$1048576,3,FALSE),""))</f>
        <v/>
      </c>
    </row>
    <row r="2622" spans="10:12" x14ac:dyDescent="0.25">
      <c r="J2622" t="str">
        <f>IF(H2622="","",IFERROR(VLOOKUP(H2622,Listas!$J$2:$K$1048576,2,FALSE),""))</f>
        <v/>
      </c>
      <c r="K2622" s="5" t="str">
        <f>IF(OR(I2622="",G2622=""),"",IF(G2622="Saída",-I2622,I2622))</f>
        <v/>
      </c>
      <c r="L2622" t="str">
        <f>IF(E2622="","",IFERROR(VLOOKUP(E2622,Listas!$A$2:$C$1048576,3,FALSE),""))</f>
        <v/>
      </c>
    </row>
    <row r="2623" spans="10:12" x14ac:dyDescent="0.25">
      <c r="J2623" t="str">
        <f>IF(H2623="","",IFERROR(VLOOKUP(H2623,Listas!$J$2:$K$1048576,2,FALSE),""))</f>
        <v/>
      </c>
      <c r="K2623" s="5" t="str">
        <f>IF(OR(I2623="",G2623=""),"",IF(G2623="Saída",-I2623,I2623))</f>
        <v/>
      </c>
      <c r="L2623" t="str">
        <f>IF(E2623="","",IFERROR(VLOOKUP(E2623,Listas!$A$2:$C$1048576,3,FALSE),""))</f>
        <v/>
      </c>
    </row>
    <row r="2624" spans="10:12" x14ac:dyDescent="0.25">
      <c r="J2624" t="str">
        <f>IF(H2624="","",IFERROR(VLOOKUP(H2624,Listas!$J$2:$K$1048576,2,FALSE),""))</f>
        <v/>
      </c>
      <c r="K2624" s="5" t="str">
        <f>IF(OR(I2624="",G2624=""),"",IF(G2624="Saída",-I2624,I2624))</f>
        <v/>
      </c>
      <c r="L2624" t="str">
        <f>IF(E2624="","",IFERROR(VLOOKUP(E2624,Listas!$A$2:$C$1048576,3,FALSE),""))</f>
        <v/>
      </c>
    </row>
    <row r="2625" spans="10:12" x14ac:dyDescent="0.25">
      <c r="J2625" t="str">
        <f>IF(H2625="","",IFERROR(VLOOKUP(H2625,Listas!$J$2:$K$1048576,2,FALSE),""))</f>
        <v/>
      </c>
      <c r="K2625" s="5" t="str">
        <f>IF(OR(I2625="",G2625=""),"",IF(G2625="Saída",-I2625,I2625))</f>
        <v/>
      </c>
      <c r="L2625" t="str">
        <f>IF(E2625="","",IFERROR(VLOOKUP(E2625,Listas!$A$2:$C$1048576,3,FALSE),""))</f>
        <v/>
      </c>
    </row>
    <row r="2626" spans="10:12" x14ac:dyDescent="0.25">
      <c r="J2626" t="str">
        <f>IF(H2626="","",IFERROR(VLOOKUP(H2626,Listas!$J$2:$K$1048576,2,FALSE),""))</f>
        <v/>
      </c>
      <c r="K2626" s="5" t="str">
        <f>IF(OR(I2626="",G2626=""),"",IF(G2626="Saída",-I2626,I2626))</f>
        <v/>
      </c>
      <c r="L2626" t="str">
        <f>IF(E2626="","",IFERROR(VLOOKUP(E2626,Listas!$A$2:$C$1048576,3,FALSE),""))</f>
        <v/>
      </c>
    </row>
    <row r="2627" spans="10:12" x14ac:dyDescent="0.25">
      <c r="J2627" t="str">
        <f>IF(H2627="","",IFERROR(VLOOKUP(H2627,Listas!$J$2:$K$1048576,2,FALSE),""))</f>
        <v/>
      </c>
      <c r="K2627" s="5" t="str">
        <f>IF(OR(I2627="",G2627=""),"",IF(G2627="Saída",-I2627,I2627))</f>
        <v/>
      </c>
      <c r="L2627" t="str">
        <f>IF(E2627="","",IFERROR(VLOOKUP(E2627,Listas!$A$2:$C$1048576,3,FALSE),""))</f>
        <v/>
      </c>
    </row>
    <row r="2628" spans="10:12" x14ac:dyDescent="0.25">
      <c r="J2628" t="str">
        <f>IF(H2628="","",IFERROR(VLOOKUP(H2628,Listas!$J$2:$K$1048576,2,FALSE),""))</f>
        <v/>
      </c>
      <c r="K2628" s="5" t="str">
        <f>IF(OR(I2628="",G2628=""),"",IF(G2628="Saída",-I2628,I2628))</f>
        <v/>
      </c>
      <c r="L2628" t="str">
        <f>IF(E2628="","",IFERROR(VLOOKUP(E2628,Listas!$A$2:$C$1048576,3,FALSE),""))</f>
        <v/>
      </c>
    </row>
    <row r="2629" spans="10:12" x14ac:dyDescent="0.25">
      <c r="J2629" t="str">
        <f>IF(H2629="","",IFERROR(VLOOKUP(H2629,Listas!$J$2:$K$1048576,2,FALSE),""))</f>
        <v/>
      </c>
      <c r="K2629" s="5" t="str">
        <f>IF(OR(I2629="",G2629=""),"",IF(G2629="Saída",-I2629,I2629))</f>
        <v/>
      </c>
      <c r="L2629" t="str">
        <f>IF(E2629="","",IFERROR(VLOOKUP(E2629,Listas!$A$2:$C$1048576,3,FALSE),""))</f>
        <v/>
      </c>
    </row>
    <row r="2630" spans="10:12" x14ac:dyDescent="0.25">
      <c r="J2630" t="str">
        <f>IF(H2630="","",IFERROR(VLOOKUP(H2630,Listas!$J$2:$K$1048576,2,FALSE),""))</f>
        <v/>
      </c>
      <c r="K2630" s="5" t="str">
        <f>IF(OR(I2630="",G2630=""),"",IF(G2630="Saída",-I2630,I2630))</f>
        <v/>
      </c>
      <c r="L2630" t="str">
        <f>IF(E2630="","",IFERROR(VLOOKUP(E2630,Listas!$A$2:$C$1048576,3,FALSE),""))</f>
        <v/>
      </c>
    </row>
    <row r="2631" spans="10:12" x14ac:dyDescent="0.25">
      <c r="J2631" t="str">
        <f>IF(H2631="","",IFERROR(VLOOKUP(H2631,Listas!$J$2:$K$1048576,2,FALSE),""))</f>
        <v/>
      </c>
      <c r="K2631" s="5" t="str">
        <f>IF(OR(I2631="",G2631=""),"",IF(G2631="Saída",-I2631,I2631))</f>
        <v/>
      </c>
      <c r="L2631" t="str">
        <f>IF(E2631="","",IFERROR(VLOOKUP(E2631,Listas!$A$2:$C$1048576,3,FALSE),""))</f>
        <v/>
      </c>
    </row>
    <row r="2632" spans="10:12" x14ac:dyDescent="0.25">
      <c r="J2632" t="str">
        <f>IF(H2632="","",IFERROR(VLOOKUP(H2632,Listas!$J$2:$K$1048576,2,FALSE),""))</f>
        <v/>
      </c>
      <c r="K2632" s="5" t="str">
        <f>IF(OR(I2632="",G2632=""),"",IF(G2632="Saída",-I2632,I2632))</f>
        <v/>
      </c>
      <c r="L2632" t="str">
        <f>IF(E2632="","",IFERROR(VLOOKUP(E2632,Listas!$A$2:$C$1048576,3,FALSE),""))</f>
        <v/>
      </c>
    </row>
    <row r="2633" spans="10:12" x14ac:dyDescent="0.25">
      <c r="J2633" t="str">
        <f>IF(H2633="","",IFERROR(VLOOKUP(H2633,Listas!$J$2:$K$1048576,2,FALSE),""))</f>
        <v/>
      </c>
      <c r="K2633" s="5" t="str">
        <f>IF(OR(I2633="",G2633=""),"",IF(G2633="Saída",-I2633,I2633))</f>
        <v/>
      </c>
      <c r="L2633" t="str">
        <f>IF(E2633="","",IFERROR(VLOOKUP(E2633,Listas!$A$2:$C$1048576,3,FALSE),""))</f>
        <v/>
      </c>
    </row>
    <row r="2634" spans="10:12" x14ac:dyDescent="0.25">
      <c r="J2634" t="str">
        <f>IF(H2634="","",IFERROR(VLOOKUP(H2634,Listas!$J$2:$K$1048576,2,FALSE),""))</f>
        <v/>
      </c>
      <c r="K2634" s="5" t="str">
        <f>IF(OR(I2634="",G2634=""),"",IF(G2634="Saída",-I2634,I2634))</f>
        <v/>
      </c>
      <c r="L2634" t="str">
        <f>IF(E2634="","",IFERROR(VLOOKUP(E2634,Listas!$A$2:$C$1048576,3,FALSE),""))</f>
        <v/>
      </c>
    </row>
    <row r="2635" spans="10:12" x14ac:dyDescent="0.25">
      <c r="J2635" t="str">
        <f>IF(H2635="","",IFERROR(VLOOKUP(H2635,Listas!$J$2:$K$1048576,2,FALSE),""))</f>
        <v/>
      </c>
      <c r="K2635" s="5" t="str">
        <f>IF(OR(I2635="",G2635=""),"",IF(G2635="Saída",-I2635,I2635))</f>
        <v/>
      </c>
      <c r="L2635" t="str">
        <f>IF(E2635="","",IFERROR(VLOOKUP(E2635,Listas!$A$2:$C$1048576,3,FALSE),""))</f>
        <v/>
      </c>
    </row>
    <row r="2636" spans="10:12" x14ac:dyDescent="0.25">
      <c r="J2636" t="str">
        <f>IF(H2636="","",IFERROR(VLOOKUP(H2636,Listas!$J$2:$K$1048576,2,FALSE),""))</f>
        <v/>
      </c>
      <c r="K2636" s="5" t="str">
        <f>IF(OR(I2636="",G2636=""),"",IF(G2636="Saída",-I2636,I2636))</f>
        <v/>
      </c>
      <c r="L2636" t="str">
        <f>IF(E2636="","",IFERROR(VLOOKUP(E2636,Listas!$A$2:$C$1048576,3,FALSE),""))</f>
        <v/>
      </c>
    </row>
    <row r="2637" spans="10:12" x14ac:dyDescent="0.25">
      <c r="J2637" t="str">
        <f>IF(H2637="","",IFERROR(VLOOKUP(H2637,Listas!$J$2:$K$1048576,2,FALSE),""))</f>
        <v/>
      </c>
      <c r="K2637" s="5" t="str">
        <f>IF(OR(I2637="",G2637=""),"",IF(G2637="Saída",-I2637,I2637))</f>
        <v/>
      </c>
      <c r="L2637" t="str">
        <f>IF(E2637="","",IFERROR(VLOOKUP(E2637,Listas!$A$2:$C$1048576,3,FALSE),""))</f>
        <v/>
      </c>
    </row>
    <row r="2638" spans="10:12" x14ac:dyDescent="0.25">
      <c r="J2638" t="str">
        <f>IF(H2638="","",IFERROR(VLOOKUP(H2638,Listas!$J$2:$K$1048576,2,FALSE),""))</f>
        <v/>
      </c>
      <c r="K2638" s="5" t="str">
        <f>IF(OR(I2638="",G2638=""),"",IF(G2638="Saída",-I2638,I2638))</f>
        <v/>
      </c>
      <c r="L2638" t="str">
        <f>IF(E2638="","",IFERROR(VLOOKUP(E2638,Listas!$A$2:$C$1048576,3,FALSE),""))</f>
        <v/>
      </c>
    </row>
    <row r="2639" spans="10:12" x14ac:dyDescent="0.25">
      <c r="J2639" t="str">
        <f>IF(H2639="","",IFERROR(VLOOKUP(H2639,Listas!$J$2:$K$1048576,2,FALSE),""))</f>
        <v/>
      </c>
      <c r="K2639" s="5" t="str">
        <f>IF(OR(I2639="",G2639=""),"",IF(G2639="Saída",-I2639,I2639))</f>
        <v/>
      </c>
      <c r="L2639" t="str">
        <f>IF(E2639="","",IFERROR(VLOOKUP(E2639,Listas!$A$2:$C$1048576,3,FALSE),""))</f>
        <v/>
      </c>
    </row>
    <row r="2640" spans="10:12" x14ac:dyDescent="0.25">
      <c r="J2640" t="str">
        <f>IF(H2640="","",IFERROR(VLOOKUP(H2640,Listas!$J$2:$K$1048576,2,FALSE),""))</f>
        <v/>
      </c>
      <c r="K2640" s="5" t="str">
        <f>IF(OR(I2640="",G2640=""),"",IF(G2640="Saída",-I2640,I2640))</f>
        <v/>
      </c>
      <c r="L2640" t="str">
        <f>IF(E2640="","",IFERROR(VLOOKUP(E2640,Listas!$A$2:$C$1048576,3,FALSE),""))</f>
        <v/>
      </c>
    </row>
    <row r="2641" spans="10:12" x14ac:dyDescent="0.25">
      <c r="J2641" t="str">
        <f>IF(H2641="","",IFERROR(VLOOKUP(H2641,Listas!$J$2:$K$1048576,2,FALSE),""))</f>
        <v/>
      </c>
      <c r="K2641" s="5" t="str">
        <f>IF(OR(I2641="",G2641=""),"",IF(G2641="Saída",-I2641,I2641))</f>
        <v/>
      </c>
      <c r="L2641" t="str">
        <f>IF(E2641="","",IFERROR(VLOOKUP(E2641,Listas!$A$2:$C$1048576,3,FALSE),""))</f>
        <v/>
      </c>
    </row>
    <row r="2642" spans="10:12" x14ac:dyDescent="0.25">
      <c r="J2642" t="str">
        <f>IF(H2642="","",IFERROR(VLOOKUP(H2642,Listas!$J$2:$K$1048576,2,FALSE),""))</f>
        <v/>
      </c>
      <c r="K2642" s="5" t="str">
        <f>IF(OR(I2642="",G2642=""),"",IF(G2642="Saída",-I2642,I2642))</f>
        <v/>
      </c>
      <c r="L2642" t="str">
        <f>IF(E2642="","",IFERROR(VLOOKUP(E2642,Listas!$A$2:$C$1048576,3,FALSE),""))</f>
        <v/>
      </c>
    </row>
    <row r="2643" spans="10:12" x14ac:dyDescent="0.25">
      <c r="J2643" t="str">
        <f>IF(H2643="","",IFERROR(VLOOKUP(H2643,Listas!$J$2:$K$1048576,2,FALSE),""))</f>
        <v/>
      </c>
      <c r="K2643" s="5" t="str">
        <f>IF(OR(I2643="",G2643=""),"",IF(G2643="Saída",-I2643,I2643))</f>
        <v/>
      </c>
      <c r="L2643" t="str">
        <f>IF(E2643="","",IFERROR(VLOOKUP(E2643,Listas!$A$2:$C$1048576,3,FALSE),""))</f>
        <v/>
      </c>
    </row>
    <row r="2644" spans="10:12" x14ac:dyDescent="0.25">
      <c r="J2644" t="str">
        <f>IF(H2644="","",IFERROR(VLOOKUP(H2644,Listas!$J$2:$K$1048576,2,FALSE),""))</f>
        <v/>
      </c>
      <c r="K2644" s="5" t="str">
        <f>IF(OR(I2644="",G2644=""),"",IF(G2644="Saída",-I2644,I2644))</f>
        <v/>
      </c>
      <c r="L2644" t="str">
        <f>IF(E2644="","",IFERROR(VLOOKUP(E2644,Listas!$A$2:$C$1048576,3,FALSE),""))</f>
        <v/>
      </c>
    </row>
    <row r="2645" spans="10:12" x14ac:dyDescent="0.25">
      <c r="J2645" t="str">
        <f>IF(H2645="","",IFERROR(VLOOKUP(H2645,Listas!$J$2:$K$1048576,2,FALSE),""))</f>
        <v/>
      </c>
      <c r="K2645" s="5" t="str">
        <f>IF(OR(I2645="",G2645=""),"",IF(G2645="Saída",-I2645,I2645))</f>
        <v/>
      </c>
      <c r="L2645" t="str">
        <f>IF(E2645="","",IFERROR(VLOOKUP(E2645,Listas!$A$2:$C$1048576,3,FALSE),""))</f>
        <v/>
      </c>
    </row>
    <row r="2646" spans="10:12" x14ac:dyDescent="0.25">
      <c r="J2646" t="str">
        <f>IF(H2646="","",IFERROR(VLOOKUP(H2646,Listas!$J$2:$K$1048576,2,FALSE),""))</f>
        <v/>
      </c>
      <c r="K2646" s="5" t="str">
        <f>IF(OR(I2646="",G2646=""),"",IF(G2646="Saída",-I2646,I2646))</f>
        <v/>
      </c>
      <c r="L2646" t="str">
        <f>IF(E2646="","",IFERROR(VLOOKUP(E2646,Listas!$A$2:$C$1048576,3,FALSE),""))</f>
        <v/>
      </c>
    </row>
    <row r="2647" spans="10:12" x14ac:dyDescent="0.25">
      <c r="J2647" t="str">
        <f>IF(H2647="","",IFERROR(VLOOKUP(H2647,Listas!$J$2:$K$1048576,2,FALSE),""))</f>
        <v/>
      </c>
      <c r="K2647" s="5" t="str">
        <f>IF(OR(I2647="",G2647=""),"",IF(G2647="Saída",-I2647,I2647))</f>
        <v/>
      </c>
      <c r="L2647" t="str">
        <f>IF(E2647="","",IFERROR(VLOOKUP(E2647,Listas!$A$2:$C$1048576,3,FALSE),""))</f>
        <v/>
      </c>
    </row>
    <row r="2648" spans="10:12" x14ac:dyDescent="0.25">
      <c r="J2648" t="str">
        <f>IF(H2648="","",IFERROR(VLOOKUP(H2648,Listas!$J$2:$K$1048576,2,FALSE),""))</f>
        <v/>
      </c>
      <c r="K2648" s="5" t="str">
        <f>IF(OR(I2648="",G2648=""),"",IF(G2648="Saída",-I2648,I2648))</f>
        <v/>
      </c>
      <c r="L2648" t="str">
        <f>IF(E2648="","",IFERROR(VLOOKUP(E2648,Listas!$A$2:$C$1048576,3,FALSE),""))</f>
        <v/>
      </c>
    </row>
    <row r="2649" spans="10:12" x14ac:dyDescent="0.25">
      <c r="J2649" t="str">
        <f>IF(H2649="","",IFERROR(VLOOKUP(H2649,Listas!$J$2:$K$1048576,2,FALSE),""))</f>
        <v/>
      </c>
      <c r="K2649" s="5" t="str">
        <f>IF(OR(I2649="",G2649=""),"",IF(G2649="Saída",-I2649,I2649))</f>
        <v/>
      </c>
      <c r="L2649" t="str">
        <f>IF(E2649="","",IFERROR(VLOOKUP(E2649,Listas!$A$2:$C$1048576,3,FALSE),""))</f>
        <v/>
      </c>
    </row>
    <row r="2650" spans="10:12" x14ac:dyDescent="0.25">
      <c r="J2650" t="str">
        <f>IF(H2650="","",IFERROR(VLOOKUP(H2650,Listas!$J$2:$K$1048576,2,FALSE),""))</f>
        <v/>
      </c>
      <c r="K2650" s="5" t="str">
        <f>IF(OR(I2650="",G2650=""),"",IF(G2650="Saída",-I2650,I2650))</f>
        <v/>
      </c>
      <c r="L2650" t="str">
        <f>IF(E2650="","",IFERROR(VLOOKUP(E2650,Listas!$A$2:$C$1048576,3,FALSE),""))</f>
        <v/>
      </c>
    </row>
    <row r="2651" spans="10:12" x14ac:dyDescent="0.25">
      <c r="J2651" t="str">
        <f>IF(H2651="","",IFERROR(VLOOKUP(H2651,Listas!$J$2:$K$1048576,2,FALSE),""))</f>
        <v/>
      </c>
      <c r="K2651" s="5" t="str">
        <f>IF(OR(I2651="",G2651=""),"",IF(G2651="Saída",-I2651,I2651))</f>
        <v/>
      </c>
      <c r="L2651" t="str">
        <f>IF(E2651="","",IFERROR(VLOOKUP(E2651,Listas!$A$2:$C$1048576,3,FALSE),""))</f>
        <v/>
      </c>
    </row>
    <row r="2652" spans="10:12" x14ac:dyDescent="0.25">
      <c r="J2652" t="str">
        <f>IF(H2652="","",IFERROR(VLOOKUP(H2652,Listas!$J$2:$K$1048576,2,FALSE),""))</f>
        <v/>
      </c>
      <c r="K2652" s="5" t="str">
        <f>IF(OR(I2652="",G2652=""),"",IF(G2652="Saída",-I2652,I2652))</f>
        <v/>
      </c>
      <c r="L2652" t="str">
        <f>IF(E2652="","",IFERROR(VLOOKUP(E2652,Listas!$A$2:$C$1048576,3,FALSE),""))</f>
        <v/>
      </c>
    </row>
    <row r="2653" spans="10:12" x14ac:dyDescent="0.25">
      <c r="J2653" t="str">
        <f>IF(H2653="","",IFERROR(VLOOKUP(H2653,Listas!$J$2:$K$1048576,2,FALSE),""))</f>
        <v/>
      </c>
      <c r="K2653" s="5" t="str">
        <f>IF(OR(I2653="",G2653=""),"",IF(G2653="Saída",-I2653,I2653))</f>
        <v/>
      </c>
      <c r="L2653" t="str">
        <f>IF(E2653="","",IFERROR(VLOOKUP(E2653,Listas!$A$2:$C$1048576,3,FALSE),""))</f>
        <v/>
      </c>
    </row>
    <row r="2654" spans="10:12" x14ac:dyDescent="0.25">
      <c r="J2654" t="str">
        <f>IF(H2654="","",IFERROR(VLOOKUP(H2654,Listas!$J$2:$K$1048576,2,FALSE),""))</f>
        <v/>
      </c>
      <c r="K2654" s="5" t="str">
        <f>IF(OR(I2654="",G2654=""),"",IF(G2654="Saída",-I2654,I2654))</f>
        <v/>
      </c>
      <c r="L2654" t="str">
        <f>IF(E2654="","",IFERROR(VLOOKUP(E2654,Listas!$A$2:$C$1048576,3,FALSE),""))</f>
        <v/>
      </c>
    </row>
    <row r="2655" spans="10:12" x14ac:dyDescent="0.25">
      <c r="J2655" t="str">
        <f>IF(H2655="","",IFERROR(VLOOKUP(H2655,Listas!$J$2:$K$1048576,2,FALSE),""))</f>
        <v/>
      </c>
      <c r="K2655" s="5" t="str">
        <f>IF(OR(I2655="",G2655=""),"",IF(G2655="Saída",-I2655,I2655))</f>
        <v/>
      </c>
      <c r="L2655" t="str">
        <f>IF(E2655="","",IFERROR(VLOOKUP(E2655,Listas!$A$2:$C$1048576,3,FALSE),""))</f>
        <v/>
      </c>
    </row>
    <row r="2656" spans="10:12" x14ac:dyDescent="0.25">
      <c r="J2656" t="str">
        <f>IF(H2656="","",IFERROR(VLOOKUP(H2656,Listas!$J$2:$K$1048576,2,FALSE),""))</f>
        <v/>
      </c>
      <c r="K2656" s="5" t="str">
        <f>IF(OR(I2656="",G2656=""),"",IF(G2656="Saída",-I2656,I2656))</f>
        <v/>
      </c>
      <c r="L2656" t="str">
        <f>IF(E2656="","",IFERROR(VLOOKUP(E2656,Listas!$A$2:$C$1048576,3,FALSE),""))</f>
        <v/>
      </c>
    </row>
    <row r="2657" spans="10:12" x14ac:dyDescent="0.25">
      <c r="J2657" t="str">
        <f>IF(H2657="","",IFERROR(VLOOKUP(H2657,Listas!$J$2:$K$1048576,2,FALSE),""))</f>
        <v/>
      </c>
      <c r="K2657" s="5" t="str">
        <f>IF(OR(I2657="",G2657=""),"",IF(G2657="Saída",-I2657,I2657))</f>
        <v/>
      </c>
      <c r="L2657" t="str">
        <f>IF(E2657="","",IFERROR(VLOOKUP(E2657,Listas!$A$2:$C$1048576,3,FALSE),""))</f>
        <v/>
      </c>
    </row>
    <row r="2658" spans="10:12" x14ac:dyDescent="0.25">
      <c r="J2658" t="str">
        <f>IF(H2658="","",IFERROR(VLOOKUP(H2658,Listas!$J$2:$K$1048576,2,FALSE),""))</f>
        <v/>
      </c>
      <c r="K2658" s="5" t="str">
        <f>IF(OR(I2658="",G2658=""),"",IF(G2658="Saída",-I2658,I2658))</f>
        <v/>
      </c>
      <c r="L2658" t="str">
        <f>IF(E2658="","",IFERROR(VLOOKUP(E2658,Listas!$A$2:$C$1048576,3,FALSE),""))</f>
        <v/>
      </c>
    </row>
    <row r="2659" spans="10:12" x14ac:dyDescent="0.25">
      <c r="J2659" t="str">
        <f>IF(H2659="","",IFERROR(VLOOKUP(H2659,Listas!$J$2:$K$1048576,2,FALSE),""))</f>
        <v/>
      </c>
      <c r="K2659" s="5" t="str">
        <f>IF(OR(I2659="",G2659=""),"",IF(G2659="Saída",-I2659,I2659))</f>
        <v/>
      </c>
      <c r="L2659" t="str">
        <f>IF(E2659="","",IFERROR(VLOOKUP(E2659,Listas!$A$2:$C$1048576,3,FALSE),""))</f>
        <v/>
      </c>
    </row>
    <row r="2660" spans="10:12" x14ac:dyDescent="0.25">
      <c r="J2660" t="str">
        <f>IF(H2660="","",IFERROR(VLOOKUP(H2660,Listas!$J$2:$K$1048576,2,FALSE),""))</f>
        <v/>
      </c>
      <c r="K2660" s="5" t="str">
        <f>IF(OR(I2660="",G2660=""),"",IF(G2660="Saída",-I2660,I2660))</f>
        <v/>
      </c>
      <c r="L2660" t="str">
        <f>IF(E2660="","",IFERROR(VLOOKUP(E2660,Listas!$A$2:$C$1048576,3,FALSE),""))</f>
        <v/>
      </c>
    </row>
    <row r="2661" spans="10:12" x14ac:dyDescent="0.25">
      <c r="J2661" t="str">
        <f>IF(H2661="","",IFERROR(VLOOKUP(H2661,Listas!$J$2:$K$1048576,2,FALSE),""))</f>
        <v/>
      </c>
      <c r="K2661" s="5" t="str">
        <f>IF(OR(I2661="",G2661=""),"",IF(G2661="Saída",-I2661,I2661))</f>
        <v/>
      </c>
      <c r="L2661" t="str">
        <f>IF(E2661="","",IFERROR(VLOOKUP(E2661,Listas!$A$2:$C$1048576,3,FALSE),""))</f>
        <v/>
      </c>
    </row>
    <row r="2662" spans="10:12" x14ac:dyDescent="0.25">
      <c r="J2662" t="str">
        <f>IF(H2662="","",IFERROR(VLOOKUP(H2662,Listas!$J$2:$K$1048576,2,FALSE),""))</f>
        <v/>
      </c>
      <c r="K2662" s="5" t="str">
        <f>IF(OR(I2662="",G2662=""),"",IF(G2662="Saída",-I2662,I2662))</f>
        <v/>
      </c>
      <c r="L2662" t="str">
        <f>IF(E2662="","",IFERROR(VLOOKUP(E2662,Listas!$A$2:$C$1048576,3,FALSE),""))</f>
        <v/>
      </c>
    </row>
    <row r="2663" spans="10:12" x14ac:dyDescent="0.25">
      <c r="J2663" t="str">
        <f>IF(H2663="","",IFERROR(VLOOKUP(H2663,Listas!$J$2:$K$1048576,2,FALSE),""))</f>
        <v/>
      </c>
      <c r="K2663" s="5" t="str">
        <f>IF(OR(I2663="",G2663=""),"",IF(G2663="Saída",-I2663,I2663))</f>
        <v/>
      </c>
      <c r="L2663" t="str">
        <f>IF(E2663="","",IFERROR(VLOOKUP(E2663,Listas!$A$2:$C$1048576,3,FALSE),""))</f>
        <v/>
      </c>
    </row>
    <row r="2664" spans="10:12" x14ac:dyDescent="0.25">
      <c r="J2664" t="str">
        <f>IF(H2664="","",IFERROR(VLOOKUP(H2664,Listas!$J$2:$K$1048576,2,FALSE),""))</f>
        <v/>
      </c>
      <c r="K2664" s="5" t="str">
        <f>IF(OR(I2664="",G2664=""),"",IF(G2664="Saída",-I2664,I2664))</f>
        <v/>
      </c>
      <c r="L2664" t="str">
        <f>IF(E2664="","",IFERROR(VLOOKUP(E2664,Listas!$A$2:$C$1048576,3,FALSE),""))</f>
        <v/>
      </c>
    </row>
    <row r="2665" spans="10:12" x14ac:dyDescent="0.25">
      <c r="J2665" t="str">
        <f>IF(H2665="","",IFERROR(VLOOKUP(H2665,Listas!$J$2:$K$1048576,2,FALSE),""))</f>
        <v/>
      </c>
      <c r="K2665" s="5" t="str">
        <f>IF(OR(I2665="",G2665=""),"",IF(G2665="Saída",-I2665,I2665))</f>
        <v/>
      </c>
      <c r="L2665" t="str">
        <f>IF(E2665="","",IFERROR(VLOOKUP(E2665,Listas!$A$2:$C$1048576,3,FALSE),""))</f>
        <v/>
      </c>
    </row>
    <row r="2666" spans="10:12" x14ac:dyDescent="0.25">
      <c r="J2666" t="str">
        <f>IF(H2666="","",IFERROR(VLOOKUP(H2666,Listas!$J$2:$K$1048576,2,FALSE),""))</f>
        <v/>
      </c>
      <c r="K2666" s="5" t="str">
        <f>IF(OR(I2666="",G2666=""),"",IF(G2666="Saída",-I2666,I2666))</f>
        <v/>
      </c>
      <c r="L2666" t="str">
        <f>IF(E2666="","",IFERROR(VLOOKUP(E2666,Listas!$A$2:$C$1048576,3,FALSE),""))</f>
        <v/>
      </c>
    </row>
    <row r="2667" spans="10:12" x14ac:dyDescent="0.25">
      <c r="J2667" t="str">
        <f>IF(H2667="","",IFERROR(VLOOKUP(H2667,Listas!$J$2:$K$1048576,2,FALSE),""))</f>
        <v/>
      </c>
      <c r="K2667" s="5" t="str">
        <f>IF(OR(I2667="",G2667=""),"",IF(G2667="Saída",-I2667,I2667))</f>
        <v/>
      </c>
      <c r="L2667" t="str">
        <f>IF(E2667="","",IFERROR(VLOOKUP(E2667,Listas!$A$2:$C$1048576,3,FALSE),""))</f>
        <v/>
      </c>
    </row>
    <row r="2668" spans="10:12" x14ac:dyDescent="0.25">
      <c r="J2668" t="str">
        <f>IF(H2668="","",IFERROR(VLOOKUP(H2668,Listas!$J$2:$K$1048576,2,FALSE),""))</f>
        <v/>
      </c>
      <c r="K2668" s="5" t="str">
        <f>IF(OR(I2668="",G2668=""),"",IF(G2668="Saída",-I2668,I2668))</f>
        <v/>
      </c>
      <c r="L2668" t="str">
        <f>IF(E2668="","",IFERROR(VLOOKUP(E2668,Listas!$A$2:$C$1048576,3,FALSE),""))</f>
        <v/>
      </c>
    </row>
    <row r="2669" spans="10:12" x14ac:dyDescent="0.25">
      <c r="J2669" t="str">
        <f>IF(H2669="","",IFERROR(VLOOKUP(H2669,Listas!$J$2:$K$1048576,2,FALSE),""))</f>
        <v/>
      </c>
      <c r="K2669" s="5" t="str">
        <f>IF(OR(I2669="",G2669=""),"",IF(G2669="Saída",-I2669,I2669))</f>
        <v/>
      </c>
      <c r="L2669" t="str">
        <f>IF(E2669="","",IFERROR(VLOOKUP(E2669,Listas!$A$2:$C$1048576,3,FALSE),""))</f>
        <v/>
      </c>
    </row>
    <row r="2670" spans="10:12" x14ac:dyDescent="0.25">
      <c r="J2670" t="str">
        <f>IF(H2670="","",IFERROR(VLOOKUP(H2670,Listas!$J$2:$K$1048576,2,FALSE),""))</f>
        <v/>
      </c>
      <c r="K2670" s="5" t="str">
        <f>IF(OR(I2670="",G2670=""),"",IF(G2670="Saída",-I2670,I2670))</f>
        <v/>
      </c>
      <c r="L2670" t="str">
        <f>IF(E2670="","",IFERROR(VLOOKUP(E2670,Listas!$A$2:$C$1048576,3,FALSE),""))</f>
        <v/>
      </c>
    </row>
    <row r="2671" spans="10:12" x14ac:dyDescent="0.25">
      <c r="J2671" t="str">
        <f>IF(H2671="","",IFERROR(VLOOKUP(H2671,Listas!$J$2:$K$1048576,2,FALSE),""))</f>
        <v/>
      </c>
      <c r="K2671" s="5" t="str">
        <f>IF(OR(I2671="",G2671=""),"",IF(G2671="Saída",-I2671,I2671))</f>
        <v/>
      </c>
      <c r="L2671" t="str">
        <f>IF(E2671="","",IFERROR(VLOOKUP(E2671,Listas!$A$2:$C$1048576,3,FALSE),""))</f>
        <v/>
      </c>
    </row>
    <row r="2672" spans="10:12" x14ac:dyDescent="0.25">
      <c r="J2672" t="str">
        <f>IF(H2672="","",IFERROR(VLOOKUP(H2672,Listas!$J$2:$K$1048576,2,FALSE),""))</f>
        <v/>
      </c>
      <c r="K2672" s="5" t="str">
        <f>IF(OR(I2672="",G2672=""),"",IF(G2672="Saída",-I2672,I2672))</f>
        <v/>
      </c>
      <c r="L2672" t="str">
        <f>IF(E2672="","",IFERROR(VLOOKUP(E2672,Listas!$A$2:$C$1048576,3,FALSE),""))</f>
        <v/>
      </c>
    </row>
    <row r="2673" spans="10:12" x14ac:dyDescent="0.25">
      <c r="J2673" t="str">
        <f>IF(H2673="","",IFERROR(VLOOKUP(H2673,Listas!$J$2:$K$1048576,2,FALSE),""))</f>
        <v/>
      </c>
      <c r="K2673" s="5" t="str">
        <f>IF(OR(I2673="",G2673=""),"",IF(G2673="Saída",-I2673,I2673))</f>
        <v/>
      </c>
      <c r="L2673" t="str">
        <f>IF(E2673="","",IFERROR(VLOOKUP(E2673,Listas!$A$2:$C$1048576,3,FALSE),""))</f>
        <v/>
      </c>
    </row>
    <row r="2674" spans="10:12" x14ac:dyDescent="0.25">
      <c r="J2674" t="str">
        <f>IF(H2674="","",IFERROR(VLOOKUP(H2674,Listas!$J$2:$K$1048576,2,FALSE),""))</f>
        <v/>
      </c>
      <c r="K2674" s="5" t="str">
        <f>IF(OR(I2674="",G2674=""),"",IF(G2674="Saída",-I2674,I2674))</f>
        <v/>
      </c>
      <c r="L2674" t="str">
        <f>IF(E2674="","",IFERROR(VLOOKUP(E2674,Listas!$A$2:$C$1048576,3,FALSE),""))</f>
        <v/>
      </c>
    </row>
    <row r="2675" spans="10:12" x14ac:dyDescent="0.25">
      <c r="J2675" t="str">
        <f>IF(H2675="","",IFERROR(VLOOKUP(H2675,Listas!$J$2:$K$1048576,2,FALSE),""))</f>
        <v/>
      </c>
      <c r="K2675" s="5" t="str">
        <f>IF(OR(I2675="",G2675=""),"",IF(G2675="Saída",-I2675,I2675))</f>
        <v/>
      </c>
      <c r="L2675" t="str">
        <f>IF(E2675="","",IFERROR(VLOOKUP(E2675,Listas!$A$2:$C$1048576,3,FALSE),""))</f>
        <v/>
      </c>
    </row>
    <row r="2676" spans="10:12" x14ac:dyDescent="0.25">
      <c r="J2676" t="str">
        <f>IF(H2676="","",IFERROR(VLOOKUP(H2676,Listas!$J$2:$K$1048576,2,FALSE),""))</f>
        <v/>
      </c>
      <c r="K2676" s="5" t="str">
        <f>IF(OR(I2676="",G2676=""),"",IF(G2676="Saída",-I2676,I2676))</f>
        <v/>
      </c>
      <c r="L2676" t="str">
        <f>IF(E2676="","",IFERROR(VLOOKUP(E2676,Listas!$A$2:$C$1048576,3,FALSE),""))</f>
        <v/>
      </c>
    </row>
    <row r="2677" spans="10:12" x14ac:dyDescent="0.25">
      <c r="J2677" t="str">
        <f>IF(H2677="","",IFERROR(VLOOKUP(H2677,Listas!$J$2:$K$1048576,2,FALSE),""))</f>
        <v/>
      </c>
      <c r="K2677" s="5" t="str">
        <f>IF(OR(I2677="",G2677=""),"",IF(G2677="Saída",-I2677,I2677))</f>
        <v/>
      </c>
      <c r="L2677" t="str">
        <f>IF(E2677="","",IFERROR(VLOOKUP(E2677,Listas!$A$2:$C$1048576,3,FALSE),""))</f>
        <v/>
      </c>
    </row>
    <row r="2678" spans="10:12" x14ac:dyDescent="0.25">
      <c r="J2678" t="str">
        <f>IF(H2678="","",IFERROR(VLOOKUP(H2678,Listas!$J$2:$K$1048576,2,FALSE),""))</f>
        <v/>
      </c>
      <c r="K2678" s="5" t="str">
        <f>IF(OR(I2678="",G2678=""),"",IF(G2678="Saída",-I2678,I2678))</f>
        <v/>
      </c>
      <c r="L2678" t="str">
        <f>IF(E2678="","",IFERROR(VLOOKUP(E2678,Listas!$A$2:$C$1048576,3,FALSE),""))</f>
        <v/>
      </c>
    </row>
    <row r="2679" spans="10:12" x14ac:dyDescent="0.25">
      <c r="J2679" t="str">
        <f>IF(H2679="","",IFERROR(VLOOKUP(H2679,Listas!$J$2:$K$1048576,2,FALSE),""))</f>
        <v/>
      </c>
      <c r="K2679" s="5" t="str">
        <f>IF(OR(I2679="",G2679=""),"",IF(G2679="Saída",-I2679,I2679))</f>
        <v/>
      </c>
      <c r="L2679" t="str">
        <f>IF(E2679="","",IFERROR(VLOOKUP(E2679,Listas!$A$2:$C$1048576,3,FALSE),""))</f>
        <v/>
      </c>
    </row>
    <row r="2680" spans="10:12" x14ac:dyDescent="0.25">
      <c r="J2680" t="str">
        <f>IF(H2680="","",IFERROR(VLOOKUP(H2680,Listas!$J$2:$K$1048576,2,FALSE),""))</f>
        <v/>
      </c>
      <c r="K2680" s="5" t="str">
        <f>IF(OR(I2680="",G2680=""),"",IF(G2680="Saída",-I2680,I2680))</f>
        <v/>
      </c>
      <c r="L2680" t="str">
        <f>IF(E2680="","",IFERROR(VLOOKUP(E2680,Listas!$A$2:$C$1048576,3,FALSE),""))</f>
        <v/>
      </c>
    </row>
    <row r="2681" spans="10:12" x14ac:dyDescent="0.25">
      <c r="J2681" t="str">
        <f>IF(H2681="","",IFERROR(VLOOKUP(H2681,Listas!$J$2:$K$1048576,2,FALSE),""))</f>
        <v/>
      </c>
      <c r="K2681" s="5" t="str">
        <f>IF(OR(I2681="",G2681=""),"",IF(G2681="Saída",-I2681,I2681))</f>
        <v/>
      </c>
      <c r="L2681" t="str">
        <f>IF(E2681="","",IFERROR(VLOOKUP(E2681,Listas!$A$2:$C$1048576,3,FALSE),""))</f>
        <v/>
      </c>
    </row>
    <row r="2682" spans="10:12" x14ac:dyDescent="0.25">
      <c r="J2682" t="str">
        <f>IF(H2682="","",IFERROR(VLOOKUP(H2682,Listas!$J$2:$K$1048576,2,FALSE),""))</f>
        <v/>
      </c>
      <c r="K2682" s="5" t="str">
        <f>IF(OR(I2682="",G2682=""),"",IF(G2682="Saída",-I2682,I2682))</f>
        <v/>
      </c>
      <c r="L2682" t="str">
        <f>IF(E2682="","",IFERROR(VLOOKUP(E2682,Listas!$A$2:$C$1048576,3,FALSE),""))</f>
        <v/>
      </c>
    </row>
    <row r="2683" spans="10:12" x14ac:dyDescent="0.25">
      <c r="J2683" t="str">
        <f>IF(H2683="","",IFERROR(VLOOKUP(H2683,Listas!$J$2:$K$1048576,2,FALSE),""))</f>
        <v/>
      </c>
      <c r="K2683" s="5" t="str">
        <f>IF(OR(I2683="",G2683=""),"",IF(G2683="Saída",-I2683,I2683))</f>
        <v/>
      </c>
      <c r="L2683" t="str">
        <f>IF(E2683="","",IFERROR(VLOOKUP(E2683,Listas!$A$2:$C$1048576,3,FALSE),""))</f>
        <v/>
      </c>
    </row>
    <row r="2684" spans="10:12" x14ac:dyDescent="0.25">
      <c r="J2684" t="str">
        <f>IF(H2684="","",IFERROR(VLOOKUP(H2684,Listas!$J$2:$K$1048576,2,FALSE),""))</f>
        <v/>
      </c>
      <c r="K2684" s="5" t="str">
        <f>IF(OR(I2684="",G2684=""),"",IF(G2684="Saída",-I2684,I2684))</f>
        <v/>
      </c>
      <c r="L2684" t="str">
        <f>IF(E2684="","",IFERROR(VLOOKUP(E2684,Listas!$A$2:$C$1048576,3,FALSE),""))</f>
        <v/>
      </c>
    </row>
    <row r="2685" spans="10:12" x14ac:dyDescent="0.25">
      <c r="J2685" t="str">
        <f>IF(H2685="","",IFERROR(VLOOKUP(H2685,Listas!$J$2:$K$1048576,2,FALSE),""))</f>
        <v/>
      </c>
      <c r="K2685" s="5" t="str">
        <f>IF(OR(I2685="",G2685=""),"",IF(G2685="Saída",-I2685,I2685))</f>
        <v/>
      </c>
      <c r="L2685" t="str">
        <f>IF(E2685="","",IFERROR(VLOOKUP(E2685,Listas!$A$2:$C$1048576,3,FALSE),""))</f>
        <v/>
      </c>
    </row>
    <row r="2686" spans="10:12" x14ac:dyDescent="0.25">
      <c r="J2686" t="str">
        <f>IF(H2686="","",IFERROR(VLOOKUP(H2686,Listas!$J$2:$K$1048576,2,FALSE),""))</f>
        <v/>
      </c>
      <c r="K2686" s="5" t="str">
        <f>IF(OR(I2686="",G2686=""),"",IF(G2686="Saída",-I2686,I2686))</f>
        <v/>
      </c>
      <c r="L2686" t="str">
        <f>IF(E2686="","",IFERROR(VLOOKUP(E2686,Listas!$A$2:$C$1048576,3,FALSE),""))</f>
        <v/>
      </c>
    </row>
    <row r="2687" spans="10:12" x14ac:dyDescent="0.25">
      <c r="J2687" t="str">
        <f>IF(H2687="","",IFERROR(VLOOKUP(H2687,Listas!$J$2:$K$1048576,2,FALSE),""))</f>
        <v/>
      </c>
      <c r="K2687" s="5" t="str">
        <f>IF(OR(I2687="",G2687=""),"",IF(G2687="Saída",-I2687,I2687))</f>
        <v/>
      </c>
      <c r="L2687" t="str">
        <f>IF(E2687="","",IFERROR(VLOOKUP(E2687,Listas!$A$2:$C$1048576,3,FALSE),""))</f>
        <v/>
      </c>
    </row>
    <row r="2688" spans="10:12" x14ac:dyDescent="0.25">
      <c r="J2688" t="str">
        <f>IF(H2688="","",IFERROR(VLOOKUP(H2688,Listas!$J$2:$K$1048576,2,FALSE),""))</f>
        <v/>
      </c>
      <c r="K2688" s="5" t="str">
        <f>IF(OR(I2688="",G2688=""),"",IF(G2688="Saída",-I2688,I2688))</f>
        <v/>
      </c>
      <c r="L2688" t="str">
        <f>IF(E2688="","",IFERROR(VLOOKUP(E2688,Listas!$A$2:$C$1048576,3,FALSE),""))</f>
        <v/>
      </c>
    </row>
    <row r="2689" spans="10:12" x14ac:dyDescent="0.25">
      <c r="J2689" t="str">
        <f>IF(H2689="","",IFERROR(VLOOKUP(H2689,Listas!$J$2:$K$1048576,2,FALSE),""))</f>
        <v/>
      </c>
      <c r="K2689" s="5" t="str">
        <f>IF(OR(I2689="",G2689=""),"",IF(G2689="Saída",-I2689,I2689))</f>
        <v/>
      </c>
      <c r="L2689" t="str">
        <f>IF(E2689="","",IFERROR(VLOOKUP(E2689,Listas!$A$2:$C$1048576,3,FALSE),""))</f>
        <v/>
      </c>
    </row>
    <row r="2690" spans="10:12" x14ac:dyDescent="0.25">
      <c r="J2690" t="str">
        <f>IF(H2690="","",IFERROR(VLOOKUP(H2690,Listas!$J$2:$K$1048576,2,FALSE),""))</f>
        <v/>
      </c>
      <c r="K2690" s="5" t="str">
        <f>IF(OR(I2690="",G2690=""),"",IF(G2690="Saída",-I2690,I2690))</f>
        <v/>
      </c>
      <c r="L2690" t="str">
        <f>IF(E2690="","",IFERROR(VLOOKUP(E2690,Listas!$A$2:$C$1048576,3,FALSE),""))</f>
        <v/>
      </c>
    </row>
    <row r="2691" spans="10:12" x14ac:dyDescent="0.25">
      <c r="J2691" t="str">
        <f>IF(H2691="","",IFERROR(VLOOKUP(H2691,Listas!$J$2:$K$1048576,2,FALSE),""))</f>
        <v/>
      </c>
      <c r="K2691" s="5" t="str">
        <f>IF(OR(I2691="",G2691=""),"",IF(G2691="Saída",-I2691,I2691))</f>
        <v/>
      </c>
      <c r="L2691" t="str">
        <f>IF(E2691="","",IFERROR(VLOOKUP(E2691,Listas!$A$2:$C$1048576,3,FALSE),""))</f>
        <v/>
      </c>
    </row>
    <row r="2692" spans="10:12" x14ac:dyDescent="0.25">
      <c r="J2692" t="str">
        <f>IF(H2692="","",IFERROR(VLOOKUP(H2692,Listas!$J$2:$K$1048576,2,FALSE),""))</f>
        <v/>
      </c>
      <c r="K2692" s="5" t="str">
        <f>IF(OR(I2692="",G2692=""),"",IF(G2692="Saída",-I2692,I2692))</f>
        <v/>
      </c>
      <c r="L2692" t="str">
        <f>IF(E2692="","",IFERROR(VLOOKUP(E2692,Listas!$A$2:$C$1048576,3,FALSE),""))</f>
        <v/>
      </c>
    </row>
    <row r="2693" spans="10:12" x14ac:dyDescent="0.25">
      <c r="J2693" t="str">
        <f>IF(H2693="","",IFERROR(VLOOKUP(H2693,Listas!$J$2:$K$1048576,2,FALSE),""))</f>
        <v/>
      </c>
      <c r="K2693" s="5" t="str">
        <f>IF(OR(I2693="",G2693=""),"",IF(G2693="Saída",-I2693,I2693))</f>
        <v/>
      </c>
      <c r="L2693" t="str">
        <f>IF(E2693="","",IFERROR(VLOOKUP(E2693,Listas!$A$2:$C$1048576,3,FALSE),""))</f>
        <v/>
      </c>
    </row>
    <row r="2694" spans="10:12" x14ac:dyDescent="0.25">
      <c r="J2694" t="str">
        <f>IF(H2694="","",IFERROR(VLOOKUP(H2694,Listas!$J$2:$K$1048576,2,FALSE),""))</f>
        <v/>
      </c>
      <c r="K2694" s="5" t="str">
        <f>IF(OR(I2694="",G2694=""),"",IF(G2694="Saída",-I2694,I2694))</f>
        <v/>
      </c>
      <c r="L2694" t="str">
        <f>IF(E2694="","",IFERROR(VLOOKUP(E2694,Listas!$A$2:$C$1048576,3,FALSE),""))</f>
        <v/>
      </c>
    </row>
    <row r="2695" spans="10:12" x14ac:dyDescent="0.25">
      <c r="J2695" t="str">
        <f>IF(H2695="","",IFERROR(VLOOKUP(H2695,Listas!$J$2:$K$1048576,2,FALSE),""))</f>
        <v/>
      </c>
      <c r="K2695" s="5" t="str">
        <f>IF(OR(I2695="",G2695=""),"",IF(G2695="Saída",-I2695,I2695))</f>
        <v/>
      </c>
      <c r="L2695" t="str">
        <f>IF(E2695="","",IFERROR(VLOOKUP(E2695,Listas!$A$2:$C$1048576,3,FALSE),""))</f>
        <v/>
      </c>
    </row>
    <row r="2696" spans="10:12" x14ac:dyDescent="0.25">
      <c r="J2696" t="str">
        <f>IF(H2696="","",IFERROR(VLOOKUP(H2696,Listas!$J$2:$K$1048576,2,FALSE),""))</f>
        <v/>
      </c>
      <c r="K2696" s="5" t="str">
        <f>IF(OR(I2696="",G2696=""),"",IF(G2696="Saída",-I2696,I2696))</f>
        <v/>
      </c>
      <c r="L2696" t="str">
        <f>IF(E2696="","",IFERROR(VLOOKUP(E2696,Listas!$A$2:$C$1048576,3,FALSE),""))</f>
        <v/>
      </c>
    </row>
    <row r="2697" spans="10:12" x14ac:dyDescent="0.25">
      <c r="J2697" t="str">
        <f>IF(H2697="","",IFERROR(VLOOKUP(H2697,Listas!$J$2:$K$1048576,2,FALSE),""))</f>
        <v/>
      </c>
      <c r="K2697" s="5" t="str">
        <f>IF(OR(I2697="",G2697=""),"",IF(G2697="Saída",-I2697,I2697))</f>
        <v/>
      </c>
      <c r="L2697" t="str">
        <f>IF(E2697="","",IFERROR(VLOOKUP(E2697,Listas!$A$2:$C$1048576,3,FALSE),""))</f>
        <v/>
      </c>
    </row>
    <row r="2698" spans="10:12" x14ac:dyDescent="0.25">
      <c r="J2698" t="str">
        <f>IF(H2698="","",IFERROR(VLOOKUP(H2698,Listas!$J$2:$K$1048576,2,FALSE),""))</f>
        <v/>
      </c>
      <c r="K2698" s="5" t="str">
        <f>IF(OR(I2698="",G2698=""),"",IF(G2698="Saída",-I2698,I2698))</f>
        <v/>
      </c>
      <c r="L2698" t="str">
        <f>IF(E2698="","",IFERROR(VLOOKUP(E2698,Listas!$A$2:$C$1048576,3,FALSE),""))</f>
        <v/>
      </c>
    </row>
    <row r="2699" spans="10:12" x14ac:dyDescent="0.25">
      <c r="J2699" t="str">
        <f>IF(H2699="","",IFERROR(VLOOKUP(H2699,Listas!$J$2:$K$1048576,2,FALSE),""))</f>
        <v/>
      </c>
      <c r="K2699" s="5" t="str">
        <f>IF(OR(I2699="",G2699=""),"",IF(G2699="Saída",-I2699,I2699))</f>
        <v/>
      </c>
      <c r="L2699" t="str">
        <f>IF(E2699="","",IFERROR(VLOOKUP(E2699,Listas!$A$2:$C$1048576,3,FALSE),""))</f>
        <v/>
      </c>
    </row>
    <row r="2700" spans="10:12" x14ac:dyDescent="0.25">
      <c r="J2700" t="str">
        <f>IF(H2700="","",IFERROR(VLOOKUP(H2700,Listas!$J$2:$K$1048576,2,FALSE),""))</f>
        <v/>
      </c>
      <c r="K2700" s="5" t="str">
        <f>IF(OR(I2700="",G2700=""),"",IF(G2700="Saída",-I2700,I2700))</f>
        <v/>
      </c>
      <c r="L2700" t="str">
        <f>IF(E2700="","",IFERROR(VLOOKUP(E2700,Listas!$A$2:$C$1048576,3,FALSE),""))</f>
        <v/>
      </c>
    </row>
    <row r="2701" spans="10:12" x14ac:dyDescent="0.25">
      <c r="J2701" t="str">
        <f>IF(H2701="","",IFERROR(VLOOKUP(H2701,Listas!$J$2:$K$1048576,2,FALSE),""))</f>
        <v/>
      </c>
      <c r="K2701" s="5" t="str">
        <f>IF(OR(I2701="",G2701=""),"",IF(G2701="Saída",-I2701,I2701))</f>
        <v/>
      </c>
      <c r="L2701" t="str">
        <f>IF(E2701="","",IFERROR(VLOOKUP(E2701,Listas!$A$2:$C$1048576,3,FALSE),""))</f>
        <v/>
      </c>
    </row>
    <row r="2702" spans="10:12" x14ac:dyDescent="0.25">
      <c r="J2702" t="str">
        <f>IF(H2702="","",IFERROR(VLOOKUP(H2702,Listas!$J$2:$K$1048576,2,FALSE),""))</f>
        <v/>
      </c>
      <c r="K2702" s="5" t="str">
        <f>IF(OR(I2702="",G2702=""),"",IF(G2702="Saída",-I2702,I2702))</f>
        <v/>
      </c>
      <c r="L2702" t="str">
        <f>IF(E2702="","",IFERROR(VLOOKUP(E2702,Listas!$A$2:$C$1048576,3,FALSE),""))</f>
        <v/>
      </c>
    </row>
    <row r="2703" spans="10:12" x14ac:dyDescent="0.25">
      <c r="J2703" t="str">
        <f>IF(H2703="","",IFERROR(VLOOKUP(H2703,Listas!$J$2:$K$1048576,2,FALSE),""))</f>
        <v/>
      </c>
      <c r="K2703" s="5" t="str">
        <f>IF(OR(I2703="",G2703=""),"",IF(G2703="Saída",-I2703,I2703))</f>
        <v/>
      </c>
      <c r="L2703" t="str">
        <f>IF(E2703="","",IFERROR(VLOOKUP(E2703,Listas!$A$2:$C$1048576,3,FALSE),""))</f>
        <v/>
      </c>
    </row>
    <row r="2704" spans="10:12" x14ac:dyDescent="0.25">
      <c r="J2704" t="str">
        <f>IF(H2704="","",IFERROR(VLOOKUP(H2704,Listas!$J$2:$K$1048576,2,FALSE),""))</f>
        <v/>
      </c>
      <c r="K2704" s="5" t="str">
        <f>IF(OR(I2704="",G2704=""),"",IF(G2704="Saída",-I2704,I2704))</f>
        <v/>
      </c>
      <c r="L2704" t="str">
        <f>IF(E2704="","",IFERROR(VLOOKUP(E2704,Listas!$A$2:$C$1048576,3,FALSE),""))</f>
        <v/>
      </c>
    </row>
    <row r="2705" spans="10:12" x14ac:dyDescent="0.25">
      <c r="J2705" t="str">
        <f>IF(H2705="","",IFERROR(VLOOKUP(H2705,Listas!$J$2:$K$1048576,2,FALSE),""))</f>
        <v/>
      </c>
      <c r="K2705" s="5" t="str">
        <f>IF(OR(I2705="",G2705=""),"",IF(G2705="Saída",-I2705,I2705))</f>
        <v/>
      </c>
      <c r="L2705" t="str">
        <f>IF(E2705="","",IFERROR(VLOOKUP(E2705,Listas!$A$2:$C$1048576,3,FALSE),""))</f>
        <v/>
      </c>
    </row>
    <row r="2706" spans="10:12" x14ac:dyDescent="0.25">
      <c r="J2706" t="str">
        <f>IF(H2706="","",IFERROR(VLOOKUP(H2706,Listas!$J$2:$K$1048576,2,FALSE),""))</f>
        <v/>
      </c>
      <c r="K2706" s="5" t="str">
        <f>IF(OR(I2706="",G2706=""),"",IF(G2706="Saída",-I2706,I2706))</f>
        <v/>
      </c>
      <c r="L2706" t="str">
        <f>IF(E2706="","",IFERROR(VLOOKUP(E2706,Listas!$A$2:$C$1048576,3,FALSE),""))</f>
        <v/>
      </c>
    </row>
    <row r="2707" spans="10:12" x14ac:dyDescent="0.25">
      <c r="J2707" t="str">
        <f>IF(H2707="","",IFERROR(VLOOKUP(H2707,Listas!$J$2:$K$1048576,2,FALSE),""))</f>
        <v/>
      </c>
      <c r="K2707" s="5" t="str">
        <f>IF(OR(I2707="",G2707=""),"",IF(G2707="Saída",-I2707,I2707))</f>
        <v/>
      </c>
      <c r="L2707" t="str">
        <f>IF(E2707="","",IFERROR(VLOOKUP(E2707,Listas!$A$2:$C$1048576,3,FALSE),""))</f>
        <v/>
      </c>
    </row>
    <row r="2708" spans="10:12" x14ac:dyDescent="0.25">
      <c r="J2708" t="str">
        <f>IF(H2708="","",IFERROR(VLOOKUP(H2708,Listas!$J$2:$K$1048576,2,FALSE),""))</f>
        <v/>
      </c>
      <c r="K2708" s="5" t="str">
        <f>IF(OR(I2708="",G2708=""),"",IF(G2708="Saída",-I2708,I2708))</f>
        <v/>
      </c>
      <c r="L2708" t="str">
        <f>IF(E2708="","",IFERROR(VLOOKUP(E2708,Listas!$A$2:$C$1048576,3,FALSE),""))</f>
        <v/>
      </c>
    </row>
    <row r="2709" spans="10:12" x14ac:dyDescent="0.25">
      <c r="J2709" t="str">
        <f>IF(H2709="","",IFERROR(VLOOKUP(H2709,Listas!$J$2:$K$1048576,2,FALSE),""))</f>
        <v/>
      </c>
      <c r="K2709" s="5" t="str">
        <f>IF(OR(I2709="",G2709=""),"",IF(G2709="Saída",-I2709,I2709))</f>
        <v/>
      </c>
      <c r="L2709" t="str">
        <f>IF(E2709="","",IFERROR(VLOOKUP(E2709,Listas!$A$2:$C$1048576,3,FALSE),""))</f>
        <v/>
      </c>
    </row>
    <row r="2710" spans="10:12" x14ac:dyDescent="0.25">
      <c r="J2710" t="str">
        <f>IF(H2710="","",IFERROR(VLOOKUP(H2710,Listas!$J$2:$K$1048576,2,FALSE),""))</f>
        <v/>
      </c>
      <c r="K2710" s="5" t="str">
        <f>IF(OR(I2710="",G2710=""),"",IF(G2710="Saída",-I2710,I2710))</f>
        <v/>
      </c>
      <c r="L2710" t="str">
        <f>IF(E2710="","",IFERROR(VLOOKUP(E2710,Listas!$A$2:$C$1048576,3,FALSE),""))</f>
        <v/>
      </c>
    </row>
    <row r="2711" spans="10:12" x14ac:dyDescent="0.25">
      <c r="J2711" t="str">
        <f>IF(H2711="","",IFERROR(VLOOKUP(H2711,Listas!$J$2:$K$1048576,2,FALSE),""))</f>
        <v/>
      </c>
      <c r="K2711" s="5" t="str">
        <f>IF(OR(I2711="",G2711=""),"",IF(G2711="Saída",-I2711,I2711))</f>
        <v/>
      </c>
      <c r="L2711" t="str">
        <f>IF(E2711="","",IFERROR(VLOOKUP(E2711,Listas!$A$2:$C$1048576,3,FALSE),""))</f>
        <v/>
      </c>
    </row>
    <row r="2712" spans="10:12" x14ac:dyDescent="0.25">
      <c r="J2712" t="str">
        <f>IF(H2712="","",IFERROR(VLOOKUP(H2712,Listas!$J$2:$K$1048576,2,FALSE),""))</f>
        <v/>
      </c>
      <c r="K2712" s="5" t="str">
        <f>IF(OR(I2712="",G2712=""),"",IF(G2712="Saída",-I2712,I2712))</f>
        <v/>
      </c>
      <c r="L2712" t="str">
        <f>IF(E2712="","",IFERROR(VLOOKUP(E2712,Listas!$A$2:$C$1048576,3,FALSE),""))</f>
        <v/>
      </c>
    </row>
    <row r="2713" spans="10:12" x14ac:dyDescent="0.25">
      <c r="J2713" t="str">
        <f>IF(H2713="","",IFERROR(VLOOKUP(H2713,Listas!$J$2:$K$1048576,2,FALSE),""))</f>
        <v/>
      </c>
      <c r="K2713" s="5" t="str">
        <f>IF(OR(I2713="",G2713=""),"",IF(G2713="Saída",-I2713,I2713))</f>
        <v/>
      </c>
      <c r="L2713" t="str">
        <f>IF(E2713="","",IFERROR(VLOOKUP(E2713,Listas!$A$2:$C$1048576,3,FALSE),""))</f>
        <v/>
      </c>
    </row>
    <row r="2714" spans="10:12" x14ac:dyDescent="0.25">
      <c r="J2714" t="str">
        <f>IF(H2714="","",IFERROR(VLOOKUP(H2714,Listas!$J$2:$K$1048576,2,FALSE),""))</f>
        <v/>
      </c>
      <c r="K2714" s="5" t="str">
        <f>IF(OR(I2714="",G2714=""),"",IF(G2714="Saída",-I2714,I2714))</f>
        <v/>
      </c>
      <c r="L2714" t="str">
        <f>IF(E2714="","",IFERROR(VLOOKUP(E2714,Listas!$A$2:$C$1048576,3,FALSE),""))</f>
        <v/>
      </c>
    </row>
    <row r="2715" spans="10:12" x14ac:dyDescent="0.25">
      <c r="J2715" t="str">
        <f>IF(H2715="","",IFERROR(VLOOKUP(H2715,Listas!$J$2:$K$1048576,2,FALSE),""))</f>
        <v/>
      </c>
      <c r="K2715" s="5" t="str">
        <f>IF(OR(I2715="",G2715=""),"",IF(G2715="Saída",-I2715,I2715))</f>
        <v/>
      </c>
      <c r="L2715" t="str">
        <f>IF(E2715="","",IFERROR(VLOOKUP(E2715,Listas!$A$2:$C$1048576,3,FALSE),""))</f>
        <v/>
      </c>
    </row>
    <row r="2716" spans="10:12" x14ac:dyDescent="0.25">
      <c r="J2716" t="str">
        <f>IF(H2716="","",IFERROR(VLOOKUP(H2716,Listas!$J$2:$K$1048576,2,FALSE),""))</f>
        <v/>
      </c>
      <c r="K2716" s="5" t="str">
        <f>IF(OR(I2716="",G2716=""),"",IF(G2716="Saída",-I2716,I2716))</f>
        <v/>
      </c>
      <c r="L2716" t="str">
        <f>IF(E2716="","",IFERROR(VLOOKUP(E2716,Listas!$A$2:$C$1048576,3,FALSE),""))</f>
        <v/>
      </c>
    </row>
    <row r="2717" spans="10:12" x14ac:dyDescent="0.25">
      <c r="J2717" t="str">
        <f>IF(H2717="","",IFERROR(VLOOKUP(H2717,Listas!$J$2:$K$1048576,2,FALSE),""))</f>
        <v/>
      </c>
      <c r="K2717" s="5" t="str">
        <f>IF(OR(I2717="",G2717=""),"",IF(G2717="Saída",-I2717,I2717))</f>
        <v/>
      </c>
      <c r="L2717" t="str">
        <f>IF(E2717="","",IFERROR(VLOOKUP(E2717,Listas!$A$2:$C$1048576,3,FALSE),""))</f>
        <v/>
      </c>
    </row>
    <row r="2718" spans="10:12" x14ac:dyDescent="0.25">
      <c r="J2718" t="str">
        <f>IF(H2718="","",IFERROR(VLOOKUP(H2718,Listas!$J$2:$K$1048576,2,FALSE),""))</f>
        <v/>
      </c>
      <c r="K2718" s="5" t="str">
        <f>IF(OR(I2718="",G2718=""),"",IF(G2718="Saída",-I2718,I2718))</f>
        <v/>
      </c>
      <c r="L2718" t="str">
        <f>IF(E2718="","",IFERROR(VLOOKUP(E2718,Listas!$A$2:$C$1048576,3,FALSE),""))</f>
        <v/>
      </c>
    </row>
    <row r="2719" spans="10:12" x14ac:dyDescent="0.25">
      <c r="J2719" t="str">
        <f>IF(H2719="","",IFERROR(VLOOKUP(H2719,Listas!$J$2:$K$1048576,2,FALSE),""))</f>
        <v/>
      </c>
      <c r="K2719" s="5" t="str">
        <f>IF(OR(I2719="",G2719=""),"",IF(G2719="Saída",-I2719,I2719))</f>
        <v/>
      </c>
      <c r="L2719" t="str">
        <f>IF(E2719="","",IFERROR(VLOOKUP(E2719,Listas!$A$2:$C$1048576,3,FALSE),""))</f>
        <v/>
      </c>
    </row>
    <row r="2720" spans="10:12" x14ac:dyDescent="0.25">
      <c r="J2720" t="str">
        <f>IF(H2720="","",IFERROR(VLOOKUP(H2720,Listas!$J$2:$K$1048576,2,FALSE),""))</f>
        <v/>
      </c>
      <c r="K2720" s="5" t="str">
        <f>IF(OR(I2720="",G2720=""),"",IF(G2720="Saída",-I2720,I2720))</f>
        <v/>
      </c>
      <c r="L2720" t="str">
        <f>IF(E2720="","",IFERROR(VLOOKUP(E2720,Listas!$A$2:$C$1048576,3,FALSE),""))</f>
        <v/>
      </c>
    </row>
    <row r="2721" spans="10:12" x14ac:dyDescent="0.25">
      <c r="J2721" t="str">
        <f>IF(H2721="","",IFERROR(VLOOKUP(H2721,Listas!$J$2:$K$1048576,2,FALSE),""))</f>
        <v/>
      </c>
      <c r="K2721" s="5" t="str">
        <f>IF(OR(I2721="",G2721=""),"",IF(G2721="Saída",-I2721,I2721))</f>
        <v/>
      </c>
      <c r="L2721" t="str">
        <f>IF(E2721="","",IFERROR(VLOOKUP(E2721,Listas!$A$2:$C$1048576,3,FALSE),""))</f>
        <v/>
      </c>
    </row>
    <row r="2722" spans="10:12" x14ac:dyDescent="0.25">
      <c r="J2722" t="str">
        <f>IF(H2722="","",IFERROR(VLOOKUP(H2722,Listas!$J$2:$K$1048576,2,FALSE),""))</f>
        <v/>
      </c>
      <c r="K2722" s="5" t="str">
        <f>IF(OR(I2722="",G2722=""),"",IF(G2722="Saída",-I2722,I2722))</f>
        <v/>
      </c>
      <c r="L2722" t="str">
        <f>IF(E2722="","",IFERROR(VLOOKUP(E2722,Listas!$A$2:$C$1048576,3,FALSE),""))</f>
        <v/>
      </c>
    </row>
    <row r="2723" spans="10:12" x14ac:dyDescent="0.25">
      <c r="J2723" t="str">
        <f>IF(H2723="","",IFERROR(VLOOKUP(H2723,Listas!$J$2:$K$1048576,2,FALSE),""))</f>
        <v/>
      </c>
      <c r="K2723" s="5" t="str">
        <f>IF(OR(I2723="",G2723=""),"",IF(G2723="Saída",-I2723,I2723))</f>
        <v/>
      </c>
      <c r="L2723" t="str">
        <f>IF(E2723="","",IFERROR(VLOOKUP(E2723,Listas!$A$2:$C$1048576,3,FALSE),""))</f>
        <v/>
      </c>
    </row>
    <row r="2724" spans="10:12" x14ac:dyDescent="0.25">
      <c r="J2724" t="str">
        <f>IF(H2724="","",IFERROR(VLOOKUP(H2724,Listas!$J$2:$K$1048576,2,FALSE),""))</f>
        <v/>
      </c>
      <c r="K2724" s="5" t="str">
        <f>IF(OR(I2724="",G2724=""),"",IF(G2724="Saída",-I2724,I2724))</f>
        <v/>
      </c>
      <c r="L2724" t="str">
        <f>IF(E2724="","",IFERROR(VLOOKUP(E2724,Listas!$A$2:$C$1048576,3,FALSE),""))</f>
        <v/>
      </c>
    </row>
    <row r="2725" spans="10:12" x14ac:dyDescent="0.25">
      <c r="J2725" t="str">
        <f>IF(H2725="","",IFERROR(VLOOKUP(H2725,Listas!$J$2:$K$1048576,2,FALSE),""))</f>
        <v/>
      </c>
      <c r="K2725" s="5" t="str">
        <f>IF(OR(I2725="",G2725=""),"",IF(G2725="Saída",-I2725,I2725))</f>
        <v/>
      </c>
      <c r="L2725" t="str">
        <f>IF(E2725="","",IFERROR(VLOOKUP(E2725,Listas!$A$2:$C$1048576,3,FALSE),""))</f>
        <v/>
      </c>
    </row>
    <row r="2726" spans="10:12" x14ac:dyDescent="0.25">
      <c r="J2726" t="str">
        <f>IF(H2726="","",IFERROR(VLOOKUP(H2726,Listas!$J$2:$K$1048576,2,FALSE),""))</f>
        <v/>
      </c>
      <c r="K2726" s="5" t="str">
        <f>IF(OR(I2726="",G2726=""),"",IF(G2726="Saída",-I2726,I2726))</f>
        <v/>
      </c>
      <c r="L2726" t="str">
        <f>IF(E2726="","",IFERROR(VLOOKUP(E2726,Listas!$A$2:$C$1048576,3,FALSE),""))</f>
        <v/>
      </c>
    </row>
    <row r="2727" spans="10:12" x14ac:dyDescent="0.25">
      <c r="J2727" t="str">
        <f>IF(H2727="","",IFERROR(VLOOKUP(H2727,Listas!$J$2:$K$1048576,2,FALSE),""))</f>
        <v/>
      </c>
      <c r="K2727" s="5" t="str">
        <f>IF(OR(I2727="",G2727=""),"",IF(G2727="Saída",-I2727,I2727))</f>
        <v/>
      </c>
      <c r="L2727" t="str">
        <f>IF(E2727="","",IFERROR(VLOOKUP(E2727,Listas!$A$2:$C$1048576,3,FALSE),""))</f>
        <v/>
      </c>
    </row>
    <row r="2728" spans="10:12" x14ac:dyDescent="0.25">
      <c r="J2728" t="str">
        <f>IF(H2728="","",IFERROR(VLOOKUP(H2728,Listas!$J$2:$K$1048576,2,FALSE),""))</f>
        <v/>
      </c>
      <c r="K2728" s="5" t="str">
        <f>IF(OR(I2728="",G2728=""),"",IF(G2728="Saída",-I2728,I2728))</f>
        <v/>
      </c>
      <c r="L2728" t="str">
        <f>IF(E2728="","",IFERROR(VLOOKUP(E2728,Listas!$A$2:$C$1048576,3,FALSE),""))</f>
        <v/>
      </c>
    </row>
    <row r="2729" spans="10:12" x14ac:dyDescent="0.25">
      <c r="J2729" t="str">
        <f>IF(H2729="","",IFERROR(VLOOKUP(H2729,Listas!$J$2:$K$1048576,2,FALSE),""))</f>
        <v/>
      </c>
      <c r="K2729" s="5" t="str">
        <f>IF(OR(I2729="",G2729=""),"",IF(G2729="Saída",-I2729,I2729))</f>
        <v/>
      </c>
      <c r="L2729" t="str">
        <f>IF(E2729="","",IFERROR(VLOOKUP(E2729,Listas!$A$2:$C$1048576,3,FALSE),""))</f>
        <v/>
      </c>
    </row>
    <row r="2730" spans="10:12" x14ac:dyDescent="0.25">
      <c r="J2730" t="str">
        <f>IF(H2730="","",IFERROR(VLOOKUP(H2730,Listas!$J$2:$K$1048576,2,FALSE),""))</f>
        <v/>
      </c>
      <c r="K2730" s="5" t="str">
        <f>IF(OR(I2730="",G2730=""),"",IF(G2730="Saída",-I2730,I2730))</f>
        <v/>
      </c>
      <c r="L2730" t="str">
        <f>IF(E2730="","",IFERROR(VLOOKUP(E2730,Listas!$A$2:$C$1048576,3,FALSE),""))</f>
        <v/>
      </c>
    </row>
    <row r="2731" spans="10:12" x14ac:dyDescent="0.25">
      <c r="J2731" t="str">
        <f>IF(H2731="","",IFERROR(VLOOKUP(H2731,Listas!$J$2:$K$1048576,2,FALSE),""))</f>
        <v/>
      </c>
      <c r="K2731" s="5" t="str">
        <f>IF(OR(I2731="",G2731=""),"",IF(G2731="Saída",-I2731,I2731))</f>
        <v/>
      </c>
      <c r="L2731" t="str">
        <f>IF(E2731="","",IFERROR(VLOOKUP(E2731,Listas!$A$2:$C$1048576,3,FALSE),""))</f>
        <v/>
      </c>
    </row>
    <row r="2732" spans="10:12" x14ac:dyDescent="0.25">
      <c r="J2732" t="str">
        <f>IF(H2732="","",IFERROR(VLOOKUP(H2732,Listas!$J$2:$K$1048576,2,FALSE),""))</f>
        <v/>
      </c>
      <c r="K2732" s="5" t="str">
        <f>IF(OR(I2732="",G2732=""),"",IF(G2732="Saída",-I2732,I2732))</f>
        <v/>
      </c>
      <c r="L2732" t="str">
        <f>IF(E2732="","",IFERROR(VLOOKUP(E2732,Listas!$A$2:$C$1048576,3,FALSE),""))</f>
        <v/>
      </c>
    </row>
    <row r="2733" spans="10:12" x14ac:dyDescent="0.25">
      <c r="J2733" t="str">
        <f>IF(H2733="","",IFERROR(VLOOKUP(H2733,Listas!$J$2:$K$1048576,2,FALSE),""))</f>
        <v/>
      </c>
      <c r="K2733" s="5" t="str">
        <f>IF(OR(I2733="",G2733=""),"",IF(G2733="Saída",-I2733,I2733))</f>
        <v/>
      </c>
      <c r="L2733" t="str">
        <f>IF(E2733="","",IFERROR(VLOOKUP(E2733,Listas!$A$2:$C$1048576,3,FALSE),""))</f>
        <v/>
      </c>
    </row>
    <row r="2734" spans="10:12" x14ac:dyDescent="0.25">
      <c r="J2734" t="str">
        <f>IF(H2734="","",IFERROR(VLOOKUP(H2734,Listas!$J$2:$K$1048576,2,FALSE),""))</f>
        <v/>
      </c>
      <c r="K2734" s="5" t="str">
        <f>IF(OR(I2734="",G2734=""),"",IF(G2734="Saída",-I2734,I2734))</f>
        <v/>
      </c>
      <c r="L2734" t="str">
        <f>IF(E2734="","",IFERROR(VLOOKUP(E2734,Listas!$A$2:$C$1048576,3,FALSE),""))</f>
        <v/>
      </c>
    </row>
    <row r="2735" spans="10:12" x14ac:dyDescent="0.25">
      <c r="J2735" t="str">
        <f>IF(H2735="","",IFERROR(VLOOKUP(H2735,Listas!$J$2:$K$1048576,2,FALSE),""))</f>
        <v/>
      </c>
      <c r="K2735" s="5" t="str">
        <f>IF(OR(I2735="",G2735=""),"",IF(G2735="Saída",-I2735,I2735))</f>
        <v/>
      </c>
      <c r="L2735" t="str">
        <f>IF(E2735="","",IFERROR(VLOOKUP(E2735,Listas!$A$2:$C$1048576,3,FALSE),""))</f>
        <v/>
      </c>
    </row>
    <row r="2736" spans="10:12" x14ac:dyDescent="0.25">
      <c r="J2736" t="str">
        <f>IF(H2736="","",IFERROR(VLOOKUP(H2736,Listas!$J$2:$K$1048576,2,FALSE),""))</f>
        <v/>
      </c>
      <c r="K2736" s="5" t="str">
        <f>IF(OR(I2736="",G2736=""),"",IF(G2736="Saída",-I2736,I2736))</f>
        <v/>
      </c>
      <c r="L2736" t="str">
        <f>IF(E2736="","",IFERROR(VLOOKUP(E2736,Listas!$A$2:$C$1048576,3,FALSE),""))</f>
        <v/>
      </c>
    </row>
    <row r="2737" spans="10:12" x14ac:dyDescent="0.25">
      <c r="J2737" t="str">
        <f>IF(H2737="","",IFERROR(VLOOKUP(H2737,Listas!$J$2:$K$1048576,2,FALSE),""))</f>
        <v/>
      </c>
      <c r="K2737" s="5" t="str">
        <f>IF(OR(I2737="",G2737=""),"",IF(G2737="Saída",-I2737,I2737))</f>
        <v/>
      </c>
      <c r="L2737" t="str">
        <f>IF(E2737="","",IFERROR(VLOOKUP(E2737,Listas!$A$2:$C$1048576,3,FALSE),""))</f>
        <v/>
      </c>
    </row>
    <row r="2738" spans="10:12" x14ac:dyDescent="0.25">
      <c r="J2738" t="str">
        <f>IF(H2738="","",IFERROR(VLOOKUP(H2738,Listas!$J$2:$K$1048576,2,FALSE),""))</f>
        <v/>
      </c>
      <c r="K2738" s="5" t="str">
        <f>IF(OR(I2738="",G2738=""),"",IF(G2738="Saída",-I2738,I2738))</f>
        <v/>
      </c>
      <c r="L2738" t="str">
        <f>IF(E2738="","",IFERROR(VLOOKUP(E2738,Listas!$A$2:$C$1048576,3,FALSE),""))</f>
        <v/>
      </c>
    </row>
    <row r="2739" spans="10:12" x14ac:dyDescent="0.25">
      <c r="J2739" t="str">
        <f>IF(H2739="","",IFERROR(VLOOKUP(H2739,Listas!$J$2:$K$1048576,2,FALSE),""))</f>
        <v/>
      </c>
      <c r="K2739" s="5" t="str">
        <f>IF(OR(I2739="",G2739=""),"",IF(G2739="Saída",-I2739,I2739))</f>
        <v/>
      </c>
      <c r="L2739" t="str">
        <f>IF(E2739="","",IFERROR(VLOOKUP(E2739,Listas!$A$2:$C$1048576,3,FALSE),""))</f>
        <v/>
      </c>
    </row>
    <row r="2740" spans="10:12" x14ac:dyDescent="0.25">
      <c r="J2740" t="str">
        <f>IF(H2740="","",IFERROR(VLOOKUP(H2740,Listas!$J$2:$K$1048576,2,FALSE),""))</f>
        <v/>
      </c>
      <c r="K2740" s="5" t="str">
        <f>IF(OR(I2740="",G2740=""),"",IF(G2740="Saída",-I2740,I2740))</f>
        <v/>
      </c>
      <c r="L2740" t="str">
        <f>IF(E2740="","",IFERROR(VLOOKUP(E2740,Listas!$A$2:$C$1048576,3,FALSE),""))</f>
        <v/>
      </c>
    </row>
    <row r="2741" spans="10:12" x14ac:dyDescent="0.25">
      <c r="J2741" t="str">
        <f>IF(H2741="","",IFERROR(VLOOKUP(H2741,Listas!$J$2:$K$1048576,2,FALSE),""))</f>
        <v/>
      </c>
      <c r="K2741" s="5" t="str">
        <f>IF(OR(I2741="",G2741=""),"",IF(G2741="Saída",-I2741,I2741))</f>
        <v/>
      </c>
      <c r="L2741" t="str">
        <f>IF(E2741="","",IFERROR(VLOOKUP(E2741,Listas!$A$2:$C$1048576,3,FALSE),""))</f>
        <v/>
      </c>
    </row>
    <row r="2742" spans="10:12" x14ac:dyDescent="0.25">
      <c r="J2742" t="str">
        <f>IF(H2742="","",IFERROR(VLOOKUP(H2742,Listas!$J$2:$K$1048576,2,FALSE),""))</f>
        <v/>
      </c>
      <c r="K2742" s="5" t="str">
        <f>IF(OR(I2742="",G2742=""),"",IF(G2742="Saída",-I2742,I2742))</f>
        <v/>
      </c>
      <c r="L2742" t="str">
        <f>IF(E2742="","",IFERROR(VLOOKUP(E2742,Listas!$A$2:$C$1048576,3,FALSE),""))</f>
        <v/>
      </c>
    </row>
    <row r="2743" spans="10:12" x14ac:dyDescent="0.25">
      <c r="J2743" t="str">
        <f>IF(H2743="","",IFERROR(VLOOKUP(H2743,Listas!$J$2:$K$1048576,2,FALSE),""))</f>
        <v/>
      </c>
      <c r="K2743" s="5" t="str">
        <f>IF(OR(I2743="",G2743=""),"",IF(G2743="Saída",-I2743,I2743))</f>
        <v/>
      </c>
      <c r="L2743" t="str">
        <f>IF(E2743="","",IFERROR(VLOOKUP(E2743,Listas!$A$2:$C$1048576,3,FALSE),""))</f>
        <v/>
      </c>
    </row>
    <row r="2744" spans="10:12" x14ac:dyDescent="0.25">
      <c r="J2744" t="str">
        <f>IF(H2744="","",IFERROR(VLOOKUP(H2744,Listas!$J$2:$K$1048576,2,FALSE),""))</f>
        <v/>
      </c>
      <c r="K2744" s="5" t="str">
        <f>IF(OR(I2744="",G2744=""),"",IF(G2744="Saída",-I2744,I2744))</f>
        <v/>
      </c>
      <c r="L2744" t="str">
        <f>IF(E2744="","",IFERROR(VLOOKUP(E2744,Listas!$A$2:$C$1048576,3,FALSE),""))</f>
        <v/>
      </c>
    </row>
    <row r="2745" spans="10:12" x14ac:dyDescent="0.25">
      <c r="J2745" t="str">
        <f>IF(H2745="","",IFERROR(VLOOKUP(H2745,Listas!$J$2:$K$1048576,2,FALSE),""))</f>
        <v/>
      </c>
      <c r="K2745" s="5" t="str">
        <f>IF(OR(I2745="",G2745=""),"",IF(G2745="Saída",-I2745,I2745))</f>
        <v/>
      </c>
      <c r="L2745" t="str">
        <f>IF(E2745="","",IFERROR(VLOOKUP(E2745,Listas!$A$2:$C$1048576,3,FALSE),""))</f>
        <v/>
      </c>
    </row>
    <row r="2746" spans="10:12" x14ac:dyDescent="0.25">
      <c r="J2746" t="str">
        <f>IF(H2746="","",IFERROR(VLOOKUP(H2746,Listas!$J$2:$K$1048576,2,FALSE),""))</f>
        <v/>
      </c>
      <c r="K2746" s="5" t="str">
        <f>IF(OR(I2746="",G2746=""),"",IF(G2746="Saída",-I2746,I2746))</f>
        <v/>
      </c>
      <c r="L2746" t="str">
        <f>IF(E2746="","",IFERROR(VLOOKUP(E2746,Listas!$A$2:$C$1048576,3,FALSE),""))</f>
        <v/>
      </c>
    </row>
    <row r="2747" spans="10:12" x14ac:dyDescent="0.25">
      <c r="J2747" t="str">
        <f>IF(H2747="","",IFERROR(VLOOKUP(H2747,Listas!$J$2:$K$1048576,2,FALSE),""))</f>
        <v/>
      </c>
      <c r="K2747" s="5" t="str">
        <f>IF(OR(I2747="",G2747=""),"",IF(G2747="Saída",-I2747,I2747))</f>
        <v/>
      </c>
      <c r="L2747" t="str">
        <f>IF(E2747="","",IFERROR(VLOOKUP(E2747,Listas!$A$2:$C$1048576,3,FALSE),""))</f>
        <v/>
      </c>
    </row>
    <row r="2748" spans="10:12" x14ac:dyDescent="0.25">
      <c r="J2748" t="str">
        <f>IF(H2748="","",IFERROR(VLOOKUP(H2748,Listas!$J$2:$K$1048576,2,FALSE),""))</f>
        <v/>
      </c>
      <c r="K2748" s="5" t="str">
        <f>IF(OR(I2748="",G2748=""),"",IF(G2748="Saída",-I2748,I2748))</f>
        <v/>
      </c>
      <c r="L2748" t="str">
        <f>IF(E2748="","",IFERROR(VLOOKUP(E2748,Listas!$A$2:$C$1048576,3,FALSE),""))</f>
        <v/>
      </c>
    </row>
    <row r="2749" spans="10:12" x14ac:dyDescent="0.25">
      <c r="J2749" t="str">
        <f>IF(H2749="","",IFERROR(VLOOKUP(H2749,Listas!$J$2:$K$1048576,2,FALSE),""))</f>
        <v/>
      </c>
      <c r="K2749" s="5" t="str">
        <f>IF(OR(I2749="",G2749=""),"",IF(G2749="Saída",-I2749,I2749))</f>
        <v/>
      </c>
      <c r="L2749" t="str">
        <f>IF(E2749="","",IFERROR(VLOOKUP(E2749,Listas!$A$2:$C$1048576,3,FALSE),""))</f>
        <v/>
      </c>
    </row>
    <row r="2750" spans="10:12" x14ac:dyDescent="0.25">
      <c r="J2750" t="str">
        <f>IF(H2750="","",IFERROR(VLOOKUP(H2750,Listas!$J$2:$K$1048576,2,FALSE),""))</f>
        <v/>
      </c>
      <c r="K2750" s="5" t="str">
        <f>IF(OR(I2750="",G2750=""),"",IF(G2750="Saída",-I2750,I2750))</f>
        <v/>
      </c>
      <c r="L2750" t="str">
        <f>IF(E2750="","",IFERROR(VLOOKUP(E2750,Listas!$A$2:$C$1048576,3,FALSE),""))</f>
        <v/>
      </c>
    </row>
    <row r="2751" spans="10:12" x14ac:dyDescent="0.25">
      <c r="J2751" t="str">
        <f>IF(H2751="","",IFERROR(VLOOKUP(H2751,Listas!$J$2:$K$1048576,2,FALSE),""))</f>
        <v/>
      </c>
      <c r="K2751" s="5" t="str">
        <f>IF(OR(I2751="",G2751=""),"",IF(G2751="Saída",-I2751,I2751))</f>
        <v/>
      </c>
      <c r="L2751" t="str">
        <f>IF(E2751="","",IFERROR(VLOOKUP(E2751,Listas!$A$2:$C$1048576,3,FALSE),""))</f>
        <v/>
      </c>
    </row>
    <row r="2752" spans="10:12" x14ac:dyDescent="0.25">
      <c r="J2752" t="str">
        <f>IF(H2752="","",IFERROR(VLOOKUP(H2752,Listas!$J$2:$K$1048576,2,FALSE),""))</f>
        <v/>
      </c>
      <c r="K2752" s="5" t="str">
        <f>IF(OR(I2752="",G2752=""),"",IF(G2752="Saída",-I2752,I2752))</f>
        <v/>
      </c>
      <c r="L2752" t="str">
        <f>IF(E2752="","",IFERROR(VLOOKUP(E2752,Listas!$A$2:$C$1048576,3,FALSE),""))</f>
        <v/>
      </c>
    </row>
    <row r="2753" spans="10:12" x14ac:dyDescent="0.25">
      <c r="J2753" t="str">
        <f>IF(H2753="","",IFERROR(VLOOKUP(H2753,Listas!$J$2:$K$1048576,2,FALSE),""))</f>
        <v/>
      </c>
      <c r="K2753" s="5" t="str">
        <f>IF(OR(I2753="",G2753=""),"",IF(G2753="Saída",-I2753,I2753))</f>
        <v/>
      </c>
      <c r="L2753" t="str">
        <f>IF(E2753="","",IFERROR(VLOOKUP(E2753,Listas!$A$2:$C$1048576,3,FALSE),""))</f>
        <v/>
      </c>
    </row>
    <row r="2754" spans="10:12" x14ac:dyDescent="0.25">
      <c r="J2754" t="str">
        <f>IF(H2754="","",IFERROR(VLOOKUP(H2754,Listas!$J$2:$K$1048576,2,FALSE),""))</f>
        <v/>
      </c>
      <c r="K2754" s="5" t="str">
        <f>IF(OR(I2754="",G2754=""),"",IF(G2754="Saída",-I2754,I2754))</f>
        <v/>
      </c>
      <c r="L2754" t="str">
        <f>IF(E2754="","",IFERROR(VLOOKUP(E2754,Listas!$A$2:$C$1048576,3,FALSE),""))</f>
        <v/>
      </c>
    </row>
    <row r="2755" spans="10:12" x14ac:dyDescent="0.25">
      <c r="J2755" t="str">
        <f>IF(H2755="","",IFERROR(VLOOKUP(H2755,Listas!$J$2:$K$1048576,2,FALSE),""))</f>
        <v/>
      </c>
      <c r="K2755" s="5" t="str">
        <f>IF(OR(I2755="",G2755=""),"",IF(G2755="Saída",-I2755,I2755))</f>
        <v/>
      </c>
      <c r="L2755" t="str">
        <f>IF(E2755="","",IFERROR(VLOOKUP(E2755,Listas!$A$2:$C$1048576,3,FALSE),""))</f>
        <v/>
      </c>
    </row>
    <row r="2756" spans="10:12" x14ac:dyDescent="0.25">
      <c r="J2756" t="str">
        <f>IF(H2756="","",IFERROR(VLOOKUP(H2756,Listas!$J$2:$K$1048576,2,FALSE),""))</f>
        <v/>
      </c>
      <c r="K2756" s="5" t="str">
        <f>IF(OR(I2756="",G2756=""),"",IF(G2756="Saída",-I2756,I2756))</f>
        <v/>
      </c>
      <c r="L2756" t="str">
        <f>IF(E2756="","",IFERROR(VLOOKUP(E2756,Listas!$A$2:$C$1048576,3,FALSE),""))</f>
        <v/>
      </c>
    </row>
    <row r="2757" spans="10:12" x14ac:dyDescent="0.25">
      <c r="J2757" t="str">
        <f>IF(H2757="","",IFERROR(VLOOKUP(H2757,Listas!$J$2:$K$1048576,2,FALSE),""))</f>
        <v/>
      </c>
      <c r="K2757" s="5" t="str">
        <f>IF(OR(I2757="",G2757=""),"",IF(G2757="Saída",-I2757,I2757))</f>
        <v/>
      </c>
      <c r="L2757" t="str">
        <f>IF(E2757="","",IFERROR(VLOOKUP(E2757,Listas!$A$2:$C$1048576,3,FALSE),""))</f>
        <v/>
      </c>
    </row>
    <row r="2758" spans="10:12" x14ac:dyDescent="0.25">
      <c r="J2758" t="str">
        <f>IF(H2758="","",IFERROR(VLOOKUP(H2758,Listas!$J$2:$K$1048576,2,FALSE),""))</f>
        <v/>
      </c>
      <c r="K2758" s="5" t="str">
        <f>IF(OR(I2758="",G2758=""),"",IF(G2758="Saída",-I2758,I2758))</f>
        <v/>
      </c>
      <c r="L2758" t="str">
        <f>IF(E2758="","",IFERROR(VLOOKUP(E2758,Listas!$A$2:$C$1048576,3,FALSE),""))</f>
        <v/>
      </c>
    </row>
    <row r="2759" spans="10:12" x14ac:dyDescent="0.25">
      <c r="J2759" t="str">
        <f>IF(H2759="","",IFERROR(VLOOKUP(H2759,Listas!$J$2:$K$1048576,2,FALSE),""))</f>
        <v/>
      </c>
      <c r="K2759" s="5" t="str">
        <f>IF(OR(I2759="",G2759=""),"",IF(G2759="Saída",-I2759,I2759))</f>
        <v/>
      </c>
      <c r="L2759" t="str">
        <f>IF(E2759="","",IFERROR(VLOOKUP(E2759,Listas!$A$2:$C$1048576,3,FALSE),""))</f>
        <v/>
      </c>
    </row>
    <row r="2760" spans="10:12" x14ac:dyDescent="0.25">
      <c r="J2760" t="str">
        <f>IF(H2760="","",IFERROR(VLOOKUP(H2760,Listas!$J$2:$K$1048576,2,FALSE),""))</f>
        <v/>
      </c>
      <c r="K2760" s="5" t="str">
        <f>IF(OR(I2760="",G2760=""),"",IF(G2760="Saída",-I2760,I2760))</f>
        <v/>
      </c>
      <c r="L2760" t="str">
        <f>IF(E2760="","",IFERROR(VLOOKUP(E2760,Listas!$A$2:$C$1048576,3,FALSE),""))</f>
        <v/>
      </c>
    </row>
    <row r="2761" spans="10:12" x14ac:dyDescent="0.25">
      <c r="J2761" t="str">
        <f>IF(H2761="","",IFERROR(VLOOKUP(H2761,Listas!$J$2:$K$1048576,2,FALSE),""))</f>
        <v/>
      </c>
      <c r="K2761" s="5" t="str">
        <f>IF(OR(I2761="",G2761=""),"",IF(G2761="Saída",-I2761,I2761))</f>
        <v/>
      </c>
      <c r="L2761" t="str">
        <f>IF(E2761="","",IFERROR(VLOOKUP(E2761,Listas!$A$2:$C$1048576,3,FALSE),""))</f>
        <v/>
      </c>
    </row>
    <row r="2762" spans="10:12" x14ac:dyDescent="0.25">
      <c r="J2762" t="str">
        <f>IF(H2762="","",IFERROR(VLOOKUP(H2762,Listas!$J$2:$K$1048576,2,FALSE),""))</f>
        <v/>
      </c>
      <c r="K2762" s="5" t="str">
        <f>IF(OR(I2762="",G2762=""),"",IF(G2762="Saída",-I2762,I2762))</f>
        <v/>
      </c>
      <c r="L2762" t="str">
        <f>IF(E2762="","",IFERROR(VLOOKUP(E2762,Listas!$A$2:$C$1048576,3,FALSE),""))</f>
        <v/>
      </c>
    </row>
    <row r="2763" spans="10:12" x14ac:dyDescent="0.25">
      <c r="J2763" t="str">
        <f>IF(H2763="","",IFERROR(VLOOKUP(H2763,Listas!$J$2:$K$1048576,2,FALSE),""))</f>
        <v/>
      </c>
      <c r="K2763" s="5" t="str">
        <f>IF(OR(I2763="",G2763=""),"",IF(G2763="Saída",-I2763,I2763))</f>
        <v/>
      </c>
      <c r="L2763" t="str">
        <f>IF(E2763="","",IFERROR(VLOOKUP(E2763,Listas!$A$2:$C$1048576,3,FALSE),""))</f>
        <v/>
      </c>
    </row>
    <row r="2764" spans="10:12" x14ac:dyDescent="0.25">
      <c r="J2764" t="str">
        <f>IF(H2764="","",IFERROR(VLOOKUP(H2764,Listas!$J$2:$K$1048576,2,FALSE),""))</f>
        <v/>
      </c>
      <c r="K2764" s="5" t="str">
        <f>IF(OR(I2764="",G2764=""),"",IF(G2764="Saída",-I2764,I2764))</f>
        <v/>
      </c>
      <c r="L2764" t="str">
        <f>IF(E2764="","",IFERROR(VLOOKUP(E2764,Listas!$A$2:$C$1048576,3,FALSE),""))</f>
        <v/>
      </c>
    </row>
    <row r="2765" spans="10:12" x14ac:dyDescent="0.25">
      <c r="J2765" t="str">
        <f>IF(H2765="","",IFERROR(VLOOKUP(H2765,Listas!$J$2:$K$1048576,2,FALSE),""))</f>
        <v/>
      </c>
      <c r="K2765" s="5" t="str">
        <f>IF(OR(I2765="",G2765=""),"",IF(G2765="Saída",-I2765,I2765))</f>
        <v/>
      </c>
      <c r="L2765" t="str">
        <f>IF(E2765="","",IFERROR(VLOOKUP(E2765,Listas!$A$2:$C$1048576,3,FALSE),""))</f>
        <v/>
      </c>
    </row>
    <row r="2766" spans="10:12" x14ac:dyDescent="0.25">
      <c r="J2766" t="str">
        <f>IF(H2766="","",IFERROR(VLOOKUP(H2766,Listas!$J$2:$K$1048576,2,FALSE),""))</f>
        <v/>
      </c>
      <c r="K2766" s="5" t="str">
        <f>IF(OR(I2766="",G2766=""),"",IF(G2766="Saída",-I2766,I2766))</f>
        <v/>
      </c>
      <c r="L2766" t="str">
        <f>IF(E2766="","",IFERROR(VLOOKUP(E2766,Listas!$A$2:$C$1048576,3,FALSE),""))</f>
        <v/>
      </c>
    </row>
    <row r="2767" spans="10:12" x14ac:dyDescent="0.25">
      <c r="J2767" t="str">
        <f>IF(H2767="","",IFERROR(VLOOKUP(H2767,Listas!$J$2:$K$1048576,2,FALSE),""))</f>
        <v/>
      </c>
      <c r="K2767" s="5" t="str">
        <f>IF(OR(I2767="",G2767=""),"",IF(G2767="Saída",-I2767,I2767))</f>
        <v/>
      </c>
      <c r="L2767" t="str">
        <f>IF(E2767="","",IFERROR(VLOOKUP(E2767,Listas!$A$2:$C$1048576,3,FALSE),""))</f>
        <v/>
      </c>
    </row>
    <row r="2768" spans="10:12" x14ac:dyDescent="0.25">
      <c r="J2768" t="str">
        <f>IF(H2768="","",IFERROR(VLOOKUP(H2768,Listas!$J$2:$K$1048576,2,FALSE),""))</f>
        <v/>
      </c>
      <c r="K2768" s="5" t="str">
        <f>IF(OR(I2768="",G2768=""),"",IF(G2768="Saída",-I2768,I2768))</f>
        <v/>
      </c>
      <c r="L2768" t="str">
        <f>IF(E2768="","",IFERROR(VLOOKUP(E2768,Listas!$A$2:$C$1048576,3,FALSE),""))</f>
        <v/>
      </c>
    </row>
    <row r="2769" spans="10:12" x14ac:dyDescent="0.25">
      <c r="J2769" t="str">
        <f>IF(H2769="","",IFERROR(VLOOKUP(H2769,Listas!$J$2:$K$1048576,2,FALSE),""))</f>
        <v/>
      </c>
      <c r="K2769" s="5" t="str">
        <f>IF(OR(I2769="",G2769=""),"",IF(G2769="Saída",-I2769,I2769))</f>
        <v/>
      </c>
      <c r="L2769" t="str">
        <f>IF(E2769="","",IFERROR(VLOOKUP(E2769,Listas!$A$2:$C$1048576,3,FALSE),""))</f>
        <v/>
      </c>
    </row>
    <row r="2770" spans="10:12" x14ac:dyDescent="0.25">
      <c r="J2770" t="str">
        <f>IF(H2770="","",IFERROR(VLOOKUP(H2770,Listas!$J$2:$K$1048576,2,FALSE),""))</f>
        <v/>
      </c>
      <c r="K2770" s="5" t="str">
        <f>IF(OR(I2770="",G2770=""),"",IF(G2770="Saída",-I2770,I2770))</f>
        <v/>
      </c>
      <c r="L2770" t="str">
        <f>IF(E2770="","",IFERROR(VLOOKUP(E2770,Listas!$A$2:$C$1048576,3,FALSE),""))</f>
        <v/>
      </c>
    </row>
    <row r="2771" spans="10:12" x14ac:dyDescent="0.25">
      <c r="J2771" t="str">
        <f>IF(H2771="","",IFERROR(VLOOKUP(H2771,Listas!$J$2:$K$1048576,2,FALSE),""))</f>
        <v/>
      </c>
      <c r="K2771" s="5" t="str">
        <f>IF(OR(I2771="",G2771=""),"",IF(G2771="Saída",-I2771,I2771))</f>
        <v/>
      </c>
      <c r="L2771" t="str">
        <f>IF(E2771="","",IFERROR(VLOOKUP(E2771,Listas!$A$2:$C$1048576,3,FALSE),""))</f>
        <v/>
      </c>
    </row>
    <row r="2772" spans="10:12" x14ac:dyDescent="0.25">
      <c r="J2772" t="str">
        <f>IF(H2772="","",IFERROR(VLOOKUP(H2772,Listas!$J$2:$K$1048576,2,FALSE),""))</f>
        <v/>
      </c>
      <c r="K2772" s="5" t="str">
        <f>IF(OR(I2772="",G2772=""),"",IF(G2772="Saída",-I2772,I2772))</f>
        <v/>
      </c>
      <c r="L2772" t="str">
        <f>IF(E2772="","",IFERROR(VLOOKUP(E2772,Listas!$A$2:$C$1048576,3,FALSE),""))</f>
        <v/>
      </c>
    </row>
    <row r="2773" spans="10:12" x14ac:dyDescent="0.25">
      <c r="J2773" t="str">
        <f>IF(H2773="","",IFERROR(VLOOKUP(H2773,Listas!$J$2:$K$1048576,2,FALSE),""))</f>
        <v/>
      </c>
      <c r="K2773" s="5" t="str">
        <f>IF(OR(I2773="",G2773=""),"",IF(G2773="Saída",-I2773,I2773))</f>
        <v/>
      </c>
      <c r="L2773" t="str">
        <f>IF(E2773="","",IFERROR(VLOOKUP(E2773,Listas!$A$2:$C$1048576,3,FALSE),""))</f>
        <v/>
      </c>
    </row>
    <row r="2774" spans="10:12" x14ac:dyDescent="0.25">
      <c r="J2774" t="str">
        <f>IF(H2774="","",IFERROR(VLOOKUP(H2774,Listas!$J$2:$K$1048576,2,FALSE),""))</f>
        <v/>
      </c>
      <c r="K2774" s="5" t="str">
        <f>IF(OR(I2774="",G2774=""),"",IF(G2774="Saída",-I2774,I2774))</f>
        <v/>
      </c>
      <c r="L2774" t="str">
        <f>IF(E2774="","",IFERROR(VLOOKUP(E2774,Listas!$A$2:$C$1048576,3,FALSE),""))</f>
        <v/>
      </c>
    </row>
    <row r="2775" spans="10:12" x14ac:dyDescent="0.25">
      <c r="J2775" t="str">
        <f>IF(H2775="","",IFERROR(VLOOKUP(H2775,Listas!$J$2:$K$1048576,2,FALSE),""))</f>
        <v/>
      </c>
      <c r="K2775" s="5" t="str">
        <f>IF(OR(I2775="",G2775=""),"",IF(G2775="Saída",-I2775,I2775))</f>
        <v/>
      </c>
      <c r="L2775" t="str">
        <f>IF(E2775="","",IFERROR(VLOOKUP(E2775,Listas!$A$2:$C$1048576,3,FALSE),""))</f>
        <v/>
      </c>
    </row>
    <row r="2776" spans="10:12" x14ac:dyDescent="0.25">
      <c r="J2776" t="str">
        <f>IF(H2776="","",IFERROR(VLOOKUP(H2776,Listas!$J$2:$K$1048576,2,FALSE),""))</f>
        <v/>
      </c>
      <c r="K2776" s="5" t="str">
        <f>IF(OR(I2776="",G2776=""),"",IF(G2776="Saída",-I2776,I2776))</f>
        <v/>
      </c>
      <c r="L2776" t="str">
        <f>IF(E2776="","",IFERROR(VLOOKUP(E2776,Listas!$A$2:$C$1048576,3,FALSE),""))</f>
        <v/>
      </c>
    </row>
    <row r="2777" spans="10:12" x14ac:dyDescent="0.25">
      <c r="J2777" t="str">
        <f>IF(H2777="","",IFERROR(VLOOKUP(H2777,Listas!$J$2:$K$1048576,2,FALSE),""))</f>
        <v/>
      </c>
      <c r="K2777" s="5" t="str">
        <f>IF(OR(I2777="",G2777=""),"",IF(G2777="Saída",-I2777,I2777))</f>
        <v/>
      </c>
      <c r="L2777" t="str">
        <f>IF(E2777="","",IFERROR(VLOOKUP(E2777,Listas!$A$2:$C$1048576,3,FALSE),""))</f>
        <v/>
      </c>
    </row>
    <row r="2778" spans="10:12" x14ac:dyDescent="0.25">
      <c r="J2778" t="str">
        <f>IF(H2778="","",IFERROR(VLOOKUP(H2778,Listas!$J$2:$K$1048576,2,FALSE),""))</f>
        <v/>
      </c>
      <c r="K2778" s="5" t="str">
        <f>IF(OR(I2778="",G2778=""),"",IF(G2778="Saída",-I2778,I2778))</f>
        <v/>
      </c>
      <c r="L2778" t="str">
        <f>IF(E2778="","",IFERROR(VLOOKUP(E2778,Listas!$A$2:$C$1048576,3,FALSE),""))</f>
        <v/>
      </c>
    </row>
    <row r="2779" spans="10:12" x14ac:dyDescent="0.25">
      <c r="J2779" t="str">
        <f>IF(H2779="","",IFERROR(VLOOKUP(H2779,Listas!$J$2:$K$1048576,2,FALSE),""))</f>
        <v/>
      </c>
      <c r="K2779" s="5" t="str">
        <f>IF(OR(I2779="",G2779=""),"",IF(G2779="Saída",-I2779,I2779))</f>
        <v/>
      </c>
      <c r="L2779" t="str">
        <f>IF(E2779="","",IFERROR(VLOOKUP(E2779,Listas!$A$2:$C$1048576,3,FALSE),""))</f>
        <v/>
      </c>
    </row>
    <row r="2780" spans="10:12" x14ac:dyDescent="0.25">
      <c r="J2780" t="str">
        <f>IF(H2780="","",IFERROR(VLOOKUP(H2780,Listas!$J$2:$K$1048576,2,FALSE),""))</f>
        <v/>
      </c>
      <c r="K2780" s="5" t="str">
        <f>IF(OR(I2780="",G2780=""),"",IF(G2780="Saída",-I2780,I2780))</f>
        <v/>
      </c>
      <c r="L2780" t="str">
        <f>IF(E2780="","",IFERROR(VLOOKUP(E2780,Listas!$A$2:$C$1048576,3,FALSE),""))</f>
        <v/>
      </c>
    </row>
    <row r="2781" spans="10:12" x14ac:dyDescent="0.25">
      <c r="J2781" t="str">
        <f>IF(H2781="","",IFERROR(VLOOKUP(H2781,Listas!$J$2:$K$1048576,2,FALSE),""))</f>
        <v/>
      </c>
      <c r="K2781" s="5" t="str">
        <f>IF(OR(I2781="",G2781=""),"",IF(G2781="Saída",-I2781,I2781))</f>
        <v/>
      </c>
      <c r="L2781" t="str">
        <f>IF(E2781="","",IFERROR(VLOOKUP(E2781,Listas!$A$2:$C$1048576,3,FALSE),""))</f>
        <v/>
      </c>
    </row>
    <row r="2782" spans="10:12" x14ac:dyDescent="0.25">
      <c r="J2782" t="str">
        <f>IF(H2782="","",IFERROR(VLOOKUP(H2782,Listas!$J$2:$K$1048576,2,FALSE),""))</f>
        <v/>
      </c>
      <c r="K2782" s="5" t="str">
        <f>IF(OR(I2782="",G2782=""),"",IF(G2782="Saída",-I2782,I2782))</f>
        <v/>
      </c>
      <c r="L2782" t="str">
        <f>IF(E2782="","",IFERROR(VLOOKUP(E2782,Listas!$A$2:$C$1048576,3,FALSE),""))</f>
        <v/>
      </c>
    </row>
    <row r="2783" spans="10:12" x14ac:dyDescent="0.25">
      <c r="J2783" t="str">
        <f>IF(H2783="","",IFERROR(VLOOKUP(H2783,Listas!$J$2:$K$1048576,2,FALSE),""))</f>
        <v/>
      </c>
      <c r="K2783" s="5" t="str">
        <f>IF(OR(I2783="",G2783=""),"",IF(G2783="Saída",-I2783,I2783))</f>
        <v/>
      </c>
      <c r="L2783" t="str">
        <f>IF(E2783="","",IFERROR(VLOOKUP(E2783,Listas!$A$2:$C$1048576,3,FALSE),""))</f>
        <v/>
      </c>
    </row>
    <row r="2784" spans="10:12" x14ac:dyDescent="0.25">
      <c r="J2784" t="str">
        <f>IF(H2784="","",IFERROR(VLOOKUP(H2784,Listas!$J$2:$K$1048576,2,FALSE),""))</f>
        <v/>
      </c>
      <c r="K2784" s="5" t="str">
        <f>IF(OR(I2784="",G2784=""),"",IF(G2784="Saída",-I2784,I2784))</f>
        <v/>
      </c>
      <c r="L2784" t="str">
        <f>IF(E2784="","",IFERROR(VLOOKUP(E2784,Listas!$A$2:$C$1048576,3,FALSE),""))</f>
        <v/>
      </c>
    </row>
    <row r="2785" spans="10:12" x14ac:dyDescent="0.25">
      <c r="J2785" t="str">
        <f>IF(H2785="","",IFERROR(VLOOKUP(H2785,Listas!$J$2:$K$1048576,2,FALSE),""))</f>
        <v/>
      </c>
      <c r="K2785" s="5" t="str">
        <f>IF(OR(I2785="",G2785=""),"",IF(G2785="Saída",-I2785,I2785))</f>
        <v/>
      </c>
      <c r="L2785" t="str">
        <f>IF(E2785="","",IFERROR(VLOOKUP(E2785,Listas!$A$2:$C$1048576,3,FALSE),""))</f>
        <v/>
      </c>
    </row>
    <row r="2786" spans="10:12" x14ac:dyDescent="0.25">
      <c r="J2786" t="str">
        <f>IF(H2786="","",IFERROR(VLOOKUP(H2786,Listas!$J$2:$K$1048576,2,FALSE),""))</f>
        <v/>
      </c>
      <c r="K2786" s="5" t="str">
        <f>IF(OR(I2786="",G2786=""),"",IF(G2786="Saída",-I2786,I2786))</f>
        <v/>
      </c>
      <c r="L2786" t="str">
        <f>IF(E2786="","",IFERROR(VLOOKUP(E2786,Listas!$A$2:$C$1048576,3,FALSE),""))</f>
        <v/>
      </c>
    </row>
    <row r="2787" spans="10:12" x14ac:dyDescent="0.25">
      <c r="J2787" t="str">
        <f>IF(H2787="","",IFERROR(VLOOKUP(H2787,Listas!$J$2:$K$1048576,2,FALSE),""))</f>
        <v/>
      </c>
      <c r="K2787" s="5" t="str">
        <f>IF(OR(I2787="",G2787=""),"",IF(G2787="Saída",-I2787,I2787))</f>
        <v/>
      </c>
      <c r="L2787" t="str">
        <f>IF(E2787="","",IFERROR(VLOOKUP(E2787,Listas!$A$2:$C$1048576,3,FALSE),""))</f>
        <v/>
      </c>
    </row>
    <row r="2788" spans="10:12" x14ac:dyDescent="0.25">
      <c r="J2788" t="str">
        <f>IF(H2788="","",IFERROR(VLOOKUP(H2788,Listas!$J$2:$K$1048576,2,FALSE),""))</f>
        <v/>
      </c>
      <c r="K2788" s="5" t="str">
        <f>IF(OR(I2788="",G2788=""),"",IF(G2788="Saída",-I2788,I2788))</f>
        <v/>
      </c>
      <c r="L2788" t="str">
        <f>IF(E2788="","",IFERROR(VLOOKUP(E2788,Listas!$A$2:$C$1048576,3,FALSE),""))</f>
        <v/>
      </c>
    </row>
    <row r="2789" spans="10:12" x14ac:dyDescent="0.25">
      <c r="J2789" t="str">
        <f>IF(H2789="","",IFERROR(VLOOKUP(H2789,Listas!$J$2:$K$1048576,2,FALSE),""))</f>
        <v/>
      </c>
      <c r="K2789" s="5" t="str">
        <f>IF(OR(I2789="",G2789=""),"",IF(G2789="Saída",-I2789,I2789))</f>
        <v/>
      </c>
      <c r="L2789" t="str">
        <f>IF(E2789="","",IFERROR(VLOOKUP(E2789,Listas!$A$2:$C$1048576,3,FALSE),""))</f>
        <v/>
      </c>
    </row>
    <row r="2790" spans="10:12" x14ac:dyDescent="0.25">
      <c r="J2790" t="str">
        <f>IF(H2790="","",IFERROR(VLOOKUP(H2790,Listas!$J$2:$K$1048576,2,FALSE),""))</f>
        <v/>
      </c>
      <c r="K2790" s="5" t="str">
        <f>IF(OR(I2790="",G2790=""),"",IF(G2790="Saída",-I2790,I2790))</f>
        <v/>
      </c>
      <c r="L2790" t="str">
        <f>IF(E2790="","",IFERROR(VLOOKUP(E2790,Listas!$A$2:$C$1048576,3,FALSE),""))</f>
        <v/>
      </c>
    </row>
    <row r="2791" spans="10:12" x14ac:dyDescent="0.25">
      <c r="J2791" t="str">
        <f>IF(H2791="","",IFERROR(VLOOKUP(H2791,Listas!$J$2:$K$1048576,2,FALSE),""))</f>
        <v/>
      </c>
      <c r="K2791" s="5" t="str">
        <f>IF(OR(I2791="",G2791=""),"",IF(G2791="Saída",-I2791,I2791))</f>
        <v/>
      </c>
      <c r="L2791" t="str">
        <f>IF(E2791="","",IFERROR(VLOOKUP(E2791,Listas!$A$2:$C$1048576,3,FALSE),""))</f>
        <v/>
      </c>
    </row>
    <row r="2792" spans="10:12" x14ac:dyDescent="0.25">
      <c r="J2792" t="str">
        <f>IF(H2792="","",IFERROR(VLOOKUP(H2792,Listas!$J$2:$K$1048576,2,FALSE),""))</f>
        <v/>
      </c>
      <c r="K2792" s="5" t="str">
        <f>IF(OR(I2792="",G2792=""),"",IF(G2792="Saída",-I2792,I2792))</f>
        <v/>
      </c>
      <c r="L2792" t="str">
        <f>IF(E2792="","",IFERROR(VLOOKUP(E2792,Listas!$A$2:$C$1048576,3,FALSE),""))</f>
        <v/>
      </c>
    </row>
    <row r="2793" spans="10:12" x14ac:dyDescent="0.25">
      <c r="J2793" t="str">
        <f>IF(H2793="","",IFERROR(VLOOKUP(H2793,Listas!$J$2:$K$1048576,2,FALSE),""))</f>
        <v/>
      </c>
      <c r="K2793" s="5" t="str">
        <f>IF(OR(I2793="",G2793=""),"",IF(G2793="Saída",-I2793,I2793))</f>
        <v/>
      </c>
      <c r="L2793" t="str">
        <f>IF(E2793="","",IFERROR(VLOOKUP(E2793,Listas!$A$2:$C$1048576,3,FALSE),""))</f>
        <v/>
      </c>
    </row>
    <row r="2794" spans="10:12" x14ac:dyDescent="0.25">
      <c r="J2794" t="str">
        <f>IF(H2794="","",IFERROR(VLOOKUP(H2794,Listas!$J$2:$K$1048576,2,FALSE),""))</f>
        <v/>
      </c>
      <c r="K2794" s="5" t="str">
        <f>IF(OR(I2794="",G2794=""),"",IF(G2794="Saída",-I2794,I2794))</f>
        <v/>
      </c>
      <c r="L2794" t="str">
        <f>IF(E2794="","",IFERROR(VLOOKUP(E2794,Listas!$A$2:$C$1048576,3,FALSE),""))</f>
        <v/>
      </c>
    </row>
    <row r="2795" spans="10:12" x14ac:dyDescent="0.25">
      <c r="J2795" t="str">
        <f>IF(H2795="","",IFERROR(VLOOKUP(H2795,Listas!$J$2:$K$1048576,2,FALSE),""))</f>
        <v/>
      </c>
      <c r="K2795" s="5" t="str">
        <f>IF(OR(I2795="",G2795=""),"",IF(G2795="Saída",-I2795,I2795))</f>
        <v/>
      </c>
      <c r="L2795" t="str">
        <f>IF(E2795="","",IFERROR(VLOOKUP(E2795,Listas!$A$2:$C$1048576,3,FALSE),""))</f>
        <v/>
      </c>
    </row>
    <row r="2796" spans="10:12" x14ac:dyDescent="0.25">
      <c r="J2796" t="str">
        <f>IF(H2796="","",IFERROR(VLOOKUP(H2796,Listas!$J$2:$K$1048576,2,FALSE),""))</f>
        <v/>
      </c>
      <c r="K2796" s="5" t="str">
        <f>IF(OR(I2796="",G2796=""),"",IF(G2796="Saída",-I2796,I2796))</f>
        <v/>
      </c>
      <c r="L2796" t="str">
        <f>IF(E2796="","",IFERROR(VLOOKUP(E2796,Listas!$A$2:$C$1048576,3,FALSE),""))</f>
        <v/>
      </c>
    </row>
    <row r="2797" spans="10:12" x14ac:dyDescent="0.25">
      <c r="J2797" t="str">
        <f>IF(H2797="","",IFERROR(VLOOKUP(H2797,Listas!$J$2:$K$1048576,2,FALSE),""))</f>
        <v/>
      </c>
      <c r="K2797" s="5" t="str">
        <f>IF(OR(I2797="",G2797=""),"",IF(G2797="Saída",-I2797,I2797))</f>
        <v/>
      </c>
      <c r="L2797" t="str">
        <f>IF(E2797="","",IFERROR(VLOOKUP(E2797,Listas!$A$2:$C$1048576,3,FALSE),""))</f>
        <v/>
      </c>
    </row>
    <row r="2798" spans="10:12" x14ac:dyDescent="0.25">
      <c r="J2798" t="str">
        <f>IF(H2798="","",IFERROR(VLOOKUP(H2798,Listas!$J$2:$K$1048576,2,FALSE),""))</f>
        <v/>
      </c>
      <c r="K2798" s="5" t="str">
        <f>IF(OR(I2798="",G2798=""),"",IF(G2798="Saída",-I2798,I2798))</f>
        <v/>
      </c>
      <c r="L2798" t="str">
        <f>IF(E2798="","",IFERROR(VLOOKUP(E2798,Listas!$A$2:$C$1048576,3,FALSE),""))</f>
        <v/>
      </c>
    </row>
    <row r="2799" spans="10:12" x14ac:dyDescent="0.25">
      <c r="J2799" t="str">
        <f>IF(H2799="","",IFERROR(VLOOKUP(H2799,Listas!$J$2:$K$1048576,2,FALSE),""))</f>
        <v/>
      </c>
      <c r="K2799" s="5" t="str">
        <f>IF(OR(I2799="",G2799=""),"",IF(G2799="Saída",-I2799,I2799))</f>
        <v/>
      </c>
      <c r="L2799" t="str">
        <f>IF(E2799="","",IFERROR(VLOOKUP(E2799,Listas!$A$2:$C$1048576,3,FALSE),""))</f>
        <v/>
      </c>
    </row>
    <row r="2800" spans="10:12" x14ac:dyDescent="0.25">
      <c r="J2800" t="str">
        <f>IF(H2800="","",IFERROR(VLOOKUP(H2800,Listas!$J$2:$K$1048576,2,FALSE),""))</f>
        <v/>
      </c>
      <c r="K2800" s="5" t="str">
        <f>IF(OR(I2800="",G2800=""),"",IF(G2800="Saída",-I2800,I2800))</f>
        <v/>
      </c>
      <c r="L2800" t="str">
        <f>IF(E2800="","",IFERROR(VLOOKUP(E2800,Listas!$A$2:$C$1048576,3,FALSE),""))</f>
        <v/>
      </c>
    </row>
    <row r="2801" spans="10:12" x14ac:dyDescent="0.25">
      <c r="J2801" t="str">
        <f>IF(H2801="","",IFERROR(VLOOKUP(H2801,Listas!$J$2:$K$1048576,2,FALSE),""))</f>
        <v/>
      </c>
      <c r="K2801" s="5" t="str">
        <f>IF(OR(I2801="",G2801=""),"",IF(G2801="Saída",-I2801,I2801))</f>
        <v/>
      </c>
      <c r="L2801" t="str">
        <f>IF(E2801="","",IFERROR(VLOOKUP(E2801,Listas!$A$2:$C$1048576,3,FALSE),""))</f>
        <v/>
      </c>
    </row>
    <row r="2802" spans="10:12" x14ac:dyDescent="0.25">
      <c r="J2802" t="str">
        <f>IF(H2802="","",IFERROR(VLOOKUP(H2802,Listas!$J$2:$K$1048576,2,FALSE),""))</f>
        <v/>
      </c>
      <c r="K2802" s="5" t="str">
        <f>IF(OR(I2802="",G2802=""),"",IF(G2802="Saída",-I2802,I2802))</f>
        <v/>
      </c>
      <c r="L2802" t="str">
        <f>IF(E2802="","",IFERROR(VLOOKUP(E2802,Listas!$A$2:$C$1048576,3,FALSE),""))</f>
        <v/>
      </c>
    </row>
    <row r="2803" spans="10:12" x14ac:dyDescent="0.25">
      <c r="J2803" t="str">
        <f>IF(H2803="","",IFERROR(VLOOKUP(H2803,Listas!$J$2:$K$1048576,2,FALSE),""))</f>
        <v/>
      </c>
      <c r="K2803" s="5" t="str">
        <f>IF(OR(I2803="",G2803=""),"",IF(G2803="Saída",-I2803,I2803))</f>
        <v/>
      </c>
      <c r="L2803" t="str">
        <f>IF(E2803="","",IFERROR(VLOOKUP(E2803,Listas!$A$2:$C$1048576,3,FALSE),""))</f>
        <v/>
      </c>
    </row>
    <row r="2804" spans="10:12" x14ac:dyDescent="0.25">
      <c r="J2804" t="str">
        <f>IF(H2804="","",IFERROR(VLOOKUP(H2804,Listas!$J$2:$K$1048576,2,FALSE),""))</f>
        <v/>
      </c>
      <c r="K2804" s="5" t="str">
        <f>IF(OR(I2804="",G2804=""),"",IF(G2804="Saída",-I2804,I2804))</f>
        <v/>
      </c>
      <c r="L2804" t="str">
        <f>IF(E2804="","",IFERROR(VLOOKUP(E2804,Listas!$A$2:$C$1048576,3,FALSE),""))</f>
        <v/>
      </c>
    </row>
    <row r="2805" spans="10:12" x14ac:dyDescent="0.25">
      <c r="J2805" t="str">
        <f>IF(H2805="","",IFERROR(VLOOKUP(H2805,Listas!$J$2:$K$1048576,2,FALSE),""))</f>
        <v/>
      </c>
      <c r="K2805" s="5" t="str">
        <f>IF(OR(I2805="",G2805=""),"",IF(G2805="Saída",-I2805,I2805))</f>
        <v/>
      </c>
      <c r="L2805" t="str">
        <f>IF(E2805="","",IFERROR(VLOOKUP(E2805,Listas!$A$2:$C$1048576,3,FALSE),""))</f>
        <v/>
      </c>
    </row>
    <row r="2806" spans="10:12" x14ac:dyDescent="0.25">
      <c r="J2806" t="str">
        <f>IF(H2806="","",IFERROR(VLOOKUP(H2806,Listas!$J$2:$K$1048576,2,FALSE),""))</f>
        <v/>
      </c>
      <c r="K2806" s="5" t="str">
        <f>IF(OR(I2806="",G2806=""),"",IF(G2806="Saída",-I2806,I2806))</f>
        <v/>
      </c>
      <c r="L2806" t="str">
        <f>IF(E2806="","",IFERROR(VLOOKUP(E2806,Listas!$A$2:$C$1048576,3,FALSE),""))</f>
        <v/>
      </c>
    </row>
    <row r="2807" spans="10:12" x14ac:dyDescent="0.25">
      <c r="J2807" t="str">
        <f>IF(H2807="","",IFERROR(VLOOKUP(H2807,Listas!$J$2:$K$1048576,2,FALSE),""))</f>
        <v/>
      </c>
      <c r="K2807" s="5" t="str">
        <f>IF(OR(I2807="",G2807=""),"",IF(G2807="Saída",-I2807,I2807))</f>
        <v/>
      </c>
      <c r="L2807" t="str">
        <f>IF(E2807="","",IFERROR(VLOOKUP(E2807,Listas!$A$2:$C$1048576,3,FALSE),""))</f>
        <v/>
      </c>
    </row>
    <row r="2808" spans="10:12" x14ac:dyDescent="0.25">
      <c r="J2808" t="str">
        <f>IF(H2808="","",IFERROR(VLOOKUP(H2808,Listas!$J$2:$K$1048576,2,FALSE),""))</f>
        <v/>
      </c>
      <c r="K2808" s="5" t="str">
        <f>IF(OR(I2808="",G2808=""),"",IF(G2808="Saída",-I2808,I2808))</f>
        <v/>
      </c>
      <c r="L2808" t="str">
        <f>IF(E2808="","",IFERROR(VLOOKUP(E2808,Listas!$A$2:$C$1048576,3,FALSE),""))</f>
        <v/>
      </c>
    </row>
    <row r="2809" spans="10:12" x14ac:dyDescent="0.25">
      <c r="J2809" t="str">
        <f>IF(H2809="","",IFERROR(VLOOKUP(H2809,Listas!$J$2:$K$1048576,2,FALSE),""))</f>
        <v/>
      </c>
      <c r="K2809" s="5" t="str">
        <f>IF(OR(I2809="",G2809=""),"",IF(G2809="Saída",-I2809,I2809))</f>
        <v/>
      </c>
      <c r="L2809" t="str">
        <f>IF(E2809="","",IFERROR(VLOOKUP(E2809,Listas!$A$2:$C$1048576,3,FALSE),""))</f>
        <v/>
      </c>
    </row>
    <row r="2810" spans="10:12" x14ac:dyDescent="0.25">
      <c r="J2810" t="str">
        <f>IF(H2810="","",IFERROR(VLOOKUP(H2810,Listas!$J$2:$K$1048576,2,FALSE),""))</f>
        <v/>
      </c>
      <c r="K2810" s="5" t="str">
        <f>IF(OR(I2810="",G2810=""),"",IF(G2810="Saída",-I2810,I2810))</f>
        <v/>
      </c>
      <c r="L2810" t="str">
        <f>IF(E2810="","",IFERROR(VLOOKUP(E2810,Listas!$A$2:$C$1048576,3,FALSE),""))</f>
        <v/>
      </c>
    </row>
    <row r="2811" spans="10:12" x14ac:dyDescent="0.25">
      <c r="J2811" t="str">
        <f>IF(H2811="","",IFERROR(VLOOKUP(H2811,Listas!$J$2:$K$1048576,2,FALSE),""))</f>
        <v/>
      </c>
      <c r="K2811" s="5" t="str">
        <f>IF(OR(I2811="",G2811=""),"",IF(G2811="Saída",-I2811,I2811))</f>
        <v/>
      </c>
      <c r="L2811" t="str">
        <f>IF(E2811="","",IFERROR(VLOOKUP(E2811,Listas!$A$2:$C$1048576,3,FALSE),""))</f>
        <v/>
      </c>
    </row>
    <row r="2812" spans="10:12" x14ac:dyDescent="0.25">
      <c r="J2812" t="str">
        <f>IF(H2812="","",IFERROR(VLOOKUP(H2812,Listas!$J$2:$K$1048576,2,FALSE),""))</f>
        <v/>
      </c>
      <c r="K2812" s="5" t="str">
        <f>IF(OR(I2812="",G2812=""),"",IF(G2812="Saída",-I2812,I2812))</f>
        <v/>
      </c>
      <c r="L2812" t="str">
        <f>IF(E2812="","",IFERROR(VLOOKUP(E2812,Listas!$A$2:$C$1048576,3,FALSE),""))</f>
        <v/>
      </c>
    </row>
    <row r="2813" spans="10:12" x14ac:dyDescent="0.25">
      <c r="J2813" t="str">
        <f>IF(H2813="","",IFERROR(VLOOKUP(H2813,Listas!$J$2:$K$1048576,2,FALSE),""))</f>
        <v/>
      </c>
      <c r="K2813" s="5" t="str">
        <f>IF(OR(I2813="",G2813=""),"",IF(G2813="Saída",-I2813,I2813))</f>
        <v/>
      </c>
      <c r="L2813" t="str">
        <f>IF(E2813="","",IFERROR(VLOOKUP(E2813,Listas!$A$2:$C$1048576,3,FALSE),""))</f>
        <v/>
      </c>
    </row>
    <row r="2814" spans="10:12" x14ac:dyDescent="0.25">
      <c r="J2814" t="str">
        <f>IF(H2814="","",IFERROR(VLOOKUP(H2814,Listas!$J$2:$K$1048576,2,FALSE),""))</f>
        <v/>
      </c>
      <c r="K2814" s="5" t="str">
        <f>IF(OR(I2814="",G2814=""),"",IF(G2814="Saída",-I2814,I2814))</f>
        <v/>
      </c>
      <c r="L2814" t="str">
        <f>IF(E2814="","",IFERROR(VLOOKUP(E2814,Listas!$A$2:$C$1048576,3,FALSE),""))</f>
        <v/>
      </c>
    </row>
    <row r="2815" spans="10:12" x14ac:dyDescent="0.25">
      <c r="J2815" t="str">
        <f>IF(H2815="","",IFERROR(VLOOKUP(H2815,Listas!$J$2:$K$1048576,2,FALSE),""))</f>
        <v/>
      </c>
      <c r="K2815" s="5" t="str">
        <f>IF(OR(I2815="",G2815=""),"",IF(G2815="Saída",-I2815,I2815))</f>
        <v/>
      </c>
      <c r="L2815" t="str">
        <f>IF(E2815="","",IFERROR(VLOOKUP(E2815,Listas!$A$2:$C$1048576,3,FALSE),""))</f>
        <v/>
      </c>
    </row>
    <row r="2816" spans="10:12" x14ac:dyDescent="0.25">
      <c r="J2816" t="str">
        <f>IF(H2816="","",IFERROR(VLOOKUP(H2816,Listas!$J$2:$K$1048576,2,FALSE),""))</f>
        <v/>
      </c>
      <c r="K2816" s="5" t="str">
        <f>IF(OR(I2816="",G2816=""),"",IF(G2816="Saída",-I2816,I2816))</f>
        <v/>
      </c>
      <c r="L2816" t="str">
        <f>IF(E2816="","",IFERROR(VLOOKUP(E2816,Listas!$A$2:$C$1048576,3,FALSE),""))</f>
        <v/>
      </c>
    </row>
    <row r="2817" spans="10:12" x14ac:dyDescent="0.25">
      <c r="J2817" t="str">
        <f>IF(H2817="","",IFERROR(VLOOKUP(H2817,Listas!$J$2:$K$1048576,2,FALSE),""))</f>
        <v/>
      </c>
      <c r="K2817" s="5" t="str">
        <f>IF(OR(I2817="",G2817=""),"",IF(G2817="Saída",-I2817,I2817))</f>
        <v/>
      </c>
      <c r="L2817" t="str">
        <f>IF(E2817="","",IFERROR(VLOOKUP(E2817,Listas!$A$2:$C$1048576,3,FALSE),""))</f>
        <v/>
      </c>
    </row>
    <row r="2818" spans="10:12" x14ac:dyDescent="0.25">
      <c r="J2818" t="str">
        <f>IF(H2818="","",IFERROR(VLOOKUP(H2818,Listas!$J$2:$K$1048576,2,FALSE),""))</f>
        <v/>
      </c>
      <c r="K2818" s="5" t="str">
        <f>IF(OR(I2818="",G2818=""),"",IF(G2818="Saída",-I2818,I2818))</f>
        <v/>
      </c>
      <c r="L2818" t="str">
        <f>IF(E2818="","",IFERROR(VLOOKUP(E2818,Listas!$A$2:$C$1048576,3,FALSE),""))</f>
        <v/>
      </c>
    </row>
    <row r="2819" spans="10:12" x14ac:dyDescent="0.25">
      <c r="J2819" t="str">
        <f>IF(H2819="","",IFERROR(VLOOKUP(H2819,Listas!$J$2:$K$1048576,2,FALSE),""))</f>
        <v/>
      </c>
      <c r="K2819" s="5" t="str">
        <f>IF(OR(I2819="",G2819=""),"",IF(G2819="Saída",-I2819,I2819))</f>
        <v/>
      </c>
      <c r="L2819" t="str">
        <f>IF(E2819="","",IFERROR(VLOOKUP(E2819,Listas!$A$2:$C$1048576,3,FALSE),""))</f>
        <v/>
      </c>
    </row>
    <row r="2820" spans="10:12" x14ac:dyDescent="0.25">
      <c r="J2820" t="str">
        <f>IF(H2820="","",IFERROR(VLOOKUP(H2820,Listas!$J$2:$K$1048576,2,FALSE),""))</f>
        <v/>
      </c>
      <c r="K2820" s="5" t="str">
        <f>IF(OR(I2820="",G2820=""),"",IF(G2820="Saída",-I2820,I2820))</f>
        <v/>
      </c>
      <c r="L2820" t="str">
        <f>IF(E2820="","",IFERROR(VLOOKUP(E2820,Listas!$A$2:$C$1048576,3,FALSE),""))</f>
        <v/>
      </c>
    </row>
    <row r="2821" spans="10:12" x14ac:dyDescent="0.25">
      <c r="J2821" t="str">
        <f>IF(H2821="","",IFERROR(VLOOKUP(H2821,Listas!$J$2:$K$1048576,2,FALSE),""))</f>
        <v/>
      </c>
      <c r="K2821" s="5" t="str">
        <f>IF(OR(I2821="",G2821=""),"",IF(G2821="Saída",-I2821,I2821))</f>
        <v/>
      </c>
      <c r="L2821" t="str">
        <f>IF(E2821="","",IFERROR(VLOOKUP(E2821,Listas!$A$2:$C$1048576,3,FALSE),""))</f>
        <v/>
      </c>
    </row>
    <row r="2822" spans="10:12" x14ac:dyDescent="0.25">
      <c r="J2822" t="str">
        <f>IF(H2822="","",IFERROR(VLOOKUP(H2822,Listas!$J$2:$K$1048576,2,FALSE),""))</f>
        <v/>
      </c>
      <c r="K2822" s="5" t="str">
        <f>IF(OR(I2822="",G2822=""),"",IF(G2822="Saída",-I2822,I2822))</f>
        <v/>
      </c>
      <c r="L2822" t="str">
        <f>IF(E2822="","",IFERROR(VLOOKUP(E2822,Listas!$A$2:$C$1048576,3,FALSE),""))</f>
        <v/>
      </c>
    </row>
    <row r="2823" spans="10:12" x14ac:dyDescent="0.25">
      <c r="J2823" t="str">
        <f>IF(H2823="","",IFERROR(VLOOKUP(H2823,Listas!$J$2:$K$1048576,2,FALSE),""))</f>
        <v/>
      </c>
      <c r="K2823" s="5" t="str">
        <f>IF(OR(I2823="",G2823=""),"",IF(G2823="Saída",-I2823,I2823))</f>
        <v/>
      </c>
      <c r="L2823" t="str">
        <f>IF(E2823="","",IFERROR(VLOOKUP(E2823,Listas!$A$2:$C$1048576,3,FALSE),""))</f>
        <v/>
      </c>
    </row>
    <row r="2824" spans="10:12" x14ac:dyDescent="0.25">
      <c r="J2824" t="str">
        <f>IF(H2824="","",IFERROR(VLOOKUP(H2824,Listas!$J$2:$K$1048576,2,FALSE),""))</f>
        <v/>
      </c>
      <c r="K2824" s="5" t="str">
        <f>IF(OR(I2824="",G2824=""),"",IF(G2824="Saída",-I2824,I2824))</f>
        <v/>
      </c>
      <c r="L2824" t="str">
        <f>IF(E2824="","",IFERROR(VLOOKUP(E2824,Listas!$A$2:$C$1048576,3,FALSE),""))</f>
        <v/>
      </c>
    </row>
    <row r="2825" spans="10:12" x14ac:dyDescent="0.25">
      <c r="J2825" t="str">
        <f>IF(H2825="","",IFERROR(VLOOKUP(H2825,Listas!$J$2:$K$1048576,2,FALSE),""))</f>
        <v/>
      </c>
      <c r="K2825" s="5" t="str">
        <f>IF(OR(I2825="",G2825=""),"",IF(G2825="Saída",-I2825,I2825))</f>
        <v/>
      </c>
      <c r="L2825" t="str">
        <f>IF(E2825="","",IFERROR(VLOOKUP(E2825,Listas!$A$2:$C$1048576,3,FALSE),""))</f>
        <v/>
      </c>
    </row>
    <row r="2826" spans="10:12" x14ac:dyDescent="0.25">
      <c r="J2826" t="str">
        <f>IF(H2826="","",IFERROR(VLOOKUP(H2826,Listas!$J$2:$K$1048576,2,FALSE),""))</f>
        <v/>
      </c>
      <c r="K2826" s="5" t="str">
        <f>IF(OR(I2826="",G2826=""),"",IF(G2826="Saída",-I2826,I2826))</f>
        <v/>
      </c>
      <c r="L2826" t="str">
        <f>IF(E2826="","",IFERROR(VLOOKUP(E2826,Listas!$A$2:$C$1048576,3,FALSE),""))</f>
        <v/>
      </c>
    </row>
    <row r="2827" spans="10:12" x14ac:dyDescent="0.25">
      <c r="J2827" t="str">
        <f>IF(H2827="","",IFERROR(VLOOKUP(H2827,Listas!$J$2:$K$1048576,2,FALSE),""))</f>
        <v/>
      </c>
      <c r="K2827" s="5" t="str">
        <f>IF(OR(I2827="",G2827=""),"",IF(G2827="Saída",-I2827,I2827))</f>
        <v/>
      </c>
      <c r="L2827" t="str">
        <f>IF(E2827="","",IFERROR(VLOOKUP(E2827,Listas!$A$2:$C$1048576,3,FALSE),""))</f>
        <v/>
      </c>
    </row>
    <row r="2828" spans="10:12" x14ac:dyDescent="0.25">
      <c r="J2828" t="str">
        <f>IF(H2828="","",IFERROR(VLOOKUP(H2828,Listas!$J$2:$K$1048576,2,FALSE),""))</f>
        <v/>
      </c>
      <c r="K2828" s="5" t="str">
        <f>IF(OR(I2828="",G2828=""),"",IF(G2828="Saída",-I2828,I2828))</f>
        <v/>
      </c>
      <c r="L2828" t="str">
        <f>IF(E2828="","",IFERROR(VLOOKUP(E2828,Listas!$A$2:$C$1048576,3,FALSE),""))</f>
        <v/>
      </c>
    </row>
    <row r="2829" spans="10:12" x14ac:dyDescent="0.25">
      <c r="J2829" t="str">
        <f>IF(H2829="","",IFERROR(VLOOKUP(H2829,Listas!$J$2:$K$1048576,2,FALSE),""))</f>
        <v/>
      </c>
      <c r="K2829" s="5" t="str">
        <f>IF(OR(I2829="",G2829=""),"",IF(G2829="Saída",-I2829,I2829))</f>
        <v/>
      </c>
      <c r="L2829" t="str">
        <f>IF(E2829="","",IFERROR(VLOOKUP(E2829,Listas!$A$2:$C$1048576,3,FALSE),""))</f>
        <v/>
      </c>
    </row>
    <row r="2830" spans="10:12" x14ac:dyDescent="0.25">
      <c r="J2830" t="str">
        <f>IF(H2830="","",IFERROR(VLOOKUP(H2830,Listas!$J$2:$K$1048576,2,FALSE),""))</f>
        <v/>
      </c>
      <c r="K2830" s="5" t="str">
        <f>IF(OR(I2830="",G2830=""),"",IF(G2830="Saída",-I2830,I2830))</f>
        <v/>
      </c>
      <c r="L2830" t="str">
        <f>IF(E2830="","",IFERROR(VLOOKUP(E2830,Listas!$A$2:$C$1048576,3,FALSE),""))</f>
        <v/>
      </c>
    </row>
    <row r="2831" spans="10:12" x14ac:dyDescent="0.25">
      <c r="J2831" t="str">
        <f>IF(H2831="","",IFERROR(VLOOKUP(H2831,Listas!$J$2:$K$1048576,2,FALSE),""))</f>
        <v/>
      </c>
      <c r="K2831" s="5" t="str">
        <f>IF(OR(I2831="",G2831=""),"",IF(G2831="Saída",-I2831,I2831))</f>
        <v/>
      </c>
      <c r="L2831" t="str">
        <f>IF(E2831="","",IFERROR(VLOOKUP(E2831,Listas!$A$2:$C$1048576,3,FALSE),""))</f>
        <v/>
      </c>
    </row>
    <row r="2832" spans="10:12" x14ac:dyDescent="0.25">
      <c r="J2832" t="str">
        <f>IF(H2832="","",IFERROR(VLOOKUP(H2832,Listas!$J$2:$K$1048576,2,FALSE),""))</f>
        <v/>
      </c>
      <c r="K2832" s="5" t="str">
        <f>IF(OR(I2832="",G2832=""),"",IF(G2832="Saída",-I2832,I2832))</f>
        <v/>
      </c>
      <c r="L2832" t="str">
        <f>IF(E2832="","",IFERROR(VLOOKUP(E2832,Listas!$A$2:$C$1048576,3,FALSE),""))</f>
        <v/>
      </c>
    </row>
    <row r="2833" spans="10:12" x14ac:dyDescent="0.25">
      <c r="J2833" t="str">
        <f>IF(H2833="","",IFERROR(VLOOKUP(H2833,Listas!$J$2:$K$1048576,2,FALSE),""))</f>
        <v/>
      </c>
      <c r="K2833" s="5" t="str">
        <f>IF(OR(I2833="",G2833=""),"",IF(G2833="Saída",-I2833,I2833))</f>
        <v/>
      </c>
      <c r="L2833" t="str">
        <f>IF(E2833="","",IFERROR(VLOOKUP(E2833,Listas!$A$2:$C$1048576,3,FALSE),""))</f>
        <v/>
      </c>
    </row>
    <row r="2834" spans="10:12" x14ac:dyDescent="0.25">
      <c r="J2834" t="str">
        <f>IF(H2834="","",IFERROR(VLOOKUP(H2834,Listas!$J$2:$K$1048576,2,FALSE),""))</f>
        <v/>
      </c>
      <c r="K2834" s="5" t="str">
        <f>IF(OR(I2834="",G2834=""),"",IF(G2834="Saída",-I2834,I2834))</f>
        <v/>
      </c>
      <c r="L2834" t="str">
        <f>IF(E2834="","",IFERROR(VLOOKUP(E2834,Listas!$A$2:$C$1048576,3,FALSE),""))</f>
        <v/>
      </c>
    </row>
    <row r="2835" spans="10:12" x14ac:dyDescent="0.25">
      <c r="J2835" t="str">
        <f>IF(H2835="","",IFERROR(VLOOKUP(H2835,Listas!$J$2:$K$1048576,2,FALSE),""))</f>
        <v/>
      </c>
      <c r="K2835" s="5" t="str">
        <f>IF(OR(I2835="",G2835=""),"",IF(G2835="Saída",-I2835,I2835))</f>
        <v/>
      </c>
      <c r="L2835" t="str">
        <f>IF(E2835="","",IFERROR(VLOOKUP(E2835,Listas!$A$2:$C$1048576,3,FALSE),""))</f>
        <v/>
      </c>
    </row>
    <row r="2836" spans="10:12" x14ac:dyDescent="0.25">
      <c r="J2836" t="str">
        <f>IF(H2836="","",IFERROR(VLOOKUP(H2836,Listas!$J$2:$K$1048576,2,FALSE),""))</f>
        <v/>
      </c>
      <c r="K2836" s="5" t="str">
        <f>IF(OR(I2836="",G2836=""),"",IF(G2836="Saída",-I2836,I2836))</f>
        <v/>
      </c>
      <c r="L2836" t="str">
        <f>IF(E2836="","",IFERROR(VLOOKUP(E2836,Listas!$A$2:$C$1048576,3,FALSE),""))</f>
        <v/>
      </c>
    </row>
    <row r="2837" spans="10:12" x14ac:dyDescent="0.25">
      <c r="J2837" t="str">
        <f>IF(H2837="","",IFERROR(VLOOKUP(H2837,Listas!$J$2:$K$1048576,2,FALSE),""))</f>
        <v/>
      </c>
      <c r="K2837" s="5" t="str">
        <f>IF(OR(I2837="",G2837=""),"",IF(G2837="Saída",-I2837,I2837))</f>
        <v/>
      </c>
      <c r="L2837" t="str">
        <f>IF(E2837="","",IFERROR(VLOOKUP(E2837,Listas!$A$2:$C$1048576,3,FALSE),""))</f>
        <v/>
      </c>
    </row>
    <row r="2838" spans="10:12" x14ac:dyDescent="0.25">
      <c r="J2838" t="str">
        <f>IF(H2838="","",IFERROR(VLOOKUP(H2838,Listas!$J$2:$K$1048576,2,FALSE),""))</f>
        <v/>
      </c>
      <c r="K2838" s="5" t="str">
        <f>IF(OR(I2838="",G2838=""),"",IF(G2838="Saída",-I2838,I2838))</f>
        <v/>
      </c>
      <c r="L2838" t="str">
        <f>IF(E2838="","",IFERROR(VLOOKUP(E2838,Listas!$A$2:$C$1048576,3,FALSE),""))</f>
        <v/>
      </c>
    </row>
    <row r="2839" spans="10:12" x14ac:dyDescent="0.25">
      <c r="J2839" t="str">
        <f>IF(H2839="","",IFERROR(VLOOKUP(H2839,Listas!$J$2:$K$1048576,2,FALSE),""))</f>
        <v/>
      </c>
      <c r="K2839" s="5" t="str">
        <f>IF(OR(I2839="",G2839=""),"",IF(G2839="Saída",-I2839,I2839))</f>
        <v/>
      </c>
      <c r="L2839" t="str">
        <f>IF(E2839="","",IFERROR(VLOOKUP(E2839,Listas!$A$2:$C$1048576,3,FALSE),""))</f>
        <v/>
      </c>
    </row>
    <row r="2840" spans="10:12" x14ac:dyDescent="0.25">
      <c r="J2840" t="str">
        <f>IF(H2840="","",IFERROR(VLOOKUP(H2840,Listas!$J$2:$K$1048576,2,FALSE),""))</f>
        <v/>
      </c>
      <c r="K2840" s="5" t="str">
        <f>IF(OR(I2840="",G2840=""),"",IF(G2840="Saída",-I2840,I2840))</f>
        <v/>
      </c>
      <c r="L2840" t="str">
        <f>IF(E2840="","",IFERROR(VLOOKUP(E2840,Listas!$A$2:$C$1048576,3,FALSE),""))</f>
        <v/>
      </c>
    </row>
    <row r="2841" spans="10:12" x14ac:dyDescent="0.25">
      <c r="J2841" t="str">
        <f>IF(H2841="","",IFERROR(VLOOKUP(H2841,Listas!$J$2:$K$1048576,2,FALSE),""))</f>
        <v/>
      </c>
      <c r="K2841" s="5" t="str">
        <f>IF(OR(I2841="",G2841=""),"",IF(G2841="Saída",-I2841,I2841))</f>
        <v/>
      </c>
      <c r="L2841" t="str">
        <f>IF(E2841="","",IFERROR(VLOOKUP(E2841,Listas!$A$2:$C$1048576,3,FALSE),""))</f>
        <v/>
      </c>
    </row>
    <row r="2842" spans="10:12" x14ac:dyDescent="0.25">
      <c r="J2842" t="str">
        <f>IF(H2842="","",IFERROR(VLOOKUP(H2842,Listas!$J$2:$K$1048576,2,FALSE),""))</f>
        <v/>
      </c>
      <c r="K2842" s="5" t="str">
        <f>IF(OR(I2842="",G2842=""),"",IF(G2842="Saída",-I2842,I2842))</f>
        <v/>
      </c>
      <c r="L2842" t="str">
        <f>IF(E2842="","",IFERROR(VLOOKUP(E2842,Listas!$A$2:$C$1048576,3,FALSE),""))</f>
        <v/>
      </c>
    </row>
    <row r="2843" spans="10:12" x14ac:dyDescent="0.25">
      <c r="J2843" t="str">
        <f>IF(H2843="","",IFERROR(VLOOKUP(H2843,Listas!$J$2:$K$1048576,2,FALSE),""))</f>
        <v/>
      </c>
      <c r="K2843" s="5" t="str">
        <f>IF(OR(I2843="",G2843=""),"",IF(G2843="Saída",-I2843,I2843))</f>
        <v/>
      </c>
      <c r="L2843" t="str">
        <f>IF(E2843="","",IFERROR(VLOOKUP(E2843,Listas!$A$2:$C$1048576,3,FALSE),""))</f>
        <v/>
      </c>
    </row>
    <row r="2844" spans="10:12" x14ac:dyDescent="0.25">
      <c r="J2844" t="str">
        <f>IF(H2844="","",IFERROR(VLOOKUP(H2844,Listas!$J$2:$K$1048576,2,FALSE),""))</f>
        <v/>
      </c>
      <c r="K2844" s="5" t="str">
        <f>IF(OR(I2844="",G2844=""),"",IF(G2844="Saída",-I2844,I2844))</f>
        <v/>
      </c>
      <c r="L2844" t="str">
        <f>IF(E2844="","",IFERROR(VLOOKUP(E2844,Listas!$A$2:$C$1048576,3,FALSE),""))</f>
        <v/>
      </c>
    </row>
    <row r="2845" spans="10:12" x14ac:dyDescent="0.25">
      <c r="J2845" t="str">
        <f>IF(H2845="","",IFERROR(VLOOKUP(H2845,Listas!$J$2:$K$1048576,2,FALSE),""))</f>
        <v/>
      </c>
      <c r="K2845" s="5" t="str">
        <f>IF(OR(I2845="",G2845=""),"",IF(G2845="Saída",-I2845,I2845))</f>
        <v/>
      </c>
      <c r="L2845" t="str">
        <f>IF(E2845="","",IFERROR(VLOOKUP(E2845,Listas!$A$2:$C$1048576,3,FALSE),""))</f>
        <v/>
      </c>
    </row>
    <row r="2846" spans="10:12" x14ac:dyDescent="0.25">
      <c r="J2846" t="str">
        <f>IF(H2846="","",IFERROR(VLOOKUP(H2846,Listas!$J$2:$K$1048576,2,FALSE),""))</f>
        <v/>
      </c>
      <c r="K2846" s="5" t="str">
        <f>IF(OR(I2846="",G2846=""),"",IF(G2846="Saída",-I2846,I2846))</f>
        <v/>
      </c>
      <c r="L2846" t="str">
        <f>IF(E2846="","",IFERROR(VLOOKUP(E2846,Listas!$A$2:$C$1048576,3,FALSE),""))</f>
        <v/>
      </c>
    </row>
    <row r="2847" spans="10:12" x14ac:dyDescent="0.25">
      <c r="J2847" t="str">
        <f>IF(H2847="","",IFERROR(VLOOKUP(H2847,Listas!$J$2:$K$1048576,2,FALSE),""))</f>
        <v/>
      </c>
      <c r="K2847" s="5" t="str">
        <f>IF(OR(I2847="",G2847=""),"",IF(G2847="Saída",-I2847,I2847))</f>
        <v/>
      </c>
      <c r="L2847" t="str">
        <f>IF(E2847="","",IFERROR(VLOOKUP(E2847,Listas!$A$2:$C$1048576,3,FALSE),""))</f>
        <v/>
      </c>
    </row>
    <row r="2848" spans="10:12" x14ac:dyDescent="0.25">
      <c r="J2848" t="str">
        <f>IF(H2848="","",IFERROR(VLOOKUP(H2848,Listas!$J$2:$K$1048576,2,FALSE),""))</f>
        <v/>
      </c>
      <c r="K2848" s="5" t="str">
        <f>IF(OR(I2848="",G2848=""),"",IF(G2848="Saída",-I2848,I2848))</f>
        <v/>
      </c>
      <c r="L2848" t="str">
        <f>IF(E2848="","",IFERROR(VLOOKUP(E2848,Listas!$A$2:$C$1048576,3,FALSE),""))</f>
        <v/>
      </c>
    </row>
    <row r="2849" spans="10:12" x14ac:dyDescent="0.25">
      <c r="J2849" t="str">
        <f>IF(H2849="","",IFERROR(VLOOKUP(H2849,Listas!$J$2:$K$1048576,2,FALSE),""))</f>
        <v/>
      </c>
      <c r="K2849" s="5" t="str">
        <f>IF(OR(I2849="",G2849=""),"",IF(G2849="Saída",-I2849,I2849))</f>
        <v/>
      </c>
      <c r="L2849" t="str">
        <f>IF(E2849="","",IFERROR(VLOOKUP(E2849,Listas!$A$2:$C$1048576,3,FALSE),""))</f>
        <v/>
      </c>
    </row>
    <row r="2850" spans="10:12" x14ac:dyDescent="0.25">
      <c r="J2850" t="str">
        <f>IF(H2850="","",IFERROR(VLOOKUP(H2850,Listas!$J$2:$K$1048576,2,FALSE),""))</f>
        <v/>
      </c>
      <c r="K2850" s="5" t="str">
        <f>IF(OR(I2850="",G2850=""),"",IF(G2850="Saída",-I2850,I2850))</f>
        <v/>
      </c>
      <c r="L2850" t="str">
        <f>IF(E2850="","",IFERROR(VLOOKUP(E2850,Listas!$A$2:$C$1048576,3,FALSE),""))</f>
        <v/>
      </c>
    </row>
    <row r="2851" spans="10:12" x14ac:dyDescent="0.25">
      <c r="J2851" t="str">
        <f>IF(H2851="","",IFERROR(VLOOKUP(H2851,Listas!$J$2:$K$1048576,2,FALSE),""))</f>
        <v/>
      </c>
      <c r="K2851" s="5" t="str">
        <f>IF(OR(I2851="",G2851=""),"",IF(G2851="Saída",-I2851,I2851))</f>
        <v/>
      </c>
      <c r="L2851" t="str">
        <f>IF(E2851="","",IFERROR(VLOOKUP(E2851,Listas!$A$2:$C$1048576,3,FALSE),""))</f>
        <v/>
      </c>
    </row>
    <row r="2852" spans="10:12" x14ac:dyDescent="0.25">
      <c r="J2852" t="str">
        <f>IF(H2852="","",IFERROR(VLOOKUP(H2852,Listas!$J$2:$K$1048576,2,FALSE),""))</f>
        <v/>
      </c>
      <c r="K2852" s="5" t="str">
        <f>IF(OR(I2852="",G2852=""),"",IF(G2852="Saída",-I2852,I2852))</f>
        <v/>
      </c>
      <c r="L2852" t="str">
        <f>IF(E2852="","",IFERROR(VLOOKUP(E2852,Listas!$A$2:$C$1048576,3,FALSE),""))</f>
        <v/>
      </c>
    </row>
    <row r="2853" spans="10:12" x14ac:dyDescent="0.25">
      <c r="J2853" t="str">
        <f>IF(H2853="","",IFERROR(VLOOKUP(H2853,Listas!$J$2:$K$1048576,2,FALSE),""))</f>
        <v/>
      </c>
      <c r="K2853" s="5" t="str">
        <f>IF(OR(I2853="",G2853=""),"",IF(G2853="Saída",-I2853,I2853))</f>
        <v/>
      </c>
      <c r="L2853" t="str">
        <f>IF(E2853="","",IFERROR(VLOOKUP(E2853,Listas!$A$2:$C$1048576,3,FALSE),""))</f>
        <v/>
      </c>
    </row>
    <row r="2854" spans="10:12" x14ac:dyDescent="0.25">
      <c r="J2854" t="str">
        <f>IF(H2854="","",IFERROR(VLOOKUP(H2854,Listas!$J$2:$K$1048576,2,FALSE),""))</f>
        <v/>
      </c>
      <c r="K2854" s="5" t="str">
        <f>IF(OR(I2854="",G2854=""),"",IF(G2854="Saída",-I2854,I2854))</f>
        <v/>
      </c>
      <c r="L2854" t="str">
        <f>IF(E2854="","",IFERROR(VLOOKUP(E2854,Listas!$A$2:$C$1048576,3,FALSE),""))</f>
        <v/>
      </c>
    </row>
    <row r="2855" spans="10:12" x14ac:dyDescent="0.25">
      <c r="J2855" t="str">
        <f>IF(H2855="","",IFERROR(VLOOKUP(H2855,Listas!$J$2:$K$1048576,2,FALSE),""))</f>
        <v/>
      </c>
      <c r="K2855" s="5" t="str">
        <f>IF(OR(I2855="",G2855=""),"",IF(G2855="Saída",-I2855,I2855))</f>
        <v/>
      </c>
      <c r="L2855" t="str">
        <f>IF(E2855="","",IFERROR(VLOOKUP(E2855,Listas!$A$2:$C$1048576,3,FALSE),""))</f>
        <v/>
      </c>
    </row>
    <row r="2856" spans="10:12" x14ac:dyDescent="0.25">
      <c r="J2856" t="str">
        <f>IF(H2856="","",IFERROR(VLOOKUP(H2856,Listas!$J$2:$K$1048576,2,FALSE),""))</f>
        <v/>
      </c>
      <c r="K2856" s="5" t="str">
        <f>IF(OR(I2856="",G2856=""),"",IF(G2856="Saída",-I2856,I2856))</f>
        <v/>
      </c>
      <c r="L2856" t="str">
        <f>IF(E2856="","",IFERROR(VLOOKUP(E2856,Listas!$A$2:$C$1048576,3,FALSE),""))</f>
        <v/>
      </c>
    </row>
    <row r="2857" spans="10:12" x14ac:dyDescent="0.25">
      <c r="J2857" t="str">
        <f>IF(H2857="","",IFERROR(VLOOKUP(H2857,Listas!$J$2:$K$1048576,2,FALSE),""))</f>
        <v/>
      </c>
      <c r="K2857" s="5" t="str">
        <f>IF(OR(I2857="",G2857=""),"",IF(G2857="Saída",-I2857,I2857))</f>
        <v/>
      </c>
      <c r="L2857" t="str">
        <f>IF(E2857="","",IFERROR(VLOOKUP(E2857,Listas!$A$2:$C$1048576,3,FALSE),""))</f>
        <v/>
      </c>
    </row>
    <row r="2858" spans="10:12" x14ac:dyDescent="0.25">
      <c r="J2858" t="str">
        <f>IF(H2858="","",IFERROR(VLOOKUP(H2858,Listas!$J$2:$K$1048576,2,FALSE),""))</f>
        <v/>
      </c>
      <c r="K2858" s="5" t="str">
        <f>IF(OR(I2858="",G2858=""),"",IF(G2858="Saída",-I2858,I2858))</f>
        <v/>
      </c>
      <c r="L2858" t="str">
        <f>IF(E2858="","",IFERROR(VLOOKUP(E2858,Listas!$A$2:$C$1048576,3,FALSE),""))</f>
        <v/>
      </c>
    </row>
    <row r="2859" spans="10:12" x14ac:dyDescent="0.25">
      <c r="J2859" t="str">
        <f>IF(H2859="","",IFERROR(VLOOKUP(H2859,Listas!$J$2:$K$1048576,2,FALSE),""))</f>
        <v/>
      </c>
      <c r="K2859" s="5" t="str">
        <f>IF(OR(I2859="",G2859=""),"",IF(G2859="Saída",-I2859,I2859))</f>
        <v/>
      </c>
      <c r="L2859" t="str">
        <f>IF(E2859="","",IFERROR(VLOOKUP(E2859,Listas!$A$2:$C$1048576,3,FALSE),""))</f>
        <v/>
      </c>
    </row>
    <row r="2860" spans="10:12" x14ac:dyDescent="0.25">
      <c r="J2860" t="str">
        <f>IF(H2860="","",IFERROR(VLOOKUP(H2860,Listas!$J$2:$K$1048576,2,FALSE),""))</f>
        <v/>
      </c>
      <c r="K2860" s="5" t="str">
        <f>IF(OR(I2860="",G2860=""),"",IF(G2860="Saída",-I2860,I2860))</f>
        <v/>
      </c>
      <c r="L2860" t="str">
        <f>IF(E2860="","",IFERROR(VLOOKUP(E2860,Listas!$A$2:$C$1048576,3,FALSE),""))</f>
        <v/>
      </c>
    </row>
    <row r="2861" spans="10:12" x14ac:dyDescent="0.25">
      <c r="J2861" t="str">
        <f>IF(H2861="","",IFERROR(VLOOKUP(H2861,Listas!$J$2:$K$1048576,2,FALSE),""))</f>
        <v/>
      </c>
      <c r="K2861" s="5" t="str">
        <f>IF(OR(I2861="",G2861=""),"",IF(G2861="Saída",-I2861,I2861))</f>
        <v/>
      </c>
      <c r="L2861" t="str">
        <f>IF(E2861="","",IFERROR(VLOOKUP(E2861,Listas!$A$2:$C$1048576,3,FALSE),""))</f>
        <v/>
      </c>
    </row>
    <row r="2862" spans="10:12" x14ac:dyDescent="0.25">
      <c r="J2862" t="str">
        <f>IF(H2862="","",IFERROR(VLOOKUP(H2862,Listas!$J$2:$K$1048576,2,FALSE),""))</f>
        <v/>
      </c>
      <c r="K2862" s="5" t="str">
        <f>IF(OR(I2862="",G2862=""),"",IF(G2862="Saída",-I2862,I2862))</f>
        <v/>
      </c>
      <c r="L2862" t="str">
        <f>IF(E2862="","",IFERROR(VLOOKUP(E2862,Listas!$A$2:$C$1048576,3,FALSE),""))</f>
        <v/>
      </c>
    </row>
    <row r="2863" spans="10:12" x14ac:dyDescent="0.25">
      <c r="J2863" t="str">
        <f>IF(H2863="","",IFERROR(VLOOKUP(H2863,Listas!$J$2:$K$1048576,2,FALSE),""))</f>
        <v/>
      </c>
      <c r="K2863" s="5" t="str">
        <f>IF(OR(I2863="",G2863=""),"",IF(G2863="Saída",-I2863,I2863))</f>
        <v/>
      </c>
      <c r="L2863" t="str">
        <f>IF(E2863="","",IFERROR(VLOOKUP(E2863,Listas!$A$2:$C$1048576,3,FALSE),""))</f>
        <v/>
      </c>
    </row>
    <row r="2864" spans="10:12" x14ac:dyDescent="0.25">
      <c r="J2864" t="str">
        <f>IF(H2864="","",IFERROR(VLOOKUP(H2864,Listas!$J$2:$K$1048576,2,FALSE),""))</f>
        <v/>
      </c>
      <c r="K2864" s="5" t="str">
        <f>IF(OR(I2864="",G2864=""),"",IF(G2864="Saída",-I2864,I2864))</f>
        <v/>
      </c>
      <c r="L2864" t="str">
        <f>IF(E2864="","",IFERROR(VLOOKUP(E2864,Listas!$A$2:$C$1048576,3,FALSE),""))</f>
        <v/>
      </c>
    </row>
    <row r="2865" spans="10:12" x14ac:dyDescent="0.25">
      <c r="J2865" t="str">
        <f>IF(H2865="","",IFERROR(VLOOKUP(H2865,Listas!$J$2:$K$1048576,2,FALSE),""))</f>
        <v/>
      </c>
      <c r="K2865" s="5" t="str">
        <f>IF(OR(I2865="",G2865=""),"",IF(G2865="Saída",-I2865,I2865))</f>
        <v/>
      </c>
      <c r="L2865" t="str">
        <f>IF(E2865="","",IFERROR(VLOOKUP(E2865,Listas!$A$2:$C$1048576,3,FALSE),""))</f>
        <v/>
      </c>
    </row>
    <row r="2866" spans="10:12" x14ac:dyDescent="0.25">
      <c r="J2866" t="str">
        <f>IF(H2866="","",IFERROR(VLOOKUP(H2866,Listas!$J$2:$K$1048576,2,FALSE),""))</f>
        <v/>
      </c>
      <c r="K2866" s="5" t="str">
        <f>IF(OR(I2866="",G2866=""),"",IF(G2866="Saída",-I2866,I2866))</f>
        <v/>
      </c>
      <c r="L2866" t="str">
        <f>IF(E2866="","",IFERROR(VLOOKUP(E2866,Listas!$A$2:$C$1048576,3,FALSE),""))</f>
        <v/>
      </c>
    </row>
    <row r="2867" spans="10:12" x14ac:dyDescent="0.25">
      <c r="J2867" t="str">
        <f>IF(H2867="","",IFERROR(VLOOKUP(H2867,Listas!$J$2:$K$1048576,2,FALSE),""))</f>
        <v/>
      </c>
      <c r="K2867" s="5" t="str">
        <f>IF(OR(I2867="",G2867=""),"",IF(G2867="Saída",-I2867,I2867))</f>
        <v/>
      </c>
      <c r="L2867" t="str">
        <f>IF(E2867="","",IFERROR(VLOOKUP(E2867,Listas!$A$2:$C$1048576,3,FALSE),""))</f>
        <v/>
      </c>
    </row>
    <row r="2868" spans="10:12" x14ac:dyDescent="0.25">
      <c r="J2868" t="str">
        <f>IF(H2868="","",IFERROR(VLOOKUP(H2868,Listas!$J$2:$K$1048576,2,FALSE),""))</f>
        <v/>
      </c>
      <c r="K2868" s="5" t="str">
        <f>IF(OR(I2868="",G2868=""),"",IF(G2868="Saída",-I2868,I2868))</f>
        <v/>
      </c>
      <c r="L2868" t="str">
        <f>IF(E2868="","",IFERROR(VLOOKUP(E2868,Listas!$A$2:$C$1048576,3,FALSE),""))</f>
        <v/>
      </c>
    </row>
    <row r="2869" spans="10:12" x14ac:dyDescent="0.25">
      <c r="J2869" t="str">
        <f>IF(H2869="","",IFERROR(VLOOKUP(H2869,Listas!$J$2:$K$1048576,2,FALSE),""))</f>
        <v/>
      </c>
      <c r="K2869" s="5" t="str">
        <f>IF(OR(I2869="",G2869=""),"",IF(G2869="Saída",-I2869,I2869))</f>
        <v/>
      </c>
      <c r="L2869" t="str">
        <f>IF(E2869="","",IFERROR(VLOOKUP(E2869,Listas!$A$2:$C$1048576,3,FALSE),""))</f>
        <v/>
      </c>
    </row>
    <row r="2870" spans="10:12" x14ac:dyDescent="0.25">
      <c r="J2870" t="str">
        <f>IF(H2870="","",IFERROR(VLOOKUP(H2870,Listas!$J$2:$K$1048576,2,FALSE),""))</f>
        <v/>
      </c>
      <c r="K2870" s="5" t="str">
        <f>IF(OR(I2870="",G2870=""),"",IF(G2870="Saída",-I2870,I2870))</f>
        <v/>
      </c>
      <c r="L2870" t="str">
        <f>IF(E2870="","",IFERROR(VLOOKUP(E2870,Listas!$A$2:$C$1048576,3,FALSE),""))</f>
        <v/>
      </c>
    </row>
    <row r="2871" spans="10:12" x14ac:dyDescent="0.25">
      <c r="J2871" t="str">
        <f>IF(H2871="","",IFERROR(VLOOKUP(H2871,Listas!$J$2:$K$1048576,2,FALSE),""))</f>
        <v/>
      </c>
      <c r="K2871" s="5" t="str">
        <f>IF(OR(I2871="",G2871=""),"",IF(G2871="Saída",-I2871,I2871))</f>
        <v/>
      </c>
      <c r="L2871" t="str">
        <f>IF(E2871="","",IFERROR(VLOOKUP(E2871,Listas!$A$2:$C$1048576,3,FALSE),""))</f>
        <v/>
      </c>
    </row>
    <row r="2872" spans="10:12" x14ac:dyDescent="0.25">
      <c r="J2872" t="str">
        <f>IF(H2872="","",IFERROR(VLOOKUP(H2872,Listas!$J$2:$K$1048576,2,FALSE),""))</f>
        <v/>
      </c>
      <c r="K2872" s="5" t="str">
        <f>IF(OR(I2872="",G2872=""),"",IF(G2872="Saída",-I2872,I2872))</f>
        <v/>
      </c>
      <c r="L2872" t="str">
        <f>IF(E2872="","",IFERROR(VLOOKUP(E2872,Listas!$A$2:$C$1048576,3,FALSE),""))</f>
        <v/>
      </c>
    </row>
    <row r="2873" spans="10:12" x14ac:dyDescent="0.25">
      <c r="J2873" t="str">
        <f>IF(H2873="","",IFERROR(VLOOKUP(H2873,Listas!$J$2:$K$1048576,2,FALSE),""))</f>
        <v/>
      </c>
      <c r="K2873" s="5" t="str">
        <f>IF(OR(I2873="",G2873=""),"",IF(G2873="Saída",-I2873,I2873))</f>
        <v/>
      </c>
      <c r="L2873" t="str">
        <f>IF(E2873="","",IFERROR(VLOOKUP(E2873,Listas!$A$2:$C$1048576,3,FALSE),""))</f>
        <v/>
      </c>
    </row>
    <row r="2874" spans="10:12" x14ac:dyDescent="0.25">
      <c r="J2874" t="str">
        <f>IF(H2874="","",IFERROR(VLOOKUP(H2874,Listas!$J$2:$K$1048576,2,FALSE),""))</f>
        <v/>
      </c>
      <c r="K2874" s="5" t="str">
        <f>IF(OR(I2874="",G2874=""),"",IF(G2874="Saída",-I2874,I2874))</f>
        <v/>
      </c>
      <c r="L2874" t="str">
        <f>IF(E2874="","",IFERROR(VLOOKUP(E2874,Listas!$A$2:$C$1048576,3,FALSE),""))</f>
        <v/>
      </c>
    </row>
    <row r="2875" spans="10:12" x14ac:dyDescent="0.25">
      <c r="J2875" t="str">
        <f>IF(H2875="","",IFERROR(VLOOKUP(H2875,Listas!$J$2:$K$1048576,2,FALSE),""))</f>
        <v/>
      </c>
      <c r="K2875" s="5" t="str">
        <f>IF(OR(I2875="",G2875=""),"",IF(G2875="Saída",-I2875,I2875))</f>
        <v/>
      </c>
      <c r="L2875" t="str">
        <f>IF(E2875="","",IFERROR(VLOOKUP(E2875,Listas!$A$2:$C$1048576,3,FALSE),""))</f>
        <v/>
      </c>
    </row>
    <row r="2876" spans="10:12" x14ac:dyDescent="0.25">
      <c r="J2876" t="str">
        <f>IF(H2876="","",IFERROR(VLOOKUP(H2876,Listas!$J$2:$K$1048576,2,FALSE),""))</f>
        <v/>
      </c>
      <c r="K2876" s="5" t="str">
        <f>IF(OR(I2876="",G2876=""),"",IF(G2876="Saída",-I2876,I2876))</f>
        <v/>
      </c>
      <c r="L2876" t="str">
        <f>IF(E2876="","",IFERROR(VLOOKUP(E2876,Listas!$A$2:$C$1048576,3,FALSE),""))</f>
        <v/>
      </c>
    </row>
    <row r="2877" spans="10:12" x14ac:dyDescent="0.25">
      <c r="J2877" t="str">
        <f>IF(H2877="","",IFERROR(VLOOKUP(H2877,Listas!$J$2:$K$1048576,2,FALSE),""))</f>
        <v/>
      </c>
      <c r="K2877" s="5" t="str">
        <f>IF(OR(I2877="",G2877=""),"",IF(G2877="Saída",-I2877,I2877))</f>
        <v/>
      </c>
      <c r="L2877" t="str">
        <f>IF(E2877="","",IFERROR(VLOOKUP(E2877,Listas!$A$2:$C$1048576,3,FALSE),""))</f>
        <v/>
      </c>
    </row>
    <row r="2878" spans="10:12" x14ac:dyDescent="0.25">
      <c r="J2878" t="str">
        <f>IF(H2878="","",IFERROR(VLOOKUP(H2878,Listas!$J$2:$K$1048576,2,FALSE),""))</f>
        <v/>
      </c>
      <c r="K2878" s="5" t="str">
        <f>IF(OR(I2878="",G2878=""),"",IF(G2878="Saída",-I2878,I2878))</f>
        <v/>
      </c>
      <c r="L2878" t="str">
        <f>IF(E2878="","",IFERROR(VLOOKUP(E2878,Listas!$A$2:$C$1048576,3,FALSE),""))</f>
        <v/>
      </c>
    </row>
    <row r="2879" spans="10:12" x14ac:dyDescent="0.25">
      <c r="J2879" t="str">
        <f>IF(H2879="","",IFERROR(VLOOKUP(H2879,Listas!$J$2:$K$1048576,2,FALSE),""))</f>
        <v/>
      </c>
      <c r="K2879" s="5" t="str">
        <f>IF(OR(I2879="",G2879=""),"",IF(G2879="Saída",-I2879,I2879))</f>
        <v/>
      </c>
      <c r="L2879" t="str">
        <f>IF(E2879="","",IFERROR(VLOOKUP(E2879,Listas!$A$2:$C$1048576,3,FALSE),""))</f>
        <v/>
      </c>
    </row>
    <row r="2880" spans="10:12" x14ac:dyDescent="0.25">
      <c r="J2880" t="str">
        <f>IF(H2880="","",IFERROR(VLOOKUP(H2880,Listas!$J$2:$K$1048576,2,FALSE),""))</f>
        <v/>
      </c>
      <c r="K2880" s="5" t="str">
        <f>IF(OR(I2880="",G2880=""),"",IF(G2880="Saída",-I2880,I2880))</f>
        <v/>
      </c>
      <c r="L2880" t="str">
        <f>IF(E2880="","",IFERROR(VLOOKUP(E2880,Listas!$A$2:$C$1048576,3,FALSE),""))</f>
        <v/>
      </c>
    </row>
    <row r="2881" spans="10:12" x14ac:dyDescent="0.25">
      <c r="J2881" t="str">
        <f>IF(H2881="","",IFERROR(VLOOKUP(H2881,Listas!$J$2:$K$1048576,2,FALSE),""))</f>
        <v/>
      </c>
      <c r="K2881" s="5" t="str">
        <f>IF(OR(I2881="",G2881=""),"",IF(G2881="Saída",-I2881,I2881))</f>
        <v/>
      </c>
      <c r="L2881" t="str">
        <f>IF(E2881="","",IFERROR(VLOOKUP(E2881,Listas!$A$2:$C$1048576,3,FALSE),""))</f>
        <v/>
      </c>
    </row>
    <row r="2882" spans="10:12" x14ac:dyDescent="0.25">
      <c r="J2882" t="str">
        <f>IF(H2882="","",IFERROR(VLOOKUP(H2882,Listas!$J$2:$K$1048576,2,FALSE),""))</f>
        <v/>
      </c>
      <c r="K2882" s="5" t="str">
        <f>IF(OR(I2882="",G2882=""),"",IF(G2882="Saída",-I2882,I2882))</f>
        <v/>
      </c>
      <c r="L2882" t="str">
        <f>IF(E2882="","",IFERROR(VLOOKUP(E2882,Listas!$A$2:$C$1048576,3,FALSE),""))</f>
        <v/>
      </c>
    </row>
    <row r="2883" spans="10:12" x14ac:dyDescent="0.25">
      <c r="J2883" t="str">
        <f>IF(H2883="","",IFERROR(VLOOKUP(H2883,Listas!$J$2:$K$1048576,2,FALSE),""))</f>
        <v/>
      </c>
      <c r="K2883" s="5" t="str">
        <f>IF(OR(I2883="",G2883=""),"",IF(G2883="Saída",-I2883,I2883))</f>
        <v/>
      </c>
      <c r="L2883" t="str">
        <f>IF(E2883="","",IFERROR(VLOOKUP(E2883,Listas!$A$2:$C$1048576,3,FALSE),""))</f>
        <v/>
      </c>
    </row>
    <row r="2884" spans="10:12" x14ac:dyDescent="0.25">
      <c r="J2884" t="str">
        <f>IF(H2884="","",IFERROR(VLOOKUP(H2884,Listas!$J$2:$K$1048576,2,FALSE),""))</f>
        <v/>
      </c>
      <c r="K2884" s="5" t="str">
        <f>IF(OR(I2884="",G2884=""),"",IF(G2884="Saída",-I2884,I2884))</f>
        <v/>
      </c>
      <c r="L2884" t="str">
        <f>IF(E2884="","",IFERROR(VLOOKUP(E2884,Listas!$A$2:$C$1048576,3,FALSE),""))</f>
        <v/>
      </c>
    </row>
    <row r="2885" spans="10:12" x14ac:dyDescent="0.25">
      <c r="J2885" t="str">
        <f>IF(H2885="","",IFERROR(VLOOKUP(H2885,Listas!$J$2:$K$1048576,2,FALSE),""))</f>
        <v/>
      </c>
      <c r="K2885" s="5" t="str">
        <f>IF(OR(I2885="",G2885=""),"",IF(G2885="Saída",-I2885,I2885))</f>
        <v/>
      </c>
      <c r="L2885" t="str">
        <f>IF(E2885="","",IFERROR(VLOOKUP(E2885,Listas!$A$2:$C$1048576,3,FALSE),""))</f>
        <v/>
      </c>
    </row>
    <row r="2886" spans="10:12" x14ac:dyDescent="0.25">
      <c r="J2886" t="str">
        <f>IF(H2886="","",IFERROR(VLOOKUP(H2886,Listas!$J$2:$K$1048576,2,FALSE),""))</f>
        <v/>
      </c>
      <c r="K2886" s="5" t="str">
        <f>IF(OR(I2886="",G2886=""),"",IF(G2886="Saída",-I2886,I2886))</f>
        <v/>
      </c>
      <c r="L2886" t="str">
        <f>IF(E2886="","",IFERROR(VLOOKUP(E2886,Listas!$A$2:$C$1048576,3,FALSE),""))</f>
        <v/>
      </c>
    </row>
    <row r="2887" spans="10:12" x14ac:dyDescent="0.25">
      <c r="J2887" t="str">
        <f>IF(H2887="","",IFERROR(VLOOKUP(H2887,Listas!$J$2:$K$1048576,2,FALSE),""))</f>
        <v/>
      </c>
      <c r="K2887" s="5" t="str">
        <f>IF(OR(I2887="",G2887=""),"",IF(G2887="Saída",-I2887,I2887))</f>
        <v/>
      </c>
      <c r="L2887" t="str">
        <f>IF(E2887="","",IFERROR(VLOOKUP(E2887,Listas!$A$2:$C$1048576,3,FALSE),""))</f>
        <v/>
      </c>
    </row>
    <row r="2888" spans="10:12" x14ac:dyDescent="0.25">
      <c r="J2888" t="str">
        <f>IF(H2888="","",IFERROR(VLOOKUP(H2888,Listas!$J$2:$K$1048576,2,FALSE),""))</f>
        <v/>
      </c>
      <c r="K2888" s="5" t="str">
        <f>IF(OR(I2888="",G2888=""),"",IF(G2888="Saída",-I2888,I2888))</f>
        <v/>
      </c>
      <c r="L2888" t="str">
        <f>IF(E2888="","",IFERROR(VLOOKUP(E2888,Listas!$A$2:$C$1048576,3,FALSE),""))</f>
        <v/>
      </c>
    </row>
    <row r="2889" spans="10:12" x14ac:dyDescent="0.25">
      <c r="J2889" t="str">
        <f>IF(H2889="","",IFERROR(VLOOKUP(H2889,Listas!$J$2:$K$1048576,2,FALSE),""))</f>
        <v/>
      </c>
      <c r="K2889" s="5" t="str">
        <f>IF(OR(I2889="",G2889=""),"",IF(G2889="Saída",-I2889,I2889))</f>
        <v/>
      </c>
      <c r="L2889" t="str">
        <f>IF(E2889="","",IFERROR(VLOOKUP(E2889,Listas!$A$2:$C$1048576,3,FALSE),""))</f>
        <v/>
      </c>
    </row>
    <row r="2890" spans="10:12" x14ac:dyDescent="0.25">
      <c r="J2890" t="str">
        <f>IF(H2890="","",IFERROR(VLOOKUP(H2890,Listas!$J$2:$K$1048576,2,FALSE),""))</f>
        <v/>
      </c>
      <c r="K2890" s="5" t="str">
        <f>IF(OR(I2890="",G2890=""),"",IF(G2890="Saída",-I2890,I2890))</f>
        <v/>
      </c>
      <c r="L2890" t="str">
        <f>IF(E2890="","",IFERROR(VLOOKUP(E2890,Listas!$A$2:$C$1048576,3,FALSE),""))</f>
        <v/>
      </c>
    </row>
    <row r="2891" spans="10:12" x14ac:dyDescent="0.25">
      <c r="J2891" t="str">
        <f>IF(H2891="","",IFERROR(VLOOKUP(H2891,Listas!$J$2:$K$1048576,2,FALSE),""))</f>
        <v/>
      </c>
      <c r="K2891" s="5" t="str">
        <f>IF(OR(I2891="",G2891=""),"",IF(G2891="Saída",-I2891,I2891))</f>
        <v/>
      </c>
      <c r="L2891" t="str">
        <f>IF(E2891="","",IFERROR(VLOOKUP(E2891,Listas!$A$2:$C$1048576,3,FALSE),""))</f>
        <v/>
      </c>
    </row>
    <row r="2892" spans="10:12" x14ac:dyDescent="0.25">
      <c r="J2892" t="str">
        <f>IF(H2892="","",IFERROR(VLOOKUP(H2892,Listas!$J$2:$K$1048576,2,FALSE),""))</f>
        <v/>
      </c>
      <c r="K2892" s="5" t="str">
        <f>IF(OR(I2892="",G2892=""),"",IF(G2892="Saída",-I2892,I2892))</f>
        <v/>
      </c>
      <c r="L2892" t="str">
        <f>IF(E2892="","",IFERROR(VLOOKUP(E2892,Listas!$A$2:$C$1048576,3,FALSE),""))</f>
        <v/>
      </c>
    </row>
    <row r="2893" spans="10:12" x14ac:dyDescent="0.25">
      <c r="J2893" t="str">
        <f>IF(H2893="","",IFERROR(VLOOKUP(H2893,Listas!$J$2:$K$1048576,2,FALSE),""))</f>
        <v/>
      </c>
      <c r="K2893" s="5" t="str">
        <f>IF(OR(I2893="",G2893=""),"",IF(G2893="Saída",-I2893,I2893))</f>
        <v/>
      </c>
      <c r="L2893" t="str">
        <f>IF(E2893="","",IFERROR(VLOOKUP(E2893,Listas!$A$2:$C$1048576,3,FALSE),""))</f>
        <v/>
      </c>
    </row>
    <row r="2894" spans="10:12" x14ac:dyDescent="0.25">
      <c r="J2894" t="str">
        <f>IF(H2894="","",IFERROR(VLOOKUP(H2894,Listas!$J$2:$K$1048576,2,FALSE),""))</f>
        <v/>
      </c>
      <c r="K2894" s="5" t="str">
        <f>IF(OR(I2894="",G2894=""),"",IF(G2894="Saída",-I2894,I2894))</f>
        <v/>
      </c>
      <c r="L2894" t="str">
        <f>IF(E2894="","",IFERROR(VLOOKUP(E2894,Listas!$A$2:$C$1048576,3,FALSE),""))</f>
        <v/>
      </c>
    </row>
    <row r="2895" spans="10:12" x14ac:dyDescent="0.25">
      <c r="J2895" t="str">
        <f>IF(H2895="","",IFERROR(VLOOKUP(H2895,Listas!$J$2:$K$1048576,2,FALSE),""))</f>
        <v/>
      </c>
      <c r="K2895" s="5" t="str">
        <f>IF(OR(I2895="",G2895=""),"",IF(G2895="Saída",-I2895,I2895))</f>
        <v/>
      </c>
      <c r="L2895" t="str">
        <f>IF(E2895="","",IFERROR(VLOOKUP(E2895,Listas!$A$2:$C$1048576,3,FALSE),""))</f>
        <v/>
      </c>
    </row>
    <row r="2896" spans="10:12" x14ac:dyDescent="0.25">
      <c r="J2896" t="str">
        <f>IF(H2896="","",IFERROR(VLOOKUP(H2896,Listas!$J$2:$K$1048576,2,FALSE),""))</f>
        <v/>
      </c>
      <c r="K2896" s="5" t="str">
        <f>IF(OR(I2896="",G2896=""),"",IF(G2896="Saída",-I2896,I2896))</f>
        <v/>
      </c>
      <c r="L2896" t="str">
        <f>IF(E2896="","",IFERROR(VLOOKUP(E2896,Listas!$A$2:$C$1048576,3,FALSE),""))</f>
        <v/>
      </c>
    </row>
    <row r="2897" spans="10:12" x14ac:dyDescent="0.25">
      <c r="J2897" t="str">
        <f>IF(H2897="","",IFERROR(VLOOKUP(H2897,Listas!$J$2:$K$1048576,2,FALSE),""))</f>
        <v/>
      </c>
      <c r="K2897" s="5" t="str">
        <f>IF(OR(I2897="",G2897=""),"",IF(G2897="Saída",-I2897,I2897))</f>
        <v/>
      </c>
      <c r="L2897" t="str">
        <f>IF(E2897="","",IFERROR(VLOOKUP(E2897,Listas!$A$2:$C$1048576,3,FALSE),""))</f>
        <v/>
      </c>
    </row>
    <row r="2898" spans="10:12" x14ac:dyDescent="0.25">
      <c r="J2898" t="str">
        <f>IF(H2898="","",IFERROR(VLOOKUP(H2898,Listas!$J$2:$K$1048576,2,FALSE),""))</f>
        <v/>
      </c>
      <c r="K2898" s="5" t="str">
        <f>IF(OR(I2898="",G2898=""),"",IF(G2898="Saída",-I2898,I2898))</f>
        <v/>
      </c>
      <c r="L2898" t="str">
        <f>IF(E2898="","",IFERROR(VLOOKUP(E2898,Listas!$A$2:$C$1048576,3,FALSE),""))</f>
        <v/>
      </c>
    </row>
    <row r="2899" spans="10:12" x14ac:dyDescent="0.25">
      <c r="J2899" t="str">
        <f>IF(H2899="","",IFERROR(VLOOKUP(H2899,Listas!$J$2:$K$1048576,2,FALSE),""))</f>
        <v/>
      </c>
      <c r="K2899" s="5" t="str">
        <f>IF(OR(I2899="",G2899=""),"",IF(G2899="Saída",-I2899,I2899))</f>
        <v/>
      </c>
      <c r="L2899" t="str">
        <f>IF(E2899="","",IFERROR(VLOOKUP(E2899,Listas!$A$2:$C$1048576,3,FALSE),""))</f>
        <v/>
      </c>
    </row>
    <row r="2900" spans="10:12" x14ac:dyDescent="0.25">
      <c r="J2900" t="str">
        <f>IF(H2900="","",IFERROR(VLOOKUP(H2900,Listas!$J$2:$K$1048576,2,FALSE),""))</f>
        <v/>
      </c>
      <c r="K2900" s="5" t="str">
        <f>IF(OR(I2900="",G2900=""),"",IF(G2900="Saída",-I2900,I2900))</f>
        <v/>
      </c>
      <c r="L2900" t="str">
        <f>IF(E2900="","",IFERROR(VLOOKUP(E2900,Listas!$A$2:$C$1048576,3,FALSE),""))</f>
        <v/>
      </c>
    </row>
    <row r="2901" spans="10:12" x14ac:dyDescent="0.25">
      <c r="J2901" t="str">
        <f>IF(H2901="","",IFERROR(VLOOKUP(H2901,Listas!$J$2:$K$1048576,2,FALSE),""))</f>
        <v/>
      </c>
      <c r="K2901" s="5" t="str">
        <f>IF(OR(I2901="",G2901=""),"",IF(G2901="Saída",-I2901,I2901))</f>
        <v/>
      </c>
      <c r="L2901" t="str">
        <f>IF(E2901="","",IFERROR(VLOOKUP(E2901,Listas!$A$2:$C$1048576,3,FALSE),""))</f>
        <v/>
      </c>
    </row>
    <row r="2902" spans="10:12" x14ac:dyDescent="0.25">
      <c r="J2902" t="str">
        <f>IF(H2902="","",IFERROR(VLOOKUP(H2902,Listas!$J$2:$K$1048576,2,FALSE),""))</f>
        <v/>
      </c>
      <c r="K2902" s="5" t="str">
        <f>IF(OR(I2902="",G2902=""),"",IF(G2902="Saída",-I2902,I2902))</f>
        <v/>
      </c>
      <c r="L2902" t="str">
        <f>IF(E2902="","",IFERROR(VLOOKUP(E2902,Listas!$A$2:$C$1048576,3,FALSE),""))</f>
        <v/>
      </c>
    </row>
    <row r="2903" spans="10:12" x14ac:dyDescent="0.25">
      <c r="J2903" t="str">
        <f>IF(H2903="","",IFERROR(VLOOKUP(H2903,Listas!$J$2:$K$1048576,2,FALSE),""))</f>
        <v/>
      </c>
      <c r="K2903" s="5" t="str">
        <f>IF(OR(I2903="",G2903=""),"",IF(G2903="Saída",-I2903,I2903))</f>
        <v/>
      </c>
      <c r="L2903" t="str">
        <f>IF(E2903="","",IFERROR(VLOOKUP(E2903,Listas!$A$2:$C$1048576,3,FALSE),""))</f>
        <v/>
      </c>
    </row>
    <row r="2904" spans="10:12" x14ac:dyDescent="0.25">
      <c r="J2904" t="str">
        <f>IF(H2904="","",IFERROR(VLOOKUP(H2904,Listas!$J$2:$K$1048576,2,FALSE),""))</f>
        <v/>
      </c>
      <c r="K2904" s="5" t="str">
        <f>IF(OR(I2904="",G2904=""),"",IF(G2904="Saída",-I2904,I2904))</f>
        <v/>
      </c>
      <c r="L2904" t="str">
        <f>IF(E2904="","",IFERROR(VLOOKUP(E2904,Listas!$A$2:$C$1048576,3,FALSE),""))</f>
        <v/>
      </c>
    </row>
    <row r="2905" spans="10:12" x14ac:dyDescent="0.25">
      <c r="J2905" t="str">
        <f>IF(H2905="","",IFERROR(VLOOKUP(H2905,Listas!$J$2:$K$1048576,2,FALSE),""))</f>
        <v/>
      </c>
      <c r="K2905" s="5" t="str">
        <f>IF(OR(I2905="",G2905=""),"",IF(G2905="Saída",-I2905,I2905))</f>
        <v/>
      </c>
      <c r="L2905" t="str">
        <f>IF(E2905="","",IFERROR(VLOOKUP(E2905,Listas!$A$2:$C$1048576,3,FALSE),""))</f>
        <v/>
      </c>
    </row>
    <row r="2906" spans="10:12" x14ac:dyDescent="0.25">
      <c r="J2906" t="str">
        <f>IF(H2906="","",IFERROR(VLOOKUP(H2906,Listas!$J$2:$K$1048576,2,FALSE),""))</f>
        <v/>
      </c>
      <c r="K2906" s="5" t="str">
        <f>IF(OR(I2906="",G2906=""),"",IF(G2906="Saída",-I2906,I2906))</f>
        <v/>
      </c>
      <c r="L2906" t="str">
        <f>IF(E2906="","",IFERROR(VLOOKUP(E2906,Listas!$A$2:$C$1048576,3,FALSE),""))</f>
        <v/>
      </c>
    </row>
    <row r="2907" spans="10:12" x14ac:dyDescent="0.25">
      <c r="J2907" t="str">
        <f>IF(H2907="","",IFERROR(VLOOKUP(H2907,Listas!$J$2:$K$1048576,2,FALSE),""))</f>
        <v/>
      </c>
      <c r="K2907" s="5" t="str">
        <f>IF(OR(I2907="",G2907=""),"",IF(G2907="Saída",-I2907,I2907))</f>
        <v/>
      </c>
      <c r="L2907" t="str">
        <f>IF(E2907="","",IFERROR(VLOOKUP(E2907,Listas!$A$2:$C$1048576,3,FALSE),""))</f>
        <v/>
      </c>
    </row>
    <row r="2908" spans="10:12" x14ac:dyDescent="0.25">
      <c r="J2908" t="str">
        <f>IF(H2908="","",IFERROR(VLOOKUP(H2908,Listas!$J$2:$K$1048576,2,FALSE),""))</f>
        <v/>
      </c>
      <c r="K2908" s="5" t="str">
        <f>IF(OR(I2908="",G2908=""),"",IF(G2908="Saída",-I2908,I2908))</f>
        <v/>
      </c>
      <c r="L2908" t="str">
        <f>IF(E2908="","",IFERROR(VLOOKUP(E2908,Listas!$A$2:$C$1048576,3,FALSE),""))</f>
        <v/>
      </c>
    </row>
    <row r="2909" spans="10:12" x14ac:dyDescent="0.25">
      <c r="J2909" t="str">
        <f>IF(H2909="","",IFERROR(VLOOKUP(H2909,Listas!$J$2:$K$1048576,2,FALSE),""))</f>
        <v/>
      </c>
      <c r="K2909" s="5" t="str">
        <f>IF(OR(I2909="",G2909=""),"",IF(G2909="Saída",-I2909,I2909))</f>
        <v/>
      </c>
      <c r="L2909" t="str">
        <f>IF(E2909="","",IFERROR(VLOOKUP(E2909,Listas!$A$2:$C$1048576,3,FALSE),""))</f>
        <v/>
      </c>
    </row>
    <row r="2910" spans="10:12" x14ac:dyDescent="0.25">
      <c r="J2910" t="str">
        <f>IF(H2910="","",IFERROR(VLOOKUP(H2910,Listas!$J$2:$K$1048576,2,FALSE),""))</f>
        <v/>
      </c>
      <c r="K2910" s="5" t="str">
        <f>IF(OR(I2910="",G2910=""),"",IF(G2910="Saída",-I2910,I2910))</f>
        <v/>
      </c>
      <c r="L2910" t="str">
        <f>IF(E2910="","",IFERROR(VLOOKUP(E2910,Listas!$A$2:$C$1048576,3,FALSE),""))</f>
        <v/>
      </c>
    </row>
    <row r="2911" spans="10:12" x14ac:dyDescent="0.25">
      <c r="J2911" t="str">
        <f>IF(H2911="","",IFERROR(VLOOKUP(H2911,Listas!$J$2:$K$1048576,2,FALSE),""))</f>
        <v/>
      </c>
      <c r="K2911" s="5" t="str">
        <f>IF(OR(I2911="",G2911=""),"",IF(G2911="Saída",-I2911,I2911))</f>
        <v/>
      </c>
      <c r="L2911" t="str">
        <f>IF(E2911="","",IFERROR(VLOOKUP(E2911,Listas!$A$2:$C$1048576,3,FALSE),""))</f>
        <v/>
      </c>
    </row>
    <row r="2912" spans="10:12" x14ac:dyDescent="0.25">
      <c r="J2912" t="str">
        <f>IF(H2912="","",IFERROR(VLOOKUP(H2912,Listas!$J$2:$K$1048576,2,FALSE),""))</f>
        <v/>
      </c>
      <c r="K2912" s="5" t="str">
        <f>IF(OR(I2912="",G2912=""),"",IF(G2912="Saída",-I2912,I2912))</f>
        <v/>
      </c>
      <c r="L2912" t="str">
        <f>IF(E2912="","",IFERROR(VLOOKUP(E2912,Listas!$A$2:$C$1048576,3,FALSE),""))</f>
        <v/>
      </c>
    </row>
    <row r="2913" spans="10:12" x14ac:dyDescent="0.25">
      <c r="J2913" t="str">
        <f>IF(H2913="","",IFERROR(VLOOKUP(H2913,Listas!$J$2:$K$1048576,2,FALSE),""))</f>
        <v/>
      </c>
      <c r="K2913" s="5" t="str">
        <f>IF(OR(I2913="",G2913=""),"",IF(G2913="Saída",-I2913,I2913))</f>
        <v/>
      </c>
      <c r="L2913" t="str">
        <f>IF(E2913="","",IFERROR(VLOOKUP(E2913,Listas!$A$2:$C$1048576,3,FALSE),""))</f>
        <v/>
      </c>
    </row>
    <row r="2914" spans="10:12" x14ac:dyDescent="0.25">
      <c r="J2914" t="str">
        <f>IF(H2914="","",IFERROR(VLOOKUP(H2914,Listas!$J$2:$K$1048576,2,FALSE),""))</f>
        <v/>
      </c>
      <c r="K2914" s="5" t="str">
        <f>IF(OR(I2914="",G2914=""),"",IF(G2914="Saída",-I2914,I2914))</f>
        <v/>
      </c>
      <c r="L2914" t="str">
        <f>IF(E2914="","",IFERROR(VLOOKUP(E2914,Listas!$A$2:$C$1048576,3,FALSE),""))</f>
        <v/>
      </c>
    </row>
    <row r="2915" spans="10:12" x14ac:dyDescent="0.25">
      <c r="J2915" t="str">
        <f>IF(H2915="","",IFERROR(VLOOKUP(H2915,Listas!$J$2:$K$1048576,2,FALSE),""))</f>
        <v/>
      </c>
      <c r="K2915" s="5" t="str">
        <f>IF(OR(I2915="",G2915=""),"",IF(G2915="Saída",-I2915,I2915))</f>
        <v/>
      </c>
      <c r="L2915" t="str">
        <f>IF(E2915="","",IFERROR(VLOOKUP(E2915,Listas!$A$2:$C$1048576,3,FALSE),""))</f>
        <v/>
      </c>
    </row>
    <row r="2916" spans="10:12" x14ac:dyDescent="0.25">
      <c r="J2916" t="str">
        <f>IF(H2916="","",IFERROR(VLOOKUP(H2916,Listas!$J$2:$K$1048576,2,FALSE),""))</f>
        <v/>
      </c>
      <c r="K2916" s="5" t="str">
        <f>IF(OR(I2916="",G2916=""),"",IF(G2916="Saída",-I2916,I2916))</f>
        <v/>
      </c>
      <c r="L2916" t="str">
        <f>IF(E2916="","",IFERROR(VLOOKUP(E2916,Listas!$A$2:$C$1048576,3,FALSE),""))</f>
        <v/>
      </c>
    </row>
    <row r="2917" spans="10:12" x14ac:dyDescent="0.25">
      <c r="J2917" t="str">
        <f>IF(H2917="","",IFERROR(VLOOKUP(H2917,Listas!$J$2:$K$1048576,2,FALSE),""))</f>
        <v/>
      </c>
      <c r="K2917" s="5" t="str">
        <f>IF(OR(I2917="",G2917=""),"",IF(G2917="Saída",-I2917,I2917))</f>
        <v/>
      </c>
      <c r="L2917" t="str">
        <f>IF(E2917="","",IFERROR(VLOOKUP(E2917,Listas!$A$2:$C$1048576,3,FALSE),""))</f>
        <v/>
      </c>
    </row>
    <row r="2918" spans="10:12" x14ac:dyDescent="0.25">
      <c r="J2918" t="str">
        <f>IF(H2918="","",IFERROR(VLOOKUP(H2918,Listas!$J$2:$K$1048576,2,FALSE),""))</f>
        <v/>
      </c>
      <c r="K2918" s="5" t="str">
        <f>IF(OR(I2918="",G2918=""),"",IF(G2918="Saída",-I2918,I2918))</f>
        <v/>
      </c>
      <c r="L2918" t="str">
        <f>IF(E2918="","",IFERROR(VLOOKUP(E2918,Listas!$A$2:$C$1048576,3,FALSE),""))</f>
        <v/>
      </c>
    </row>
    <row r="2919" spans="10:12" x14ac:dyDescent="0.25">
      <c r="J2919" t="str">
        <f>IF(H2919="","",IFERROR(VLOOKUP(H2919,Listas!$J$2:$K$1048576,2,FALSE),""))</f>
        <v/>
      </c>
      <c r="K2919" s="5" t="str">
        <f>IF(OR(I2919="",G2919=""),"",IF(G2919="Saída",-I2919,I2919))</f>
        <v/>
      </c>
      <c r="L2919" t="str">
        <f>IF(E2919="","",IFERROR(VLOOKUP(E2919,Listas!$A$2:$C$1048576,3,FALSE),""))</f>
        <v/>
      </c>
    </row>
    <row r="2920" spans="10:12" x14ac:dyDescent="0.25">
      <c r="J2920" t="str">
        <f>IF(H2920="","",IFERROR(VLOOKUP(H2920,Listas!$J$2:$K$1048576,2,FALSE),""))</f>
        <v/>
      </c>
      <c r="K2920" s="5" t="str">
        <f>IF(OR(I2920="",G2920=""),"",IF(G2920="Saída",-I2920,I2920))</f>
        <v/>
      </c>
      <c r="L2920" t="str">
        <f>IF(E2920="","",IFERROR(VLOOKUP(E2920,Listas!$A$2:$C$1048576,3,FALSE),""))</f>
        <v/>
      </c>
    </row>
    <row r="2921" spans="10:12" x14ac:dyDescent="0.25">
      <c r="J2921" t="str">
        <f>IF(H2921="","",IFERROR(VLOOKUP(H2921,Listas!$J$2:$K$1048576,2,FALSE),""))</f>
        <v/>
      </c>
      <c r="K2921" s="5" t="str">
        <f>IF(OR(I2921="",G2921=""),"",IF(G2921="Saída",-I2921,I2921))</f>
        <v/>
      </c>
      <c r="L2921" t="str">
        <f>IF(E2921="","",IFERROR(VLOOKUP(E2921,Listas!$A$2:$C$1048576,3,FALSE),""))</f>
        <v/>
      </c>
    </row>
    <row r="2922" spans="10:12" x14ac:dyDescent="0.25">
      <c r="J2922" t="str">
        <f>IF(H2922="","",IFERROR(VLOOKUP(H2922,Listas!$J$2:$K$1048576,2,FALSE),""))</f>
        <v/>
      </c>
      <c r="K2922" s="5" t="str">
        <f>IF(OR(I2922="",G2922=""),"",IF(G2922="Saída",-I2922,I2922))</f>
        <v/>
      </c>
      <c r="L2922" t="str">
        <f>IF(E2922="","",IFERROR(VLOOKUP(E2922,Listas!$A$2:$C$1048576,3,FALSE),""))</f>
        <v/>
      </c>
    </row>
    <row r="2923" spans="10:12" x14ac:dyDescent="0.25">
      <c r="J2923" t="str">
        <f>IF(H2923="","",IFERROR(VLOOKUP(H2923,Listas!$J$2:$K$1048576,2,FALSE),""))</f>
        <v/>
      </c>
      <c r="K2923" s="5" t="str">
        <f>IF(OR(I2923="",G2923=""),"",IF(G2923="Saída",-I2923,I2923))</f>
        <v/>
      </c>
      <c r="L2923" t="str">
        <f>IF(E2923="","",IFERROR(VLOOKUP(E2923,Listas!$A$2:$C$1048576,3,FALSE),""))</f>
        <v/>
      </c>
    </row>
    <row r="2924" spans="10:12" x14ac:dyDescent="0.25">
      <c r="J2924" t="str">
        <f>IF(H2924="","",IFERROR(VLOOKUP(H2924,Listas!$J$2:$K$1048576,2,FALSE),""))</f>
        <v/>
      </c>
      <c r="K2924" s="5" t="str">
        <f>IF(OR(I2924="",G2924=""),"",IF(G2924="Saída",-I2924,I2924))</f>
        <v/>
      </c>
      <c r="L2924" t="str">
        <f>IF(E2924="","",IFERROR(VLOOKUP(E2924,Listas!$A$2:$C$1048576,3,FALSE),""))</f>
        <v/>
      </c>
    </row>
    <row r="2925" spans="10:12" x14ac:dyDescent="0.25">
      <c r="J2925" t="str">
        <f>IF(H2925="","",IFERROR(VLOOKUP(H2925,Listas!$J$2:$K$1048576,2,FALSE),""))</f>
        <v/>
      </c>
      <c r="K2925" s="5" t="str">
        <f>IF(OR(I2925="",G2925=""),"",IF(G2925="Saída",-I2925,I2925))</f>
        <v/>
      </c>
      <c r="L2925" t="str">
        <f>IF(E2925="","",IFERROR(VLOOKUP(E2925,Listas!$A$2:$C$1048576,3,FALSE),""))</f>
        <v/>
      </c>
    </row>
    <row r="2926" spans="10:12" x14ac:dyDescent="0.25">
      <c r="J2926" t="str">
        <f>IF(H2926="","",IFERROR(VLOOKUP(H2926,Listas!$J$2:$K$1048576,2,FALSE),""))</f>
        <v/>
      </c>
      <c r="K2926" s="5" t="str">
        <f>IF(OR(I2926="",G2926=""),"",IF(G2926="Saída",-I2926,I2926))</f>
        <v/>
      </c>
      <c r="L2926" t="str">
        <f>IF(E2926="","",IFERROR(VLOOKUP(E2926,Listas!$A$2:$C$1048576,3,FALSE),""))</f>
        <v/>
      </c>
    </row>
    <row r="2927" spans="10:12" x14ac:dyDescent="0.25">
      <c r="J2927" t="str">
        <f>IF(H2927="","",IFERROR(VLOOKUP(H2927,Listas!$J$2:$K$1048576,2,FALSE),""))</f>
        <v/>
      </c>
      <c r="K2927" s="5" t="str">
        <f>IF(OR(I2927="",G2927=""),"",IF(G2927="Saída",-I2927,I2927))</f>
        <v/>
      </c>
      <c r="L2927" t="str">
        <f>IF(E2927="","",IFERROR(VLOOKUP(E2927,Listas!$A$2:$C$1048576,3,FALSE),""))</f>
        <v/>
      </c>
    </row>
    <row r="2928" spans="10:12" x14ac:dyDescent="0.25">
      <c r="J2928" t="str">
        <f>IF(H2928="","",IFERROR(VLOOKUP(H2928,Listas!$J$2:$K$1048576,2,FALSE),""))</f>
        <v/>
      </c>
      <c r="K2928" s="5" t="str">
        <f>IF(OR(I2928="",G2928=""),"",IF(G2928="Saída",-I2928,I2928))</f>
        <v/>
      </c>
      <c r="L2928" t="str">
        <f>IF(E2928="","",IFERROR(VLOOKUP(E2928,Listas!$A$2:$C$1048576,3,FALSE),""))</f>
        <v/>
      </c>
    </row>
    <row r="2929" spans="10:12" x14ac:dyDescent="0.25">
      <c r="J2929" t="str">
        <f>IF(H2929="","",IFERROR(VLOOKUP(H2929,Listas!$J$2:$K$1048576,2,FALSE),""))</f>
        <v/>
      </c>
      <c r="K2929" s="5" t="str">
        <f>IF(OR(I2929="",G2929=""),"",IF(G2929="Saída",-I2929,I2929))</f>
        <v/>
      </c>
      <c r="L2929" t="str">
        <f>IF(E2929="","",IFERROR(VLOOKUP(E2929,Listas!$A$2:$C$1048576,3,FALSE),""))</f>
        <v/>
      </c>
    </row>
    <row r="2930" spans="10:12" x14ac:dyDescent="0.25">
      <c r="J2930" t="str">
        <f>IF(H2930="","",IFERROR(VLOOKUP(H2930,Listas!$J$2:$K$1048576,2,FALSE),""))</f>
        <v/>
      </c>
      <c r="K2930" s="5" t="str">
        <f>IF(OR(I2930="",G2930=""),"",IF(G2930="Saída",-I2930,I2930))</f>
        <v/>
      </c>
      <c r="L2930" t="str">
        <f>IF(E2930="","",IFERROR(VLOOKUP(E2930,Listas!$A$2:$C$1048576,3,FALSE),""))</f>
        <v/>
      </c>
    </row>
    <row r="2931" spans="10:12" x14ac:dyDescent="0.25">
      <c r="J2931" t="str">
        <f>IF(H2931="","",IFERROR(VLOOKUP(H2931,Listas!$J$2:$K$1048576,2,FALSE),""))</f>
        <v/>
      </c>
      <c r="K2931" s="5" t="str">
        <f>IF(OR(I2931="",G2931=""),"",IF(G2931="Saída",-I2931,I2931))</f>
        <v/>
      </c>
      <c r="L2931" t="str">
        <f>IF(E2931="","",IFERROR(VLOOKUP(E2931,Listas!$A$2:$C$1048576,3,FALSE),""))</f>
        <v/>
      </c>
    </row>
    <row r="2932" spans="10:12" x14ac:dyDescent="0.25">
      <c r="J2932" t="str">
        <f>IF(H2932="","",IFERROR(VLOOKUP(H2932,Listas!$J$2:$K$1048576,2,FALSE),""))</f>
        <v/>
      </c>
      <c r="K2932" s="5" t="str">
        <f>IF(OR(I2932="",G2932=""),"",IF(G2932="Saída",-I2932,I2932))</f>
        <v/>
      </c>
      <c r="L2932" t="str">
        <f>IF(E2932="","",IFERROR(VLOOKUP(E2932,Listas!$A$2:$C$1048576,3,FALSE),""))</f>
        <v/>
      </c>
    </row>
    <row r="2933" spans="10:12" x14ac:dyDescent="0.25">
      <c r="J2933" t="str">
        <f>IF(H2933="","",IFERROR(VLOOKUP(H2933,Listas!$J$2:$K$1048576,2,FALSE),""))</f>
        <v/>
      </c>
      <c r="K2933" s="5" t="str">
        <f>IF(OR(I2933="",G2933=""),"",IF(G2933="Saída",-I2933,I2933))</f>
        <v/>
      </c>
      <c r="L2933" t="str">
        <f>IF(E2933="","",IFERROR(VLOOKUP(E2933,Listas!$A$2:$C$1048576,3,FALSE),""))</f>
        <v/>
      </c>
    </row>
    <row r="2934" spans="10:12" x14ac:dyDescent="0.25">
      <c r="J2934" t="str">
        <f>IF(H2934="","",IFERROR(VLOOKUP(H2934,Listas!$J$2:$K$1048576,2,FALSE),""))</f>
        <v/>
      </c>
      <c r="K2934" s="5" t="str">
        <f>IF(OR(I2934="",G2934=""),"",IF(G2934="Saída",-I2934,I2934))</f>
        <v/>
      </c>
      <c r="L2934" t="str">
        <f>IF(E2934="","",IFERROR(VLOOKUP(E2934,Listas!$A$2:$C$1048576,3,FALSE),""))</f>
        <v/>
      </c>
    </row>
    <row r="2935" spans="10:12" x14ac:dyDescent="0.25">
      <c r="J2935" t="str">
        <f>IF(H2935="","",IFERROR(VLOOKUP(H2935,Listas!$J$2:$K$1048576,2,FALSE),""))</f>
        <v/>
      </c>
      <c r="K2935" s="5" t="str">
        <f>IF(OR(I2935="",G2935=""),"",IF(G2935="Saída",-I2935,I2935))</f>
        <v/>
      </c>
      <c r="L2935" t="str">
        <f>IF(E2935="","",IFERROR(VLOOKUP(E2935,Listas!$A$2:$C$1048576,3,FALSE),""))</f>
        <v/>
      </c>
    </row>
    <row r="2936" spans="10:12" x14ac:dyDescent="0.25">
      <c r="J2936" t="str">
        <f>IF(H2936="","",IFERROR(VLOOKUP(H2936,Listas!$J$2:$K$1048576,2,FALSE),""))</f>
        <v/>
      </c>
      <c r="K2936" s="5" t="str">
        <f>IF(OR(I2936="",G2936=""),"",IF(G2936="Saída",-I2936,I2936))</f>
        <v/>
      </c>
      <c r="L2936" t="str">
        <f>IF(E2936="","",IFERROR(VLOOKUP(E2936,Listas!$A$2:$C$1048576,3,FALSE),""))</f>
        <v/>
      </c>
    </row>
    <row r="2937" spans="10:12" x14ac:dyDescent="0.25">
      <c r="J2937" t="str">
        <f>IF(H2937="","",IFERROR(VLOOKUP(H2937,Listas!$J$2:$K$1048576,2,FALSE),""))</f>
        <v/>
      </c>
      <c r="K2937" s="5" t="str">
        <f>IF(OR(I2937="",G2937=""),"",IF(G2937="Saída",-I2937,I2937))</f>
        <v/>
      </c>
      <c r="L2937" t="str">
        <f>IF(E2937="","",IFERROR(VLOOKUP(E2937,Listas!$A$2:$C$1048576,3,FALSE),""))</f>
        <v/>
      </c>
    </row>
    <row r="2938" spans="10:12" x14ac:dyDescent="0.25">
      <c r="J2938" t="str">
        <f>IF(H2938="","",IFERROR(VLOOKUP(H2938,Listas!$J$2:$K$1048576,2,FALSE),""))</f>
        <v/>
      </c>
      <c r="K2938" s="5" t="str">
        <f>IF(OR(I2938="",G2938=""),"",IF(G2938="Saída",-I2938,I2938))</f>
        <v/>
      </c>
      <c r="L2938" t="str">
        <f>IF(E2938="","",IFERROR(VLOOKUP(E2938,Listas!$A$2:$C$1048576,3,FALSE),""))</f>
        <v/>
      </c>
    </row>
    <row r="2939" spans="10:12" x14ac:dyDescent="0.25">
      <c r="J2939" t="str">
        <f>IF(H2939="","",IFERROR(VLOOKUP(H2939,Listas!$J$2:$K$1048576,2,FALSE),""))</f>
        <v/>
      </c>
      <c r="K2939" s="5" t="str">
        <f>IF(OR(I2939="",G2939=""),"",IF(G2939="Saída",-I2939,I2939))</f>
        <v/>
      </c>
      <c r="L2939" t="str">
        <f>IF(E2939="","",IFERROR(VLOOKUP(E2939,Listas!$A$2:$C$1048576,3,FALSE),""))</f>
        <v/>
      </c>
    </row>
    <row r="2940" spans="10:12" x14ac:dyDescent="0.25">
      <c r="J2940" t="str">
        <f>IF(H2940="","",IFERROR(VLOOKUP(H2940,Listas!$J$2:$K$1048576,2,FALSE),""))</f>
        <v/>
      </c>
      <c r="K2940" s="5" t="str">
        <f>IF(OR(I2940="",G2940=""),"",IF(G2940="Saída",-I2940,I2940))</f>
        <v/>
      </c>
      <c r="L2940" t="str">
        <f>IF(E2940="","",IFERROR(VLOOKUP(E2940,Listas!$A$2:$C$1048576,3,FALSE),""))</f>
        <v/>
      </c>
    </row>
    <row r="2941" spans="10:12" x14ac:dyDescent="0.25">
      <c r="J2941" t="str">
        <f>IF(H2941="","",IFERROR(VLOOKUP(H2941,Listas!$J$2:$K$1048576,2,FALSE),""))</f>
        <v/>
      </c>
      <c r="K2941" s="5" t="str">
        <f>IF(OR(I2941="",G2941=""),"",IF(G2941="Saída",-I2941,I2941))</f>
        <v/>
      </c>
      <c r="L2941" t="str">
        <f>IF(E2941="","",IFERROR(VLOOKUP(E2941,Listas!$A$2:$C$1048576,3,FALSE),""))</f>
        <v/>
      </c>
    </row>
    <row r="2942" spans="10:12" x14ac:dyDescent="0.25">
      <c r="J2942" t="str">
        <f>IF(H2942="","",IFERROR(VLOOKUP(H2942,Listas!$J$2:$K$1048576,2,FALSE),""))</f>
        <v/>
      </c>
      <c r="K2942" s="5" t="str">
        <f>IF(OR(I2942="",G2942=""),"",IF(G2942="Saída",-I2942,I2942))</f>
        <v/>
      </c>
      <c r="L2942" t="str">
        <f>IF(E2942="","",IFERROR(VLOOKUP(E2942,Listas!$A$2:$C$1048576,3,FALSE),""))</f>
        <v/>
      </c>
    </row>
    <row r="2943" spans="10:12" x14ac:dyDescent="0.25">
      <c r="J2943" t="str">
        <f>IF(H2943="","",IFERROR(VLOOKUP(H2943,Listas!$J$2:$K$1048576,2,FALSE),""))</f>
        <v/>
      </c>
      <c r="K2943" s="5" t="str">
        <f>IF(OR(I2943="",G2943=""),"",IF(G2943="Saída",-I2943,I2943))</f>
        <v/>
      </c>
      <c r="L2943" t="str">
        <f>IF(E2943="","",IFERROR(VLOOKUP(E2943,Listas!$A$2:$C$1048576,3,FALSE),""))</f>
        <v/>
      </c>
    </row>
    <row r="2944" spans="10:12" x14ac:dyDescent="0.25">
      <c r="J2944" t="str">
        <f>IF(H2944="","",IFERROR(VLOOKUP(H2944,Listas!$J$2:$K$1048576,2,FALSE),""))</f>
        <v/>
      </c>
      <c r="K2944" s="5" t="str">
        <f>IF(OR(I2944="",G2944=""),"",IF(G2944="Saída",-I2944,I2944))</f>
        <v/>
      </c>
      <c r="L2944" t="str">
        <f>IF(E2944="","",IFERROR(VLOOKUP(E2944,Listas!$A$2:$C$1048576,3,FALSE),""))</f>
        <v/>
      </c>
    </row>
    <row r="2945" spans="10:12" x14ac:dyDescent="0.25">
      <c r="J2945" t="str">
        <f>IF(H2945="","",IFERROR(VLOOKUP(H2945,Listas!$J$2:$K$1048576,2,FALSE),""))</f>
        <v/>
      </c>
      <c r="K2945" s="5" t="str">
        <f>IF(OR(I2945="",G2945=""),"",IF(G2945="Saída",-I2945,I2945))</f>
        <v/>
      </c>
      <c r="L2945" t="str">
        <f>IF(E2945="","",IFERROR(VLOOKUP(E2945,Listas!$A$2:$C$1048576,3,FALSE),""))</f>
        <v/>
      </c>
    </row>
    <row r="2946" spans="10:12" x14ac:dyDescent="0.25">
      <c r="J2946" t="str">
        <f>IF(H2946="","",IFERROR(VLOOKUP(H2946,Listas!$J$2:$K$1048576,2,FALSE),""))</f>
        <v/>
      </c>
      <c r="K2946" s="5" t="str">
        <f>IF(OR(I2946="",G2946=""),"",IF(G2946="Saída",-I2946,I2946))</f>
        <v/>
      </c>
      <c r="L2946" t="str">
        <f>IF(E2946="","",IFERROR(VLOOKUP(E2946,Listas!$A$2:$C$1048576,3,FALSE),""))</f>
        <v/>
      </c>
    </row>
    <row r="2947" spans="10:12" x14ac:dyDescent="0.25">
      <c r="J2947" t="str">
        <f>IF(H2947="","",IFERROR(VLOOKUP(H2947,Listas!$J$2:$K$1048576,2,FALSE),""))</f>
        <v/>
      </c>
      <c r="K2947" s="5" t="str">
        <f>IF(OR(I2947="",G2947=""),"",IF(G2947="Saída",-I2947,I2947))</f>
        <v/>
      </c>
      <c r="L2947" t="str">
        <f>IF(E2947="","",IFERROR(VLOOKUP(E2947,Listas!$A$2:$C$1048576,3,FALSE),""))</f>
        <v/>
      </c>
    </row>
    <row r="2948" spans="10:12" x14ac:dyDescent="0.25">
      <c r="J2948" t="str">
        <f>IF(H2948="","",IFERROR(VLOOKUP(H2948,Listas!$J$2:$K$1048576,2,FALSE),""))</f>
        <v/>
      </c>
      <c r="K2948" s="5" t="str">
        <f>IF(OR(I2948="",G2948=""),"",IF(G2948="Saída",-I2948,I2948))</f>
        <v/>
      </c>
      <c r="L2948" t="str">
        <f>IF(E2948="","",IFERROR(VLOOKUP(E2948,Listas!$A$2:$C$1048576,3,FALSE),""))</f>
        <v/>
      </c>
    </row>
    <row r="2949" spans="10:12" x14ac:dyDescent="0.25">
      <c r="J2949" t="str">
        <f>IF(H2949="","",IFERROR(VLOOKUP(H2949,Listas!$J$2:$K$1048576,2,FALSE),""))</f>
        <v/>
      </c>
      <c r="K2949" s="5" t="str">
        <f>IF(OR(I2949="",G2949=""),"",IF(G2949="Saída",-I2949,I2949))</f>
        <v/>
      </c>
      <c r="L2949" t="str">
        <f>IF(E2949="","",IFERROR(VLOOKUP(E2949,Listas!$A$2:$C$1048576,3,FALSE),""))</f>
        <v/>
      </c>
    </row>
    <row r="2950" spans="10:12" x14ac:dyDescent="0.25">
      <c r="J2950" t="str">
        <f>IF(H2950="","",IFERROR(VLOOKUP(H2950,Listas!$J$2:$K$1048576,2,FALSE),""))</f>
        <v/>
      </c>
      <c r="K2950" s="5" t="str">
        <f>IF(OR(I2950="",G2950=""),"",IF(G2950="Saída",-I2950,I2950))</f>
        <v/>
      </c>
      <c r="L2950" t="str">
        <f>IF(E2950="","",IFERROR(VLOOKUP(E2950,Listas!$A$2:$C$1048576,3,FALSE),""))</f>
        <v/>
      </c>
    </row>
    <row r="2951" spans="10:12" x14ac:dyDescent="0.25">
      <c r="J2951" t="str">
        <f>IF(H2951="","",IFERROR(VLOOKUP(H2951,Listas!$J$2:$K$1048576,2,FALSE),""))</f>
        <v/>
      </c>
      <c r="K2951" s="5" t="str">
        <f>IF(OR(I2951="",G2951=""),"",IF(G2951="Saída",-I2951,I2951))</f>
        <v/>
      </c>
      <c r="L2951" t="str">
        <f>IF(E2951="","",IFERROR(VLOOKUP(E2951,Listas!$A$2:$C$1048576,3,FALSE),""))</f>
        <v/>
      </c>
    </row>
    <row r="2952" spans="10:12" x14ac:dyDescent="0.25">
      <c r="J2952" t="str">
        <f>IF(H2952="","",IFERROR(VLOOKUP(H2952,Listas!$J$2:$K$1048576,2,FALSE),""))</f>
        <v/>
      </c>
      <c r="K2952" s="5" t="str">
        <f>IF(OR(I2952="",G2952=""),"",IF(G2952="Saída",-I2952,I2952))</f>
        <v/>
      </c>
      <c r="L2952" t="str">
        <f>IF(E2952="","",IFERROR(VLOOKUP(E2952,Listas!$A$2:$C$1048576,3,FALSE),""))</f>
        <v/>
      </c>
    </row>
    <row r="2953" spans="10:12" x14ac:dyDescent="0.25">
      <c r="J2953" t="str">
        <f>IF(H2953="","",IFERROR(VLOOKUP(H2953,Listas!$J$2:$K$1048576,2,FALSE),""))</f>
        <v/>
      </c>
      <c r="K2953" s="5" t="str">
        <f>IF(OR(I2953="",G2953=""),"",IF(G2953="Saída",-I2953,I2953))</f>
        <v/>
      </c>
      <c r="L2953" t="str">
        <f>IF(E2953="","",IFERROR(VLOOKUP(E2953,Listas!$A$2:$C$1048576,3,FALSE),""))</f>
        <v/>
      </c>
    </row>
    <row r="2954" spans="10:12" x14ac:dyDescent="0.25">
      <c r="J2954" t="str">
        <f>IF(H2954="","",IFERROR(VLOOKUP(H2954,Listas!$J$2:$K$1048576,2,FALSE),""))</f>
        <v/>
      </c>
      <c r="K2954" s="5" t="str">
        <f>IF(OR(I2954="",G2954=""),"",IF(G2954="Saída",-I2954,I2954))</f>
        <v/>
      </c>
      <c r="L2954" t="str">
        <f>IF(E2954="","",IFERROR(VLOOKUP(E2954,Listas!$A$2:$C$1048576,3,FALSE),""))</f>
        <v/>
      </c>
    </row>
    <row r="2955" spans="10:12" x14ac:dyDescent="0.25">
      <c r="J2955" t="str">
        <f>IF(H2955="","",IFERROR(VLOOKUP(H2955,Listas!$J$2:$K$1048576,2,FALSE),""))</f>
        <v/>
      </c>
      <c r="K2955" s="5" t="str">
        <f>IF(OR(I2955="",G2955=""),"",IF(G2955="Saída",-I2955,I2955))</f>
        <v/>
      </c>
      <c r="L2955" t="str">
        <f>IF(E2955="","",IFERROR(VLOOKUP(E2955,Listas!$A$2:$C$1048576,3,FALSE),""))</f>
        <v/>
      </c>
    </row>
    <row r="2956" spans="10:12" x14ac:dyDescent="0.25">
      <c r="J2956" t="str">
        <f>IF(H2956="","",IFERROR(VLOOKUP(H2956,Listas!$J$2:$K$1048576,2,FALSE),""))</f>
        <v/>
      </c>
      <c r="K2956" s="5" t="str">
        <f>IF(OR(I2956="",G2956=""),"",IF(G2956="Saída",-I2956,I2956))</f>
        <v/>
      </c>
      <c r="L2956" t="str">
        <f>IF(E2956="","",IFERROR(VLOOKUP(E2956,Listas!$A$2:$C$1048576,3,FALSE),""))</f>
        <v/>
      </c>
    </row>
    <row r="2957" spans="10:12" x14ac:dyDescent="0.25">
      <c r="J2957" t="str">
        <f>IF(H2957="","",IFERROR(VLOOKUP(H2957,Listas!$J$2:$K$1048576,2,FALSE),""))</f>
        <v/>
      </c>
      <c r="K2957" s="5" t="str">
        <f>IF(OR(I2957="",G2957=""),"",IF(G2957="Saída",-I2957,I2957))</f>
        <v/>
      </c>
      <c r="L2957" t="str">
        <f>IF(E2957="","",IFERROR(VLOOKUP(E2957,Listas!$A$2:$C$1048576,3,FALSE),""))</f>
        <v/>
      </c>
    </row>
    <row r="2958" spans="10:12" x14ac:dyDescent="0.25">
      <c r="J2958" t="str">
        <f>IF(H2958="","",IFERROR(VLOOKUP(H2958,Listas!$J$2:$K$1048576,2,FALSE),""))</f>
        <v/>
      </c>
      <c r="K2958" s="5" t="str">
        <f>IF(OR(I2958="",G2958=""),"",IF(G2958="Saída",-I2958,I2958))</f>
        <v/>
      </c>
      <c r="L2958" t="str">
        <f>IF(E2958="","",IFERROR(VLOOKUP(E2958,Listas!$A$2:$C$1048576,3,FALSE),""))</f>
        <v/>
      </c>
    </row>
    <row r="2959" spans="10:12" x14ac:dyDescent="0.25">
      <c r="J2959" t="str">
        <f>IF(H2959="","",IFERROR(VLOOKUP(H2959,Listas!$J$2:$K$1048576,2,FALSE),""))</f>
        <v/>
      </c>
      <c r="K2959" s="5" t="str">
        <f>IF(OR(I2959="",G2959=""),"",IF(G2959="Saída",-I2959,I2959))</f>
        <v/>
      </c>
      <c r="L2959" t="str">
        <f>IF(E2959="","",IFERROR(VLOOKUP(E2959,Listas!$A$2:$C$1048576,3,FALSE),""))</f>
        <v/>
      </c>
    </row>
    <row r="2960" spans="10:12" x14ac:dyDescent="0.25">
      <c r="J2960" t="str">
        <f>IF(H2960="","",IFERROR(VLOOKUP(H2960,Listas!$J$2:$K$1048576,2,FALSE),""))</f>
        <v/>
      </c>
      <c r="K2960" s="5" t="str">
        <f>IF(OR(I2960="",G2960=""),"",IF(G2960="Saída",-I2960,I2960))</f>
        <v/>
      </c>
      <c r="L2960" t="str">
        <f>IF(E2960="","",IFERROR(VLOOKUP(E2960,Listas!$A$2:$C$1048576,3,FALSE),""))</f>
        <v/>
      </c>
    </row>
    <row r="2961" spans="10:12" x14ac:dyDescent="0.25">
      <c r="J2961" t="str">
        <f>IF(H2961="","",IFERROR(VLOOKUP(H2961,Listas!$J$2:$K$1048576,2,FALSE),""))</f>
        <v/>
      </c>
      <c r="K2961" s="5" t="str">
        <f>IF(OR(I2961="",G2961=""),"",IF(G2961="Saída",-I2961,I2961))</f>
        <v/>
      </c>
      <c r="L2961" t="str">
        <f>IF(E2961="","",IFERROR(VLOOKUP(E2961,Listas!$A$2:$C$1048576,3,FALSE),""))</f>
        <v/>
      </c>
    </row>
    <row r="2962" spans="10:12" x14ac:dyDescent="0.25">
      <c r="J2962" t="str">
        <f>IF(H2962="","",IFERROR(VLOOKUP(H2962,Listas!$J$2:$K$1048576,2,FALSE),""))</f>
        <v/>
      </c>
      <c r="K2962" s="5" t="str">
        <f>IF(OR(I2962="",G2962=""),"",IF(G2962="Saída",-I2962,I2962))</f>
        <v/>
      </c>
      <c r="L2962" t="str">
        <f>IF(E2962="","",IFERROR(VLOOKUP(E2962,Listas!$A$2:$C$1048576,3,FALSE),""))</f>
        <v/>
      </c>
    </row>
    <row r="2963" spans="10:12" x14ac:dyDescent="0.25">
      <c r="J2963" t="str">
        <f>IF(H2963="","",IFERROR(VLOOKUP(H2963,Listas!$J$2:$K$1048576,2,FALSE),""))</f>
        <v/>
      </c>
      <c r="K2963" s="5" t="str">
        <f>IF(OR(I2963="",G2963=""),"",IF(G2963="Saída",-I2963,I2963))</f>
        <v/>
      </c>
      <c r="L2963" t="str">
        <f>IF(E2963="","",IFERROR(VLOOKUP(E2963,Listas!$A$2:$C$1048576,3,FALSE),""))</f>
        <v/>
      </c>
    </row>
    <row r="2964" spans="10:12" x14ac:dyDescent="0.25">
      <c r="J2964" t="str">
        <f>IF(H2964="","",IFERROR(VLOOKUP(H2964,Listas!$J$2:$K$1048576,2,FALSE),""))</f>
        <v/>
      </c>
      <c r="K2964" s="5" t="str">
        <f>IF(OR(I2964="",G2964=""),"",IF(G2964="Saída",-I2964,I2964))</f>
        <v/>
      </c>
      <c r="L2964" t="str">
        <f>IF(E2964="","",IFERROR(VLOOKUP(E2964,Listas!$A$2:$C$1048576,3,FALSE),""))</f>
        <v/>
      </c>
    </row>
    <row r="2965" spans="10:12" x14ac:dyDescent="0.25">
      <c r="J2965" t="str">
        <f>IF(H2965="","",IFERROR(VLOOKUP(H2965,Listas!$J$2:$K$1048576,2,FALSE),""))</f>
        <v/>
      </c>
      <c r="K2965" s="5" t="str">
        <f>IF(OR(I2965="",G2965=""),"",IF(G2965="Saída",-I2965,I2965))</f>
        <v/>
      </c>
      <c r="L2965" t="str">
        <f>IF(E2965="","",IFERROR(VLOOKUP(E2965,Listas!$A$2:$C$1048576,3,FALSE),""))</f>
        <v/>
      </c>
    </row>
    <row r="2966" spans="10:12" x14ac:dyDescent="0.25">
      <c r="J2966" t="str">
        <f>IF(H2966="","",IFERROR(VLOOKUP(H2966,Listas!$J$2:$K$1048576,2,FALSE),""))</f>
        <v/>
      </c>
      <c r="K2966" s="5" t="str">
        <f>IF(OR(I2966="",G2966=""),"",IF(G2966="Saída",-I2966,I2966))</f>
        <v/>
      </c>
      <c r="L2966" t="str">
        <f>IF(E2966="","",IFERROR(VLOOKUP(E2966,Listas!$A$2:$C$1048576,3,FALSE),""))</f>
        <v/>
      </c>
    </row>
    <row r="2967" spans="10:12" x14ac:dyDescent="0.25">
      <c r="J2967" t="str">
        <f>IF(H2967="","",IFERROR(VLOOKUP(H2967,Listas!$J$2:$K$1048576,2,FALSE),""))</f>
        <v/>
      </c>
      <c r="K2967" s="5" t="str">
        <f>IF(OR(I2967="",G2967=""),"",IF(G2967="Saída",-I2967,I2967))</f>
        <v/>
      </c>
      <c r="L2967" t="str">
        <f>IF(E2967="","",IFERROR(VLOOKUP(E2967,Listas!$A$2:$C$1048576,3,FALSE),""))</f>
        <v/>
      </c>
    </row>
    <row r="2968" spans="10:12" x14ac:dyDescent="0.25">
      <c r="J2968" t="str">
        <f>IF(H2968="","",IFERROR(VLOOKUP(H2968,Listas!$J$2:$K$1048576,2,FALSE),""))</f>
        <v/>
      </c>
      <c r="K2968" s="5" t="str">
        <f>IF(OR(I2968="",G2968=""),"",IF(G2968="Saída",-I2968,I2968))</f>
        <v/>
      </c>
      <c r="L2968" t="str">
        <f>IF(E2968="","",IFERROR(VLOOKUP(E2968,Listas!$A$2:$C$1048576,3,FALSE),""))</f>
        <v/>
      </c>
    </row>
    <row r="2969" spans="10:12" x14ac:dyDescent="0.25">
      <c r="J2969" t="str">
        <f>IF(H2969="","",IFERROR(VLOOKUP(H2969,Listas!$J$2:$K$1048576,2,FALSE),""))</f>
        <v/>
      </c>
      <c r="K2969" s="5" t="str">
        <f>IF(OR(I2969="",G2969=""),"",IF(G2969="Saída",-I2969,I2969))</f>
        <v/>
      </c>
      <c r="L2969" t="str">
        <f>IF(E2969="","",IFERROR(VLOOKUP(E2969,Listas!$A$2:$C$1048576,3,FALSE),""))</f>
        <v/>
      </c>
    </row>
    <row r="2970" spans="10:12" x14ac:dyDescent="0.25">
      <c r="J2970" t="str">
        <f>IF(H2970="","",IFERROR(VLOOKUP(H2970,Listas!$J$2:$K$1048576,2,FALSE),""))</f>
        <v/>
      </c>
      <c r="K2970" s="5" t="str">
        <f>IF(OR(I2970="",G2970=""),"",IF(G2970="Saída",-I2970,I2970))</f>
        <v/>
      </c>
      <c r="L2970" t="str">
        <f>IF(E2970="","",IFERROR(VLOOKUP(E2970,Listas!$A$2:$C$1048576,3,FALSE),""))</f>
        <v/>
      </c>
    </row>
    <row r="2971" spans="10:12" x14ac:dyDescent="0.25">
      <c r="J2971" t="str">
        <f>IF(H2971="","",IFERROR(VLOOKUP(H2971,Listas!$J$2:$K$1048576,2,FALSE),""))</f>
        <v/>
      </c>
      <c r="K2971" s="5" t="str">
        <f>IF(OR(I2971="",G2971=""),"",IF(G2971="Saída",-I2971,I2971))</f>
        <v/>
      </c>
      <c r="L2971" t="str">
        <f>IF(E2971="","",IFERROR(VLOOKUP(E2971,Listas!$A$2:$C$1048576,3,FALSE),""))</f>
        <v/>
      </c>
    </row>
    <row r="2972" spans="10:12" x14ac:dyDescent="0.25">
      <c r="J2972" t="str">
        <f>IF(H2972="","",IFERROR(VLOOKUP(H2972,Listas!$J$2:$K$1048576,2,FALSE),""))</f>
        <v/>
      </c>
      <c r="K2972" s="5" t="str">
        <f>IF(OR(I2972="",G2972=""),"",IF(G2972="Saída",-I2972,I2972))</f>
        <v/>
      </c>
      <c r="L2972" t="str">
        <f>IF(E2972="","",IFERROR(VLOOKUP(E2972,Listas!$A$2:$C$1048576,3,FALSE),""))</f>
        <v/>
      </c>
    </row>
    <row r="2973" spans="10:12" x14ac:dyDescent="0.25">
      <c r="J2973" t="str">
        <f>IF(H2973="","",IFERROR(VLOOKUP(H2973,Listas!$J$2:$K$1048576,2,FALSE),""))</f>
        <v/>
      </c>
      <c r="K2973" s="5" t="str">
        <f>IF(OR(I2973="",G2973=""),"",IF(G2973="Saída",-I2973,I2973))</f>
        <v/>
      </c>
      <c r="L2973" t="str">
        <f>IF(E2973="","",IFERROR(VLOOKUP(E2973,Listas!$A$2:$C$1048576,3,FALSE),""))</f>
        <v/>
      </c>
    </row>
    <row r="2974" spans="10:12" x14ac:dyDescent="0.25">
      <c r="J2974" t="str">
        <f>IF(H2974="","",IFERROR(VLOOKUP(H2974,Listas!$J$2:$K$1048576,2,FALSE),""))</f>
        <v/>
      </c>
      <c r="K2974" s="5" t="str">
        <f>IF(OR(I2974="",G2974=""),"",IF(G2974="Saída",-I2974,I2974))</f>
        <v/>
      </c>
      <c r="L2974" t="str">
        <f>IF(E2974="","",IFERROR(VLOOKUP(E2974,Listas!$A$2:$C$1048576,3,FALSE),""))</f>
        <v/>
      </c>
    </row>
    <row r="2975" spans="10:12" x14ac:dyDescent="0.25">
      <c r="J2975" t="str">
        <f>IF(H2975="","",IFERROR(VLOOKUP(H2975,Listas!$J$2:$K$1048576,2,FALSE),""))</f>
        <v/>
      </c>
      <c r="K2975" s="5" t="str">
        <f>IF(OR(I2975="",G2975=""),"",IF(G2975="Saída",-I2975,I2975))</f>
        <v/>
      </c>
      <c r="L2975" t="str">
        <f>IF(E2975="","",IFERROR(VLOOKUP(E2975,Listas!$A$2:$C$1048576,3,FALSE),""))</f>
        <v/>
      </c>
    </row>
    <row r="2976" spans="10:12" x14ac:dyDescent="0.25">
      <c r="J2976" t="str">
        <f>IF(H2976="","",IFERROR(VLOOKUP(H2976,Listas!$J$2:$K$1048576,2,FALSE),""))</f>
        <v/>
      </c>
      <c r="K2976" s="5" t="str">
        <f>IF(OR(I2976="",G2976=""),"",IF(G2976="Saída",-I2976,I2976))</f>
        <v/>
      </c>
      <c r="L2976" t="str">
        <f>IF(E2976="","",IFERROR(VLOOKUP(E2976,Listas!$A$2:$C$1048576,3,FALSE),""))</f>
        <v/>
      </c>
    </row>
    <row r="2977" spans="10:12" x14ac:dyDescent="0.25">
      <c r="J2977" t="str">
        <f>IF(H2977="","",IFERROR(VLOOKUP(H2977,Listas!$J$2:$K$1048576,2,FALSE),""))</f>
        <v/>
      </c>
      <c r="K2977" s="5" t="str">
        <f>IF(OR(I2977="",G2977=""),"",IF(G2977="Saída",-I2977,I2977))</f>
        <v/>
      </c>
      <c r="L2977" t="str">
        <f>IF(E2977="","",IFERROR(VLOOKUP(E2977,Listas!$A$2:$C$1048576,3,FALSE),""))</f>
        <v/>
      </c>
    </row>
    <row r="2978" spans="10:12" x14ac:dyDescent="0.25">
      <c r="J2978" t="str">
        <f>IF(H2978="","",IFERROR(VLOOKUP(H2978,Listas!$J$2:$K$1048576,2,FALSE),""))</f>
        <v/>
      </c>
      <c r="K2978" s="5" t="str">
        <f>IF(OR(I2978="",G2978=""),"",IF(G2978="Saída",-I2978,I2978))</f>
        <v/>
      </c>
      <c r="L2978" t="str">
        <f>IF(E2978="","",IFERROR(VLOOKUP(E2978,Listas!$A$2:$C$1048576,3,FALSE),""))</f>
        <v/>
      </c>
    </row>
    <row r="2979" spans="10:12" x14ac:dyDescent="0.25">
      <c r="J2979" t="str">
        <f>IF(H2979="","",IFERROR(VLOOKUP(H2979,Listas!$J$2:$K$1048576,2,FALSE),""))</f>
        <v/>
      </c>
      <c r="K2979" s="5" t="str">
        <f>IF(OR(I2979="",G2979=""),"",IF(G2979="Saída",-I2979,I2979))</f>
        <v/>
      </c>
      <c r="L2979" t="str">
        <f>IF(E2979="","",IFERROR(VLOOKUP(E2979,Listas!$A$2:$C$1048576,3,FALSE),""))</f>
        <v/>
      </c>
    </row>
    <row r="2980" spans="10:12" x14ac:dyDescent="0.25">
      <c r="J2980" t="str">
        <f>IF(H2980="","",IFERROR(VLOOKUP(H2980,Listas!$J$2:$K$1048576,2,FALSE),""))</f>
        <v/>
      </c>
      <c r="K2980" s="5" t="str">
        <f>IF(OR(I2980="",G2980=""),"",IF(G2980="Saída",-I2980,I2980))</f>
        <v/>
      </c>
      <c r="L2980" t="str">
        <f>IF(E2980="","",IFERROR(VLOOKUP(E2980,Listas!$A$2:$C$1048576,3,FALSE),""))</f>
        <v/>
      </c>
    </row>
    <row r="2981" spans="10:12" x14ac:dyDescent="0.25">
      <c r="J2981" t="str">
        <f>IF(H2981="","",IFERROR(VLOOKUP(H2981,Listas!$J$2:$K$1048576,2,FALSE),""))</f>
        <v/>
      </c>
      <c r="K2981" s="5" t="str">
        <f>IF(OR(I2981="",G2981=""),"",IF(G2981="Saída",-I2981,I2981))</f>
        <v/>
      </c>
      <c r="L2981" t="str">
        <f>IF(E2981="","",IFERROR(VLOOKUP(E2981,Listas!$A$2:$C$1048576,3,FALSE),""))</f>
        <v/>
      </c>
    </row>
    <row r="2982" spans="10:12" x14ac:dyDescent="0.25">
      <c r="J2982" t="str">
        <f>IF(H2982="","",IFERROR(VLOOKUP(H2982,Listas!$J$2:$K$1048576,2,FALSE),""))</f>
        <v/>
      </c>
      <c r="K2982" s="5" t="str">
        <f>IF(OR(I2982="",G2982=""),"",IF(G2982="Saída",-I2982,I2982))</f>
        <v/>
      </c>
      <c r="L2982" t="str">
        <f>IF(E2982="","",IFERROR(VLOOKUP(E2982,Listas!$A$2:$C$1048576,3,FALSE),""))</f>
        <v/>
      </c>
    </row>
    <row r="2983" spans="10:12" x14ac:dyDescent="0.25">
      <c r="J2983" t="str">
        <f>IF(H2983="","",IFERROR(VLOOKUP(H2983,Listas!$J$2:$K$1048576,2,FALSE),""))</f>
        <v/>
      </c>
      <c r="K2983" s="5" t="str">
        <f>IF(OR(I2983="",G2983=""),"",IF(G2983="Saída",-I2983,I2983))</f>
        <v/>
      </c>
      <c r="L2983" t="str">
        <f>IF(E2983="","",IFERROR(VLOOKUP(E2983,Listas!$A$2:$C$1048576,3,FALSE),""))</f>
        <v/>
      </c>
    </row>
    <row r="2984" spans="10:12" x14ac:dyDescent="0.25">
      <c r="J2984" t="str">
        <f>IF(H2984="","",IFERROR(VLOOKUP(H2984,Listas!$J$2:$K$1048576,2,FALSE),""))</f>
        <v/>
      </c>
      <c r="K2984" s="5" t="str">
        <f>IF(OR(I2984="",G2984=""),"",IF(G2984="Saída",-I2984,I2984))</f>
        <v/>
      </c>
      <c r="L2984" t="str">
        <f>IF(E2984="","",IFERROR(VLOOKUP(E2984,Listas!$A$2:$C$1048576,3,FALSE),""))</f>
        <v/>
      </c>
    </row>
    <row r="2985" spans="10:12" x14ac:dyDescent="0.25">
      <c r="J2985" t="str">
        <f>IF(H2985="","",IFERROR(VLOOKUP(H2985,Listas!$J$2:$K$1048576,2,FALSE),""))</f>
        <v/>
      </c>
      <c r="K2985" s="5" t="str">
        <f>IF(OR(I2985="",G2985=""),"",IF(G2985="Saída",-I2985,I2985))</f>
        <v/>
      </c>
      <c r="L2985" t="str">
        <f>IF(E2985="","",IFERROR(VLOOKUP(E2985,Listas!$A$2:$C$1048576,3,FALSE),""))</f>
        <v/>
      </c>
    </row>
    <row r="2986" spans="10:12" x14ac:dyDescent="0.25">
      <c r="J2986" t="str">
        <f>IF(H2986="","",IFERROR(VLOOKUP(H2986,Listas!$J$2:$K$1048576,2,FALSE),""))</f>
        <v/>
      </c>
      <c r="K2986" s="5" t="str">
        <f>IF(OR(I2986="",G2986=""),"",IF(G2986="Saída",-I2986,I2986))</f>
        <v/>
      </c>
      <c r="L2986" t="str">
        <f>IF(E2986="","",IFERROR(VLOOKUP(E2986,Listas!$A$2:$C$1048576,3,FALSE),""))</f>
        <v/>
      </c>
    </row>
    <row r="2987" spans="10:12" x14ac:dyDescent="0.25">
      <c r="J2987" t="str">
        <f>IF(H2987="","",IFERROR(VLOOKUP(H2987,Listas!$J$2:$K$1048576,2,FALSE),""))</f>
        <v/>
      </c>
      <c r="K2987" s="5" t="str">
        <f>IF(OR(I2987="",G2987=""),"",IF(G2987="Saída",-I2987,I2987))</f>
        <v/>
      </c>
      <c r="L2987" t="str">
        <f>IF(E2987="","",IFERROR(VLOOKUP(E2987,Listas!$A$2:$C$1048576,3,FALSE),""))</f>
        <v/>
      </c>
    </row>
    <row r="2988" spans="10:12" x14ac:dyDescent="0.25">
      <c r="J2988" t="str">
        <f>IF(H2988="","",IFERROR(VLOOKUP(H2988,Listas!$J$2:$K$1048576,2,FALSE),""))</f>
        <v/>
      </c>
      <c r="K2988" s="5" t="str">
        <f>IF(OR(I2988="",G2988=""),"",IF(G2988="Saída",-I2988,I2988))</f>
        <v/>
      </c>
      <c r="L2988" t="str">
        <f>IF(E2988="","",IFERROR(VLOOKUP(E2988,Listas!$A$2:$C$1048576,3,FALSE),""))</f>
        <v/>
      </c>
    </row>
    <row r="2989" spans="10:12" x14ac:dyDescent="0.25">
      <c r="J2989" t="str">
        <f>IF(H2989="","",IFERROR(VLOOKUP(H2989,Listas!$J$2:$K$1048576,2,FALSE),""))</f>
        <v/>
      </c>
      <c r="K2989" s="5" t="str">
        <f>IF(OR(I2989="",G2989=""),"",IF(G2989="Saída",-I2989,I2989))</f>
        <v/>
      </c>
      <c r="L2989" t="str">
        <f>IF(E2989="","",IFERROR(VLOOKUP(E2989,Listas!$A$2:$C$1048576,3,FALSE),""))</f>
        <v/>
      </c>
    </row>
    <row r="2990" spans="10:12" x14ac:dyDescent="0.25">
      <c r="J2990" t="str">
        <f>IF(H2990="","",IFERROR(VLOOKUP(H2990,Listas!$J$2:$K$1048576,2,FALSE),""))</f>
        <v/>
      </c>
      <c r="K2990" s="5" t="str">
        <f>IF(OR(I2990="",G2990=""),"",IF(G2990="Saída",-I2990,I2990))</f>
        <v/>
      </c>
      <c r="L2990" t="str">
        <f>IF(E2990="","",IFERROR(VLOOKUP(E2990,Listas!$A$2:$C$1048576,3,FALSE),""))</f>
        <v/>
      </c>
    </row>
    <row r="2991" spans="10:12" x14ac:dyDescent="0.25">
      <c r="J2991" t="str">
        <f>IF(H2991="","",IFERROR(VLOOKUP(H2991,Listas!$J$2:$K$1048576,2,FALSE),""))</f>
        <v/>
      </c>
      <c r="K2991" s="5" t="str">
        <f>IF(OR(I2991="",G2991=""),"",IF(G2991="Saída",-I2991,I2991))</f>
        <v/>
      </c>
      <c r="L2991" t="str">
        <f>IF(E2991="","",IFERROR(VLOOKUP(E2991,Listas!$A$2:$C$1048576,3,FALSE),""))</f>
        <v/>
      </c>
    </row>
    <row r="2992" spans="10:12" x14ac:dyDescent="0.25">
      <c r="J2992" t="str">
        <f>IF(H2992="","",IFERROR(VLOOKUP(H2992,Listas!$J$2:$K$1048576,2,FALSE),""))</f>
        <v/>
      </c>
      <c r="K2992" s="5" t="str">
        <f>IF(OR(I2992="",G2992=""),"",IF(G2992="Saída",-I2992,I2992))</f>
        <v/>
      </c>
      <c r="L2992" t="str">
        <f>IF(E2992="","",IFERROR(VLOOKUP(E2992,Listas!$A$2:$C$1048576,3,FALSE),""))</f>
        <v/>
      </c>
    </row>
    <row r="2993" spans="10:12" x14ac:dyDescent="0.25">
      <c r="J2993" t="str">
        <f>IF(H2993="","",IFERROR(VLOOKUP(H2993,Listas!$J$2:$K$1048576,2,FALSE),""))</f>
        <v/>
      </c>
      <c r="K2993" s="5" t="str">
        <f>IF(OR(I2993="",G2993=""),"",IF(G2993="Saída",-I2993,I2993))</f>
        <v/>
      </c>
      <c r="L2993" t="str">
        <f>IF(E2993="","",IFERROR(VLOOKUP(E2993,Listas!$A$2:$C$1048576,3,FALSE),""))</f>
        <v/>
      </c>
    </row>
    <row r="2994" spans="10:12" x14ac:dyDescent="0.25">
      <c r="J2994" t="str">
        <f>IF(H2994="","",IFERROR(VLOOKUP(H2994,Listas!$J$2:$K$1048576,2,FALSE),""))</f>
        <v/>
      </c>
      <c r="K2994" s="5" t="str">
        <f>IF(OR(I2994="",G2994=""),"",IF(G2994="Saída",-I2994,I2994))</f>
        <v/>
      </c>
      <c r="L2994" t="str">
        <f>IF(E2994="","",IFERROR(VLOOKUP(E2994,Listas!$A$2:$C$1048576,3,FALSE),""))</f>
        <v/>
      </c>
    </row>
    <row r="2995" spans="10:12" x14ac:dyDescent="0.25">
      <c r="J2995" t="str">
        <f>IF(H2995="","",IFERROR(VLOOKUP(H2995,Listas!$J$2:$K$1048576,2,FALSE),""))</f>
        <v/>
      </c>
      <c r="K2995" s="5" t="str">
        <f>IF(OR(I2995="",G2995=""),"",IF(G2995="Saída",-I2995,I2995))</f>
        <v/>
      </c>
      <c r="L2995" t="str">
        <f>IF(E2995="","",IFERROR(VLOOKUP(E2995,Listas!$A$2:$C$1048576,3,FALSE),""))</f>
        <v/>
      </c>
    </row>
    <row r="2996" spans="10:12" x14ac:dyDescent="0.25">
      <c r="J2996" t="str">
        <f>IF(H2996="","",IFERROR(VLOOKUP(H2996,Listas!$J$2:$K$1048576,2,FALSE),""))</f>
        <v/>
      </c>
      <c r="K2996" s="5" t="str">
        <f>IF(OR(I2996="",G2996=""),"",IF(G2996="Saída",-I2996,I2996))</f>
        <v/>
      </c>
      <c r="L2996" t="str">
        <f>IF(E2996="","",IFERROR(VLOOKUP(E2996,Listas!$A$2:$C$1048576,3,FALSE),""))</f>
        <v/>
      </c>
    </row>
    <row r="2997" spans="10:12" x14ac:dyDescent="0.25">
      <c r="J2997" t="str">
        <f>IF(H2997="","",IFERROR(VLOOKUP(H2997,Listas!$J$2:$K$1048576,2,FALSE),""))</f>
        <v/>
      </c>
      <c r="K2997" s="5" t="str">
        <f>IF(OR(I2997="",G2997=""),"",IF(G2997="Saída",-I2997,I2997))</f>
        <v/>
      </c>
      <c r="L2997" t="str">
        <f>IF(E2997="","",IFERROR(VLOOKUP(E2997,Listas!$A$2:$C$1048576,3,FALSE),""))</f>
        <v/>
      </c>
    </row>
    <row r="2998" spans="10:12" x14ac:dyDescent="0.25">
      <c r="J2998" t="str">
        <f>IF(H2998="","",IFERROR(VLOOKUP(H2998,Listas!$J$2:$K$1048576,2,FALSE),""))</f>
        <v/>
      </c>
      <c r="K2998" s="5" t="str">
        <f>IF(OR(I2998="",G2998=""),"",IF(G2998="Saída",-I2998,I2998))</f>
        <v/>
      </c>
      <c r="L2998" t="str">
        <f>IF(E2998="","",IFERROR(VLOOKUP(E2998,Listas!$A$2:$C$1048576,3,FALSE),""))</f>
        <v/>
      </c>
    </row>
    <row r="2999" spans="10:12" x14ac:dyDescent="0.25">
      <c r="J2999" t="str">
        <f>IF(H2999="","",IFERROR(VLOOKUP(H2999,Listas!$J$2:$K$1048576,2,FALSE),""))</f>
        <v/>
      </c>
      <c r="K2999" s="5" t="str">
        <f>IF(OR(I2999="",G2999=""),"",IF(G2999="Saída",-I2999,I2999))</f>
        <v/>
      </c>
      <c r="L2999" t="str">
        <f>IF(E2999="","",IFERROR(VLOOKUP(E2999,Listas!$A$2:$C$1048576,3,FALSE),""))</f>
        <v/>
      </c>
    </row>
    <row r="3000" spans="10:12" x14ac:dyDescent="0.25">
      <c r="J3000" t="str">
        <f>IF(H3000="","",IFERROR(VLOOKUP(H3000,Listas!$J$2:$K$1048576,2,FALSE),""))</f>
        <v/>
      </c>
      <c r="K3000" s="5" t="str">
        <f>IF(OR(I3000="",G3000=""),"",IF(G3000="Saída",-I3000,I3000))</f>
        <v/>
      </c>
      <c r="L3000" t="str">
        <f>IF(E3000="","",IFERROR(VLOOKUP(E3000,Listas!$A$2:$C$1048576,3,FALSE),""))</f>
        <v/>
      </c>
    </row>
    <row r="3001" spans="10:12" x14ac:dyDescent="0.25">
      <c r="J3001" t="str">
        <f>IF(H3001="","",IFERROR(VLOOKUP(H3001,Listas!$J$2:$K$1048576,2,FALSE),""))</f>
        <v/>
      </c>
      <c r="K3001" s="5" t="str">
        <f>IF(OR(I3001="",G3001=""),"",IF(G3001="Saída",-I3001,I3001))</f>
        <v/>
      </c>
      <c r="L3001" t="str">
        <f>IF(E3001="","",IFERROR(VLOOKUP(E3001,Listas!$A$2:$C$1048576,3,FALSE),""))</f>
        <v/>
      </c>
    </row>
    <row r="3002" spans="10:12" x14ac:dyDescent="0.25">
      <c r="J3002" t="str">
        <f>IF(H3002="","",IFERROR(VLOOKUP(H3002,Listas!$J$2:$K$1048576,2,FALSE),""))</f>
        <v/>
      </c>
      <c r="K3002" s="5" t="str">
        <f>IF(OR(I3002="",G3002=""),"",IF(G3002="Saída",-I3002,I3002))</f>
        <v/>
      </c>
      <c r="L3002" t="str">
        <f>IF(E3002="","",IFERROR(VLOOKUP(E3002,Listas!$A$2:$C$1048576,3,FALSE),""))</f>
        <v/>
      </c>
    </row>
    <row r="3003" spans="10:12" x14ac:dyDescent="0.25">
      <c r="J3003" t="str">
        <f>IF(H3003="","",IFERROR(VLOOKUP(H3003,Listas!$J$2:$K$1048576,2,FALSE),""))</f>
        <v/>
      </c>
      <c r="K3003" s="5" t="str">
        <f>IF(OR(I3003="",G3003=""),"",IF(G3003="Saída",-I3003,I3003))</f>
        <v/>
      </c>
      <c r="L3003" t="str">
        <f>IF(E3003="","",IFERROR(VLOOKUP(E3003,Listas!$A$2:$C$1048576,3,FALSE),""))</f>
        <v/>
      </c>
    </row>
    <row r="3004" spans="10:12" x14ac:dyDescent="0.25">
      <c r="J3004" t="str">
        <f>IF(H3004="","",IFERROR(VLOOKUP(H3004,Listas!$J$2:$K$1048576,2,FALSE),""))</f>
        <v/>
      </c>
      <c r="K3004" s="5" t="str">
        <f>IF(OR(I3004="",G3004=""),"",IF(G3004="Saída",-I3004,I3004))</f>
        <v/>
      </c>
      <c r="L3004" t="str">
        <f>IF(E3004="","",IFERROR(VLOOKUP(E3004,Listas!$A$2:$C$1048576,3,FALSE),""))</f>
        <v/>
      </c>
    </row>
    <row r="3005" spans="10:12" x14ac:dyDescent="0.25">
      <c r="J3005" t="str">
        <f>IF(H3005="","",IFERROR(VLOOKUP(H3005,Listas!$J$2:$K$1048576,2,FALSE),""))</f>
        <v/>
      </c>
      <c r="K3005" s="5" t="str">
        <f>IF(OR(I3005="",G3005=""),"",IF(G3005="Saída",-I3005,I3005))</f>
        <v/>
      </c>
      <c r="L3005" t="str">
        <f>IF(E3005="","",IFERROR(VLOOKUP(E3005,Listas!$A$2:$C$1048576,3,FALSE),""))</f>
        <v/>
      </c>
    </row>
    <row r="3006" spans="10:12" x14ac:dyDescent="0.25">
      <c r="J3006" t="str">
        <f>IF(H3006="","",IFERROR(VLOOKUP(H3006,Listas!$J$2:$K$1048576,2,FALSE),""))</f>
        <v/>
      </c>
      <c r="K3006" s="5" t="str">
        <f>IF(OR(I3006="",G3006=""),"",IF(G3006="Saída",-I3006,I3006))</f>
        <v/>
      </c>
      <c r="L3006" t="str">
        <f>IF(E3006="","",IFERROR(VLOOKUP(E3006,Listas!$A$2:$C$1048576,3,FALSE),""))</f>
        <v/>
      </c>
    </row>
    <row r="3007" spans="10:12" x14ac:dyDescent="0.25">
      <c r="J3007" t="str">
        <f>IF(H3007="","",IFERROR(VLOOKUP(H3007,Listas!$J$2:$K$1048576,2,FALSE),""))</f>
        <v/>
      </c>
      <c r="K3007" s="5" t="str">
        <f>IF(OR(I3007="",G3007=""),"",IF(G3007="Saída",-I3007,I3007))</f>
        <v/>
      </c>
      <c r="L3007" t="str">
        <f>IF(E3007="","",IFERROR(VLOOKUP(E3007,Listas!$A$2:$C$1048576,3,FALSE),""))</f>
        <v/>
      </c>
    </row>
    <row r="3008" spans="10:12" x14ac:dyDescent="0.25">
      <c r="J3008" t="str">
        <f>IF(H3008="","",IFERROR(VLOOKUP(H3008,Listas!$J$2:$K$1048576,2,FALSE),""))</f>
        <v/>
      </c>
      <c r="K3008" s="5" t="str">
        <f>IF(OR(I3008="",G3008=""),"",IF(G3008="Saída",-I3008,I3008))</f>
        <v/>
      </c>
      <c r="L3008" t="str">
        <f>IF(E3008="","",IFERROR(VLOOKUP(E3008,Listas!$A$2:$C$1048576,3,FALSE),""))</f>
        <v/>
      </c>
    </row>
    <row r="3009" spans="10:12" x14ac:dyDescent="0.25">
      <c r="J3009" t="str">
        <f>IF(H3009="","",IFERROR(VLOOKUP(H3009,Listas!$J$2:$K$1048576,2,FALSE),""))</f>
        <v/>
      </c>
      <c r="K3009" s="5" t="str">
        <f>IF(OR(I3009="",G3009=""),"",IF(G3009="Saída",-I3009,I3009))</f>
        <v/>
      </c>
      <c r="L3009" t="str">
        <f>IF(E3009="","",IFERROR(VLOOKUP(E3009,Listas!$A$2:$C$1048576,3,FALSE),""))</f>
        <v/>
      </c>
    </row>
    <row r="3010" spans="10:12" x14ac:dyDescent="0.25">
      <c r="J3010" t="str">
        <f>IF(H3010="","",IFERROR(VLOOKUP(H3010,Listas!$J$2:$K$1048576,2,FALSE),""))</f>
        <v/>
      </c>
      <c r="K3010" s="5" t="str">
        <f>IF(OR(I3010="",G3010=""),"",IF(G3010="Saída",-I3010,I3010))</f>
        <v/>
      </c>
      <c r="L3010" t="str">
        <f>IF(E3010="","",IFERROR(VLOOKUP(E3010,Listas!$A$2:$C$1048576,3,FALSE),""))</f>
        <v/>
      </c>
    </row>
    <row r="3011" spans="10:12" x14ac:dyDescent="0.25">
      <c r="J3011" t="str">
        <f>IF(H3011="","",IFERROR(VLOOKUP(H3011,Listas!$J$2:$K$1048576,2,FALSE),""))</f>
        <v/>
      </c>
      <c r="K3011" s="5" t="str">
        <f>IF(OR(I3011="",G3011=""),"",IF(G3011="Saída",-I3011,I3011))</f>
        <v/>
      </c>
      <c r="L3011" t="str">
        <f>IF(E3011="","",IFERROR(VLOOKUP(E3011,Listas!$A$2:$C$1048576,3,FALSE),""))</f>
        <v/>
      </c>
    </row>
    <row r="3012" spans="10:12" x14ac:dyDescent="0.25">
      <c r="J3012" t="str">
        <f>IF(H3012="","",IFERROR(VLOOKUP(H3012,Listas!$J$2:$K$1048576,2,FALSE),""))</f>
        <v/>
      </c>
      <c r="K3012" s="5" t="str">
        <f>IF(OR(I3012="",G3012=""),"",IF(G3012="Saída",-I3012,I3012))</f>
        <v/>
      </c>
      <c r="L3012" t="str">
        <f>IF(E3012="","",IFERROR(VLOOKUP(E3012,Listas!$A$2:$C$1048576,3,FALSE),""))</f>
        <v/>
      </c>
    </row>
    <row r="3013" spans="10:12" x14ac:dyDescent="0.25">
      <c r="J3013" t="str">
        <f>IF(H3013="","",IFERROR(VLOOKUP(H3013,Listas!$J$2:$K$1048576,2,FALSE),""))</f>
        <v/>
      </c>
      <c r="K3013" s="5" t="str">
        <f>IF(OR(I3013="",G3013=""),"",IF(G3013="Saída",-I3013,I3013))</f>
        <v/>
      </c>
      <c r="L3013" t="str">
        <f>IF(E3013="","",IFERROR(VLOOKUP(E3013,Listas!$A$2:$C$1048576,3,FALSE),""))</f>
        <v/>
      </c>
    </row>
    <row r="3014" spans="10:12" x14ac:dyDescent="0.25">
      <c r="J3014" t="str">
        <f>IF(H3014="","",IFERROR(VLOOKUP(H3014,Listas!$J$2:$K$1048576,2,FALSE),""))</f>
        <v/>
      </c>
      <c r="K3014" s="5" t="str">
        <f>IF(OR(I3014="",G3014=""),"",IF(G3014="Saída",-I3014,I3014))</f>
        <v/>
      </c>
      <c r="L3014" t="str">
        <f>IF(E3014="","",IFERROR(VLOOKUP(E3014,Listas!$A$2:$C$1048576,3,FALSE),""))</f>
        <v/>
      </c>
    </row>
    <row r="3015" spans="10:12" x14ac:dyDescent="0.25">
      <c r="J3015" t="str">
        <f>IF(H3015="","",IFERROR(VLOOKUP(H3015,Listas!$J$2:$K$1048576,2,FALSE),""))</f>
        <v/>
      </c>
      <c r="K3015" s="5" t="str">
        <f>IF(OR(I3015="",G3015=""),"",IF(G3015="Saída",-I3015,I3015))</f>
        <v/>
      </c>
      <c r="L3015" t="str">
        <f>IF(E3015="","",IFERROR(VLOOKUP(E3015,Listas!$A$2:$C$1048576,3,FALSE),""))</f>
        <v/>
      </c>
    </row>
    <row r="3016" spans="10:12" x14ac:dyDescent="0.25">
      <c r="J3016" t="str">
        <f>IF(H3016="","",IFERROR(VLOOKUP(H3016,Listas!$J$2:$K$1048576,2,FALSE),""))</f>
        <v/>
      </c>
      <c r="K3016" s="5" t="str">
        <f>IF(OR(I3016="",G3016=""),"",IF(G3016="Saída",-I3016,I3016))</f>
        <v/>
      </c>
      <c r="L3016" t="str">
        <f>IF(E3016="","",IFERROR(VLOOKUP(E3016,Listas!$A$2:$C$1048576,3,FALSE),""))</f>
        <v/>
      </c>
    </row>
    <row r="3017" spans="10:12" x14ac:dyDescent="0.25">
      <c r="J3017" t="str">
        <f>IF(H3017="","",IFERROR(VLOOKUP(H3017,Listas!$J$2:$K$1048576,2,FALSE),""))</f>
        <v/>
      </c>
      <c r="K3017" s="5" t="str">
        <f>IF(OR(I3017="",G3017=""),"",IF(G3017="Saída",-I3017,I3017))</f>
        <v/>
      </c>
      <c r="L3017" t="str">
        <f>IF(E3017="","",IFERROR(VLOOKUP(E3017,Listas!$A$2:$C$1048576,3,FALSE),""))</f>
        <v/>
      </c>
    </row>
    <row r="3018" spans="10:12" x14ac:dyDescent="0.25">
      <c r="J3018" t="str">
        <f>IF(H3018="","",IFERROR(VLOOKUP(H3018,Listas!$J$2:$K$1048576,2,FALSE),""))</f>
        <v/>
      </c>
      <c r="K3018" s="5" t="str">
        <f>IF(OR(I3018="",G3018=""),"",IF(G3018="Saída",-I3018,I3018))</f>
        <v/>
      </c>
      <c r="L3018" t="str">
        <f>IF(E3018="","",IFERROR(VLOOKUP(E3018,Listas!$A$2:$C$1048576,3,FALSE),""))</f>
        <v/>
      </c>
    </row>
    <row r="3019" spans="10:12" x14ac:dyDescent="0.25">
      <c r="J3019" t="str">
        <f>IF(H3019="","",IFERROR(VLOOKUP(H3019,Listas!$J$2:$K$1048576,2,FALSE),""))</f>
        <v/>
      </c>
      <c r="K3019" s="5" t="str">
        <f>IF(OR(I3019="",G3019=""),"",IF(G3019="Saída",-I3019,I3019))</f>
        <v/>
      </c>
      <c r="L3019" t="str">
        <f>IF(E3019="","",IFERROR(VLOOKUP(E3019,Listas!$A$2:$C$1048576,3,FALSE),""))</f>
        <v/>
      </c>
    </row>
    <row r="3020" spans="10:12" x14ac:dyDescent="0.25">
      <c r="J3020" t="str">
        <f>IF(H3020="","",IFERROR(VLOOKUP(H3020,Listas!$J$2:$K$1048576,2,FALSE),""))</f>
        <v/>
      </c>
      <c r="K3020" s="5" t="str">
        <f>IF(OR(I3020="",G3020=""),"",IF(G3020="Saída",-I3020,I3020))</f>
        <v/>
      </c>
      <c r="L3020" t="str">
        <f>IF(E3020="","",IFERROR(VLOOKUP(E3020,Listas!$A$2:$C$1048576,3,FALSE),""))</f>
        <v/>
      </c>
    </row>
    <row r="3021" spans="10:12" x14ac:dyDescent="0.25">
      <c r="J3021" t="str">
        <f>IF(H3021="","",IFERROR(VLOOKUP(H3021,Listas!$J$2:$K$1048576,2,FALSE),""))</f>
        <v/>
      </c>
      <c r="K3021" s="5" t="str">
        <f>IF(OR(I3021="",G3021=""),"",IF(G3021="Saída",-I3021,I3021))</f>
        <v/>
      </c>
      <c r="L3021" t="str">
        <f>IF(E3021="","",IFERROR(VLOOKUP(E3021,Listas!$A$2:$C$1048576,3,FALSE),""))</f>
        <v/>
      </c>
    </row>
    <row r="3022" spans="10:12" x14ac:dyDescent="0.25">
      <c r="J3022" t="str">
        <f>IF(H3022="","",IFERROR(VLOOKUP(H3022,Listas!$J$2:$K$1048576,2,FALSE),""))</f>
        <v/>
      </c>
      <c r="K3022" s="5" t="str">
        <f>IF(OR(I3022="",G3022=""),"",IF(G3022="Saída",-I3022,I3022))</f>
        <v/>
      </c>
      <c r="L3022" t="str">
        <f>IF(E3022="","",IFERROR(VLOOKUP(E3022,Listas!$A$2:$C$1048576,3,FALSE),""))</f>
        <v/>
      </c>
    </row>
    <row r="3023" spans="10:12" x14ac:dyDescent="0.25">
      <c r="J3023" t="str">
        <f>IF(H3023="","",IFERROR(VLOOKUP(H3023,Listas!$J$2:$K$1048576,2,FALSE),""))</f>
        <v/>
      </c>
      <c r="K3023" s="5" t="str">
        <f>IF(OR(I3023="",G3023=""),"",IF(G3023="Saída",-I3023,I3023))</f>
        <v/>
      </c>
      <c r="L3023" t="str">
        <f>IF(E3023="","",IFERROR(VLOOKUP(E3023,Listas!$A$2:$C$1048576,3,FALSE),""))</f>
        <v/>
      </c>
    </row>
    <row r="3024" spans="10:12" x14ac:dyDescent="0.25">
      <c r="J3024" t="str">
        <f>IF(H3024="","",IFERROR(VLOOKUP(H3024,Listas!$J$2:$K$1048576,2,FALSE),""))</f>
        <v/>
      </c>
      <c r="K3024" s="5" t="str">
        <f>IF(OR(I3024="",G3024=""),"",IF(G3024="Saída",-I3024,I3024))</f>
        <v/>
      </c>
      <c r="L3024" t="str">
        <f>IF(E3024="","",IFERROR(VLOOKUP(E3024,Listas!$A$2:$C$1048576,3,FALSE),""))</f>
        <v/>
      </c>
    </row>
    <row r="3025" spans="10:12" x14ac:dyDescent="0.25">
      <c r="J3025" t="str">
        <f>IF(H3025="","",IFERROR(VLOOKUP(H3025,Listas!$J$2:$K$1048576,2,FALSE),""))</f>
        <v/>
      </c>
      <c r="K3025" s="5" t="str">
        <f>IF(OR(I3025="",G3025=""),"",IF(G3025="Saída",-I3025,I3025))</f>
        <v/>
      </c>
      <c r="L3025" t="str">
        <f>IF(E3025="","",IFERROR(VLOOKUP(E3025,Listas!$A$2:$C$1048576,3,FALSE),""))</f>
        <v/>
      </c>
    </row>
    <row r="3026" spans="10:12" x14ac:dyDescent="0.25">
      <c r="J3026" t="str">
        <f>IF(H3026="","",IFERROR(VLOOKUP(H3026,Listas!$J$2:$K$1048576,2,FALSE),""))</f>
        <v/>
      </c>
      <c r="K3026" s="5" t="str">
        <f>IF(OR(I3026="",G3026=""),"",IF(G3026="Saída",-I3026,I3026))</f>
        <v/>
      </c>
      <c r="L3026" t="str">
        <f>IF(E3026="","",IFERROR(VLOOKUP(E3026,Listas!$A$2:$C$1048576,3,FALSE),""))</f>
        <v/>
      </c>
    </row>
    <row r="3027" spans="10:12" x14ac:dyDescent="0.25">
      <c r="J3027" t="str">
        <f>IF(H3027="","",IFERROR(VLOOKUP(H3027,Listas!$J$2:$K$1048576,2,FALSE),""))</f>
        <v/>
      </c>
      <c r="K3027" s="5" t="str">
        <f>IF(OR(I3027="",G3027=""),"",IF(G3027="Saída",-I3027,I3027))</f>
        <v/>
      </c>
      <c r="L3027" t="str">
        <f>IF(E3027="","",IFERROR(VLOOKUP(E3027,Listas!$A$2:$C$1048576,3,FALSE),""))</f>
        <v/>
      </c>
    </row>
    <row r="3028" spans="10:12" x14ac:dyDescent="0.25">
      <c r="J3028" t="str">
        <f>IF(H3028="","",IFERROR(VLOOKUP(H3028,Listas!$J$2:$K$1048576,2,FALSE),""))</f>
        <v/>
      </c>
      <c r="K3028" s="5" t="str">
        <f>IF(OR(I3028="",G3028=""),"",IF(G3028="Saída",-I3028,I3028))</f>
        <v/>
      </c>
      <c r="L3028" t="str">
        <f>IF(E3028="","",IFERROR(VLOOKUP(E3028,Listas!$A$2:$C$1048576,3,FALSE),""))</f>
        <v/>
      </c>
    </row>
    <row r="3029" spans="10:12" x14ac:dyDescent="0.25">
      <c r="J3029" t="str">
        <f>IF(H3029="","",IFERROR(VLOOKUP(H3029,Listas!$J$2:$K$1048576,2,FALSE),""))</f>
        <v/>
      </c>
      <c r="K3029" s="5" t="str">
        <f>IF(OR(I3029="",G3029=""),"",IF(G3029="Saída",-I3029,I3029))</f>
        <v/>
      </c>
      <c r="L3029" t="str">
        <f>IF(E3029="","",IFERROR(VLOOKUP(E3029,Listas!$A$2:$C$1048576,3,FALSE),""))</f>
        <v/>
      </c>
    </row>
    <row r="3030" spans="10:12" x14ac:dyDescent="0.25">
      <c r="J3030" t="str">
        <f>IF(H3030="","",IFERROR(VLOOKUP(H3030,Listas!$J$2:$K$1048576,2,FALSE),""))</f>
        <v/>
      </c>
      <c r="K3030" s="5" t="str">
        <f>IF(OR(I3030="",G3030=""),"",IF(G3030="Saída",-I3030,I3030))</f>
        <v/>
      </c>
      <c r="L3030" t="str">
        <f>IF(E3030="","",IFERROR(VLOOKUP(E3030,Listas!$A$2:$C$1048576,3,FALSE),""))</f>
        <v/>
      </c>
    </row>
    <row r="3031" spans="10:12" x14ac:dyDescent="0.25">
      <c r="J3031" t="str">
        <f>IF(H3031="","",IFERROR(VLOOKUP(H3031,Listas!$J$2:$K$1048576,2,FALSE),""))</f>
        <v/>
      </c>
      <c r="K3031" s="5" t="str">
        <f>IF(OR(I3031="",G3031=""),"",IF(G3031="Saída",-I3031,I3031))</f>
        <v/>
      </c>
      <c r="L3031" t="str">
        <f>IF(E3031="","",IFERROR(VLOOKUP(E3031,Listas!$A$2:$C$1048576,3,FALSE),""))</f>
        <v/>
      </c>
    </row>
    <row r="3032" spans="10:12" x14ac:dyDescent="0.25">
      <c r="J3032" t="str">
        <f>IF(H3032="","",IFERROR(VLOOKUP(H3032,Listas!$J$2:$K$1048576,2,FALSE),""))</f>
        <v/>
      </c>
      <c r="K3032" s="5" t="str">
        <f>IF(OR(I3032="",G3032=""),"",IF(G3032="Saída",-I3032,I3032))</f>
        <v/>
      </c>
      <c r="L3032" t="str">
        <f>IF(E3032="","",IFERROR(VLOOKUP(E3032,Listas!$A$2:$C$1048576,3,FALSE),""))</f>
        <v/>
      </c>
    </row>
    <row r="3033" spans="10:12" x14ac:dyDescent="0.25">
      <c r="J3033" t="str">
        <f>IF(H3033="","",IFERROR(VLOOKUP(H3033,Listas!$J$2:$K$1048576,2,FALSE),""))</f>
        <v/>
      </c>
      <c r="K3033" s="5" t="str">
        <f>IF(OR(I3033="",G3033=""),"",IF(G3033="Saída",-I3033,I3033))</f>
        <v/>
      </c>
      <c r="L3033" t="str">
        <f>IF(E3033="","",IFERROR(VLOOKUP(E3033,Listas!$A$2:$C$1048576,3,FALSE),""))</f>
        <v/>
      </c>
    </row>
    <row r="3034" spans="10:12" x14ac:dyDescent="0.25">
      <c r="J3034" t="str">
        <f>IF(H3034="","",IFERROR(VLOOKUP(H3034,Listas!$J$2:$K$1048576,2,FALSE),""))</f>
        <v/>
      </c>
      <c r="K3034" s="5" t="str">
        <f>IF(OR(I3034="",G3034=""),"",IF(G3034="Saída",-I3034,I3034))</f>
        <v/>
      </c>
      <c r="L3034" t="str">
        <f>IF(E3034="","",IFERROR(VLOOKUP(E3034,Listas!$A$2:$C$1048576,3,FALSE),""))</f>
        <v/>
      </c>
    </row>
    <row r="3035" spans="10:12" x14ac:dyDescent="0.25">
      <c r="J3035" t="str">
        <f>IF(H3035="","",IFERROR(VLOOKUP(H3035,Listas!$J$2:$K$1048576,2,FALSE),""))</f>
        <v/>
      </c>
      <c r="K3035" s="5" t="str">
        <f>IF(OR(I3035="",G3035=""),"",IF(G3035="Saída",-I3035,I3035))</f>
        <v/>
      </c>
      <c r="L3035" t="str">
        <f>IF(E3035="","",IFERROR(VLOOKUP(E3035,Listas!$A$2:$C$1048576,3,FALSE),""))</f>
        <v/>
      </c>
    </row>
    <row r="3036" spans="10:12" x14ac:dyDescent="0.25">
      <c r="J3036" t="str">
        <f>IF(H3036="","",IFERROR(VLOOKUP(H3036,Listas!$J$2:$K$1048576,2,FALSE),""))</f>
        <v/>
      </c>
      <c r="K3036" s="5" t="str">
        <f>IF(OR(I3036="",G3036=""),"",IF(G3036="Saída",-I3036,I3036))</f>
        <v/>
      </c>
      <c r="L3036" t="str">
        <f>IF(E3036="","",IFERROR(VLOOKUP(E3036,Listas!$A$2:$C$1048576,3,FALSE),""))</f>
        <v/>
      </c>
    </row>
    <row r="3037" spans="10:12" x14ac:dyDescent="0.25">
      <c r="J3037" t="str">
        <f>IF(H3037="","",IFERROR(VLOOKUP(H3037,Listas!$J$2:$K$1048576,2,FALSE),""))</f>
        <v/>
      </c>
      <c r="K3037" s="5" t="str">
        <f>IF(OR(I3037="",G3037=""),"",IF(G3037="Saída",-I3037,I3037))</f>
        <v/>
      </c>
      <c r="L3037" t="str">
        <f>IF(E3037="","",IFERROR(VLOOKUP(E3037,Listas!$A$2:$C$1048576,3,FALSE),""))</f>
        <v/>
      </c>
    </row>
    <row r="3038" spans="10:12" x14ac:dyDescent="0.25">
      <c r="J3038" t="str">
        <f>IF(H3038="","",IFERROR(VLOOKUP(H3038,Listas!$J$2:$K$1048576,2,FALSE),""))</f>
        <v/>
      </c>
      <c r="K3038" s="5" t="str">
        <f>IF(OR(I3038="",G3038=""),"",IF(G3038="Saída",-I3038,I3038))</f>
        <v/>
      </c>
      <c r="L3038" t="str">
        <f>IF(E3038="","",IFERROR(VLOOKUP(E3038,Listas!$A$2:$C$1048576,3,FALSE),""))</f>
        <v/>
      </c>
    </row>
    <row r="3039" spans="10:12" x14ac:dyDescent="0.25">
      <c r="J3039" t="str">
        <f>IF(H3039="","",IFERROR(VLOOKUP(H3039,Listas!$J$2:$K$1048576,2,FALSE),""))</f>
        <v/>
      </c>
      <c r="K3039" s="5" t="str">
        <f>IF(OR(I3039="",G3039=""),"",IF(G3039="Saída",-I3039,I3039))</f>
        <v/>
      </c>
      <c r="L3039" t="str">
        <f>IF(E3039="","",IFERROR(VLOOKUP(E3039,Listas!$A$2:$C$1048576,3,FALSE),""))</f>
        <v/>
      </c>
    </row>
    <row r="3040" spans="10:12" x14ac:dyDescent="0.25">
      <c r="J3040" t="str">
        <f>IF(H3040="","",IFERROR(VLOOKUP(H3040,Listas!$J$2:$K$1048576,2,FALSE),""))</f>
        <v/>
      </c>
      <c r="K3040" s="5" t="str">
        <f>IF(OR(I3040="",G3040=""),"",IF(G3040="Saída",-I3040,I3040))</f>
        <v/>
      </c>
      <c r="L3040" t="str">
        <f>IF(E3040="","",IFERROR(VLOOKUP(E3040,Listas!$A$2:$C$1048576,3,FALSE),""))</f>
        <v/>
      </c>
    </row>
    <row r="3041" spans="10:12" x14ac:dyDescent="0.25">
      <c r="J3041" t="str">
        <f>IF(H3041="","",IFERROR(VLOOKUP(H3041,Listas!$J$2:$K$1048576,2,FALSE),""))</f>
        <v/>
      </c>
      <c r="K3041" s="5" t="str">
        <f>IF(OR(I3041="",G3041=""),"",IF(G3041="Saída",-I3041,I3041))</f>
        <v/>
      </c>
      <c r="L3041" t="str">
        <f>IF(E3041="","",IFERROR(VLOOKUP(E3041,Listas!$A$2:$C$1048576,3,FALSE),""))</f>
        <v/>
      </c>
    </row>
    <row r="3042" spans="10:12" x14ac:dyDescent="0.25">
      <c r="J3042" t="str">
        <f>IF(H3042="","",IFERROR(VLOOKUP(H3042,Listas!$J$2:$K$1048576,2,FALSE),""))</f>
        <v/>
      </c>
      <c r="K3042" s="5" t="str">
        <f>IF(OR(I3042="",G3042=""),"",IF(G3042="Saída",-I3042,I3042))</f>
        <v/>
      </c>
      <c r="L3042" t="str">
        <f>IF(E3042="","",IFERROR(VLOOKUP(E3042,Listas!$A$2:$C$1048576,3,FALSE),""))</f>
        <v/>
      </c>
    </row>
    <row r="3043" spans="10:12" x14ac:dyDescent="0.25">
      <c r="J3043" t="str">
        <f>IF(H3043="","",IFERROR(VLOOKUP(H3043,Listas!$J$2:$K$1048576,2,FALSE),""))</f>
        <v/>
      </c>
      <c r="K3043" s="5" t="str">
        <f>IF(OR(I3043="",G3043=""),"",IF(G3043="Saída",-I3043,I3043))</f>
        <v/>
      </c>
      <c r="L3043" t="str">
        <f>IF(E3043="","",IFERROR(VLOOKUP(E3043,Listas!$A$2:$C$1048576,3,FALSE),""))</f>
        <v/>
      </c>
    </row>
    <row r="3044" spans="10:12" x14ac:dyDescent="0.25">
      <c r="J3044" t="str">
        <f>IF(H3044="","",IFERROR(VLOOKUP(H3044,Listas!$J$2:$K$1048576,2,FALSE),""))</f>
        <v/>
      </c>
      <c r="K3044" s="5" t="str">
        <f>IF(OR(I3044="",G3044=""),"",IF(G3044="Saída",-I3044,I3044))</f>
        <v/>
      </c>
      <c r="L3044" t="str">
        <f>IF(E3044="","",IFERROR(VLOOKUP(E3044,Listas!$A$2:$C$1048576,3,FALSE),""))</f>
        <v/>
      </c>
    </row>
    <row r="3045" spans="10:12" x14ac:dyDescent="0.25">
      <c r="J3045" t="str">
        <f>IF(H3045="","",IFERROR(VLOOKUP(H3045,Listas!$J$2:$K$1048576,2,FALSE),""))</f>
        <v/>
      </c>
      <c r="K3045" s="5" t="str">
        <f>IF(OR(I3045="",G3045=""),"",IF(G3045="Saída",-I3045,I3045))</f>
        <v/>
      </c>
      <c r="L3045" t="str">
        <f>IF(E3045="","",IFERROR(VLOOKUP(E3045,Listas!$A$2:$C$1048576,3,FALSE),""))</f>
        <v/>
      </c>
    </row>
    <row r="3046" spans="10:12" x14ac:dyDescent="0.25">
      <c r="J3046" t="str">
        <f>IF(H3046="","",IFERROR(VLOOKUP(H3046,Listas!$J$2:$K$1048576,2,FALSE),""))</f>
        <v/>
      </c>
      <c r="K3046" s="5" t="str">
        <f>IF(OR(I3046="",G3046=""),"",IF(G3046="Saída",-I3046,I3046))</f>
        <v/>
      </c>
      <c r="L3046" t="str">
        <f>IF(E3046="","",IFERROR(VLOOKUP(E3046,Listas!$A$2:$C$1048576,3,FALSE),""))</f>
        <v/>
      </c>
    </row>
    <row r="3047" spans="10:12" x14ac:dyDescent="0.25">
      <c r="J3047" t="str">
        <f>IF(H3047="","",IFERROR(VLOOKUP(H3047,Listas!$J$2:$K$1048576,2,FALSE),""))</f>
        <v/>
      </c>
      <c r="K3047" s="5" t="str">
        <f>IF(OR(I3047="",G3047=""),"",IF(G3047="Saída",-I3047,I3047))</f>
        <v/>
      </c>
      <c r="L3047" t="str">
        <f>IF(E3047="","",IFERROR(VLOOKUP(E3047,Listas!$A$2:$C$1048576,3,FALSE),""))</f>
        <v/>
      </c>
    </row>
    <row r="3048" spans="10:12" x14ac:dyDescent="0.25">
      <c r="J3048" t="str">
        <f>IF(H3048="","",IFERROR(VLOOKUP(H3048,Listas!$J$2:$K$1048576,2,FALSE),""))</f>
        <v/>
      </c>
      <c r="K3048" s="5" t="str">
        <f>IF(OR(I3048="",G3048=""),"",IF(G3048="Saída",-I3048,I3048))</f>
        <v/>
      </c>
      <c r="L3048" t="str">
        <f>IF(E3048="","",IFERROR(VLOOKUP(E3048,Listas!$A$2:$C$1048576,3,FALSE),""))</f>
        <v/>
      </c>
    </row>
    <row r="3049" spans="10:12" x14ac:dyDescent="0.25">
      <c r="J3049" t="str">
        <f>IF(H3049="","",IFERROR(VLOOKUP(H3049,Listas!$J$2:$K$1048576,2,FALSE),""))</f>
        <v/>
      </c>
      <c r="K3049" s="5" t="str">
        <f>IF(OR(I3049="",G3049=""),"",IF(G3049="Saída",-I3049,I3049))</f>
        <v/>
      </c>
      <c r="L3049" t="str">
        <f>IF(E3049="","",IFERROR(VLOOKUP(E3049,Listas!$A$2:$C$1048576,3,FALSE),""))</f>
        <v/>
      </c>
    </row>
    <row r="3050" spans="10:12" x14ac:dyDescent="0.25">
      <c r="J3050" t="str">
        <f>IF(H3050="","",IFERROR(VLOOKUP(H3050,Listas!$J$2:$K$1048576,2,FALSE),""))</f>
        <v/>
      </c>
      <c r="K3050" s="5" t="str">
        <f>IF(OR(I3050="",G3050=""),"",IF(G3050="Saída",-I3050,I3050))</f>
        <v/>
      </c>
      <c r="L3050" t="str">
        <f>IF(E3050="","",IFERROR(VLOOKUP(E3050,Listas!$A$2:$C$1048576,3,FALSE),""))</f>
        <v/>
      </c>
    </row>
    <row r="3051" spans="10:12" x14ac:dyDescent="0.25">
      <c r="J3051" t="str">
        <f>IF(H3051="","",IFERROR(VLOOKUP(H3051,Listas!$J$2:$K$1048576,2,FALSE),""))</f>
        <v/>
      </c>
      <c r="K3051" s="5" t="str">
        <f>IF(OR(I3051="",G3051=""),"",IF(G3051="Saída",-I3051,I3051))</f>
        <v/>
      </c>
      <c r="L3051" t="str">
        <f>IF(E3051="","",IFERROR(VLOOKUP(E3051,Listas!$A$2:$C$1048576,3,FALSE),""))</f>
        <v/>
      </c>
    </row>
    <row r="3052" spans="10:12" x14ac:dyDescent="0.25">
      <c r="J3052" t="str">
        <f>IF(H3052="","",IFERROR(VLOOKUP(H3052,Listas!$J$2:$K$1048576,2,FALSE),""))</f>
        <v/>
      </c>
      <c r="K3052" s="5" t="str">
        <f>IF(OR(I3052="",G3052=""),"",IF(G3052="Saída",-I3052,I3052))</f>
        <v/>
      </c>
      <c r="L3052" t="str">
        <f>IF(E3052="","",IFERROR(VLOOKUP(E3052,Listas!$A$2:$C$1048576,3,FALSE),""))</f>
        <v/>
      </c>
    </row>
    <row r="3053" spans="10:12" x14ac:dyDescent="0.25">
      <c r="J3053" t="str">
        <f>IF(H3053="","",IFERROR(VLOOKUP(H3053,Listas!$J$2:$K$1048576,2,FALSE),""))</f>
        <v/>
      </c>
      <c r="K3053" s="5" t="str">
        <f>IF(OR(I3053="",G3053=""),"",IF(G3053="Saída",-I3053,I3053))</f>
        <v/>
      </c>
      <c r="L3053" t="str">
        <f>IF(E3053="","",IFERROR(VLOOKUP(E3053,Listas!$A$2:$C$1048576,3,FALSE),""))</f>
        <v/>
      </c>
    </row>
    <row r="3054" spans="10:12" x14ac:dyDescent="0.25">
      <c r="J3054" t="str">
        <f>IF(H3054="","",IFERROR(VLOOKUP(H3054,Listas!$J$2:$K$1048576,2,FALSE),""))</f>
        <v/>
      </c>
      <c r="K3054" s="5" t="str">
        <f>IF(OR(I3054="",G3054=""),"",IF(G3054="Saída",-I3054,I3054))</f>
        <v/>
      </c>
      <c r="L3054" t="str">
        <f>IF(E3054="","",IFERROR(VLOOKUP(E3054,Listas!$A$2:$C$1048576,3,FALSE),""))</f>
        <v/>
      </c>
    </row>
    <row r="3055" spans="10:12" x14ac:dyDescent="0.25">
      <c r="J3055" t="str">
        <f>IF(H3055="","",IFERROR(VLOOKUP(H3055,Listas!$J$2:$K$1048576,2,FALSE),""))</f>
        <v/>
      </c>
      <c r="K3055" s="5" t="str">
        <f>IF(OR(I3055="",G3055=""),"",IF(G3055="Saída",-I3055,I3055))</f>
        <v/>
      </c>
      <c r="L3055" t="str">
        <f>IF(E3055="","",IFERROR(VLOOKUP(E3055,Listas!$A$2:$C$1048576,3,FALSE),""))</f>
        <v/>
      </c>
    </row>
    <row r="3056" spans="10:12" x14ac:dyDescent="0.25">
      <c r="J3056" t="str">
        <f>IF(H3056="","",IFERROR(VLOOKUP(H3056,Listas!$J$2:$K$1048576,2,FALSE),""))</f>
        <v/>
      </c>
      <c r="K3056" s="5" t="str">
        <f>IF(OR(I3056="",G3056=""),"",IF(G3056="Saída",-I3056,I3056))</f>
        <v/>
      </c>
      <c r="L3056" t="str">
        <f>IF(E3056="","",IFERROR(VLOOKUP(E3056,Listas!$A$2:$C$1048576,3,FALSE),""))</f>
        <v/>
      </c>
    </row>
    <row r="3057" spans="10:12" x14ac:dyDescent="0.25">
      <c r="J3057" t="str">
        <f>IF(H3057="","",IFERROR(VLOOKUP(H3057,Listas!$J$2:$K$1048576,2,FALSE),""))</f>
        <v/>
      </c>
      <c r="K3057" s="5" t="str">
        <f>IF(OR(I3057="",G3057=""),"",IF(G3057="Saída",-I3057,I3057))</f>
        <v/>
      </c>
      <c r="L3057" t="str">
        <f>IF(E3057="","",IFERROR(VLOOKUP(E3057,Listas!$A$2:$C$1048576,3,FALSE),""))</f>
        <v/>
      </c>
    </row>
    <row r="3058" spans="10:12" x14ac:dyDescent="0.25">
      <c r="J3058" t="str">
        <f>IF(H3058="","",IFERROR(VLOOKUP(H3058,Listas!$J$2:$K$1048576,2,FALSE),""))</f>
        <v/>
      </c>
      <c r="K3058" s="5" t="str">
        <f>IF(OR(I3058="",G3058=""),"",IF(G3058="Saída",-I3058,I3058))</f>
        <v/>
      </c>
      <c r="L3058" t="str">
        <f>IF(E3058="","",IFERROR(VLOOKUP(E3058,Listas!$A$2:$C$1048576,3,FALSE),""))</f>
        <v/>
      </c>
    </row>
    <row r="3059" spans="10:12" x14ac:dyDescent="0.25">
      <c r="J3059" t="str">
        <f>IF(H3059="","",IFERROR(VLOOKUP(H3059,Listas!$J$2:$K$1048576,2,FALSE),""))</f>
        <v/>
      </c>
      <c r="K3059" s="5" t="str">
        <f>IF(OR(I3059="",G3059=""),"",IF(G3059="Saída",-I3059,I3059))</f>
        <v/>
      </c>
      <c r="L3059" t="str">
        <f>IF(E3059="","",IFERROR(VLOOKUP(E3059,Listas!$A$2:$C$1048576,3,FALSE),""))</f>
        <v/>
      </c>
    </row>
    <row r="3060" spans="10:12" x14ac:dyDescent="0.25">
      <c r="J3060" t="str">
        <f>IF(H3060="","",IFERROR(VLOOKUP(H3060,Listas!$J$2:$K$1048576,2,FALSE),""))</f>
        <v/>
      </c>
      <c r="K3060" s="5" t="str">
        <f>IF(OR(I3060="",G3060=""),"",IF(G3060="Saída",-I3060,I3060))</f>
        <v/>
      </c>
      <c r="L3060" t="str">
        <f>IF(E3060="","",IFERROR(VLOOKUP(E3060,Listas!$A$2:$C$1048576,3,FALSE),""))</f>
        <v/>
      </c>
    </row>
    <row r="3061" spans="10:12" x14ac:dyDescent="0.25">
      <c r="J3061" t="str">
        <f>IF(H3061="","",IFERROR(VLOOKUP(H3061,Listas!$J$2:$K$1048576,2,FALSE),""))</f>
        <v/>
      </c>
      <c r="K3061" s="5" t="str">
        <f>IF(OR(I3061="",G3061=""),"",IF(G3061="Saída",-I3061,I3061))</f>
        <v/>
      </c>
      <c r="L3061" t="str">
        <f>IF(E3061="","",IFERROR(VLOOKUP(E3061,Listas!$A$2:$C$1048576,3,FALSE),""))</f>
        <v/>
      </c>
    </row>
    <row r="3062" spans="10:12" x14ac:dyDescent="0.25">
      <c r="J3062" t="str">
        <f>IF(H3062="","",IFERROR(VLOOKUP(H3062,Listas!$J$2:$K$1048576,2,FALSE),""))</f>
        <v/>
      </c>
      <c r="K3062" s="5" t="str">
        <f>IF(OR(I3062="",G3062=""),"",IF(G3062="Saída",-I3062,I3062))</f>
        <v/>
      </c>
      <c r="L3062" t="str">
        <f>IF(E3062="","",IFERROR(VLOOKUP(E3062,Listas!$A$2:$C$1048576,3,FALSE),""))</f>
        <v/>
      </c>
    </row>
    <row r="3063" spans="10:12" x14ac:dyDescent="0.25">
      <c r="J3063" t="str">
        <f>IF(H3063="","",IFERROR(VLOOKUP(H3063,Listas!$J$2:$K$1048576,2,FALSE),""))</f>
        <v/>
      </c>
      <c r="K3063" s="5" t="str">
        <f>IF(OR(I3063="",G3063=""),"",IF(G3063="Saída",-I3063,I3063))</f>
        <v/>
      </c>
      <c r="L3063" t="str">
        <f>IF(E3063="","",IFERROR(VLOOKUP(E3063,Listas!$A$2:$C$1048576,3,FALSE),""))</f>
        <v/>
      </c>
    </row>
    <row r="3064" spans="10:12" x14ac:dyDescent="0.25">
      <c r="J3064" t="str">
        <f>IF(H3064="","",IFERROR(VLOOKUP(H3064,Listas!$J$2:$K$1048576,2,FALSE),""))</f>
        <v/>
      </c>
      <c r="K3064" s="5" t="str">
        <f>IF(OR(I3064="",G3064=""),"",IF(G3064="Saída",-I3064,I3064))</f>
        <v/>
      </c>
      <c r="L3064" t="str">
        <f>IF(E3064="","",IFERROR(VLOOKUP(E3064,Listas!$A$2:$C$1048576,3,FALSE),""))</f>
        <v/>
      </c>
    </row>
    <row r="3065" spans="10:12" x14ac:dyDescent="0.25">
      <c r="J3065" t="str">
        <f>IF(H3065="","",IFERROR(VLOOKUP(H3065,Listas!$J$2:$K$1048576,2,FALSE),""))</f>
        <v/>
      </c>
      <c r="K3065" s="5" t="str">
        <f>IF(OR(I3065="",G3065=""),"",IF(G3065="Saída",-I3065,I3065))</f>
        <v/>
      </c>
      <c r="L3065" t="str">
        <f>IF(E3065="","",IFERROR(VLOOKUP(E3065,Listas!$A$2:$C$1048576,3,FALSE),""))</f>
        <v/>
      </c>
    </row>
    <row r="3066" spans="10:12" x14ac:dyDescent="0.25">
      <c r="J3066" t="str">
        <f>IF(H3066="","",IFERROR(VLOOKUP(H3066,Listas!$J$2:$K$1048576,2,FALSE),""))</f>
        <v/>
      </c>
      <c r="K3066" s="5" t="str">
        <f>IF(OR(I3066="",G3066=""),"",IF(G3066="Saída",-I3066,I3066))</f>
        <v/>
      </c>
      <c r="L3066" t="str">
        <f>IF(E3066="","",IFERROR(VLOOKUP(E3066,Listas!$A$2:$C$1048576,3,FALSE),""))</f>
        <v/>
      </c>
    </row>
    <row r="3067" spans="10:12" x14ac:dyDescent="0.25">
      <c r="J3067" t="str">
        <f>IF(H3067="","",IFERROR(VLOOKUP(H3067,Listas!$J$2:$K$1048576,2,FALSE),""))</f>
        <v/>
      </c>
      <c r="K3067" s="5" t="str">
        <f>IF(OR(I3067="",G3067=""),"",IF(G3067="Saída",-I3067,I3067))</f>
        <v/>
      </c>
      <c r="L3067" t="str">
        <f>IF(E3067="","",IFERROR(VLOOKUP(E3067,Listas!$A$2:$C$1048576,3,FALSE),""))</f>
        <v/>
      </c>
    </row>
    <row r="3068" spans="10:12" x14ac:dyDescent="0.25">
      <c r="J3068" t="str">
        <f>IF(H3068="","",IFERROR(VLOOKUP(H3068,Listas!$J$2:$K$1048576,2,FALSE),""))</f>
        <v/>
      </c>
      <c r="K3068" s="5" t="str">
        <f>IF(OR(I3068="",G3068=""),"",IF(G3068="Saída",-I3068,I3068))</f>
        <v/>
      </c>
      <c r="L3068" t="str">
        <f>IF(E3068="","",IFERROR(VLOOKUP(E3068,Listas!$A$2:$C$1048576,3,FALSE),""))</f>
        <v/>
      </c>
    </row>
    <row r="3069" spans="10:12" x14ac:dyDescent="0.25">
      <c r="J3069" t="str">
        <f>IF(H3069="","",IFERROR(VLOOKUP(H3069,Listas!$J$2:$K$1048576,2,FALSE),""))</f>
        <v/>
      </c>
      <c r="K3069" s="5" t="str">
        <f>IF(OR(I3069="",G3069=""),"",IF(G3069="Saída",-I3069,I3069))</f>
        <v/>
      </c>
      <c r="L3069" t="str">
        <f>IF(E3069="","",IFERROR(VLOOKUP(E3069,Listas!$A$2:$C$1048576,3,FALSE),""))</f>
        <v/>
      </c>
    </row>
    <row r="3070" spans="10:12" x14ac:dyDescent="0.25">
      <c r="J3070" t="str">
        <f>IF(H3070="","",IFERROR(VLOOKUP(H3070,Listas!$J$2:$K$1048576,2,FALSE),""))</f>
        <v/>
      </c>
      <c r="K3070" s="5" t="str">
        <f>IF(OR(I3070="",G3070=""),"",IF(G3070="Saída",-I3070,I3070))</f>
        <v/>
      </c>
      <c r="L3070" t="str">
        <f>IF(E3070="","",IFERROR(VLOOKUP(E3070,Listas!$A$2:$C$1048576,3,FALSE),""))</f>
        <v/>
      </c>
    </row>
    <row r="3071" spans="10:12" x14ac:dyDescent="0.25">
      <c r="J3071" t="str">
        <f>IF(H3071="","",IFERROR(VLOOKUP(H3071,Listas!$J$2:$K$1048576,2,FALSE),""))</f>
        <v/>
      </c>
      <c r="K3071" s="5" t="str">
        <f>IF(OR(I3071="",G3071=""),"",IF(G3071="Saída",-I3071,I3071))</f>
        <v/>
      </c>
      <c r="L3071" t="str">
        <f>IF(E3071="","",IFERROR(VLOOKUP(E3071,Listas!$A$2:$C$1048576,3,FALSE),""))</f>
        <v/>
      </c>
    </row>
    <row r="3072" spans="10:12" x14ac:dyDescent="0.25">
      <c r="J3072" t="str">
        <f>IF(H3072="","",IFERROR(VLOOKUP(H3072,Listas!$J$2:$K$1048576,2,FALSE),""))</f>
        <v/>
      </c>
      <c r="K3072" s="5" t="str">
        <f>IF(OR(I3072="",G3072=""),"",IF(G3072="Saída",-I3072,I3072))</f>
        <v/>
      </c>
      <c r="L3072" t="str">
        <f>IF(E3072="","",IFERROR(VLOOKUP(E3072,Listas!$A$2:$C$1048576,3,FALSE),""))</f>
        <v/>
      </c>
    </row>
    <row r="3073" spans="10:12" x14ac:dyDescent="0.25">
      <c r="J3073" t="str">
        <f>IF(H3073="","",IFERROR(VLOOKUP(H3073,Listas!$J$2:$K$1048576,2,FALSE),""))</f>
        <v/>
      </c>
      <c r="K3073" s="5" t="str">
        <f>IF(OR(I3073="",G3073=""),"",IF(G3073="Saída",-I3073,I3073))</f>
        <v/>
      </c>
      <c r="L3073" t="str">
        <f>IF(E3073="","",IFERROR(VLOOKUP(E3073,Listas!$A$2:$C$1048576,3,FALSE),""))</f>
        <v/>
      </c>
    </row>
    <row r="3074" spans="10:12" x14ac:dyDescent="0.25">
      <c r="J3074" t="str">
        <f>IF(H3074="","",IFERROR(VLOOKUP(H3074,Listas!$J$2:$K$1048576,2,FALSE),""))</f>
        <v/>
      </c>
      <c r="K3074" s="5" t="str">
        <f>IF(OR(I3074="",G3074=""),"",IF(G3074="Saída",-I3074,I3074))</f>
        <v/>
      </c>
      <c r="L3074" t="str">
        <f>IF(E3074="","",IFERROR(VLOOKUP(E3074,Listas!$A$2:$C$1048576,3,FALSE),""))</f>
        <v/>
      </c>
    </row>
    <row r="3075" spans="10:12" x14ac:dyDescent="0.25">
      <c r="J3075" t="str">
        <f>IF(H3075="","",IFERROR(VLOOKUP(H3075,Listas!$J$2:$K$1048576,2,FALSE),""))</f>
        <v/>
      </c>
      <c r="K3075" s="5" t="str">
        <f>IF(OR(I3075="",G3075=""),"",IF(G3075="Saída",-I3075,I3075))</f>
        <v/>
      </c>
      <c r="L3075" t="str">
        <f>IF(E3075="","",IFERROR(VLOOKUP(E3075,Listas!$A$2:$C$1048576,3,FALSE),""))</f>
        <v/>
      </c>
    </row>
    <row r="3076" spans="10:12" x14ac:dyDescent="0.25">
      <c r="J3076" t="str">
        <f>IF(H3076="","",IFERROR(VLOOKUP(H3076,Listas!$J$2:$K$1048576,2,FALSE),""))</f>
        <v/>
      </c>
      <c r="K3076" s="5" t="str">
        <f>IF(OR(I3076="",G3076=""),"",IF(G3076="Saída",-I3076,I3076))</f>
        <v/>
      </c>
      <c r="L3076" t="str">
        <f>IF(E3076="","",IFERROR(VLOOKUP(E3076,Listas!$A$2:$C$1048576,3,FALSE),""))</f>
        <v/>
      </c>
    </row>
    <row r="3077" spans="10:12" x14ac:dyDescent="0.25">
      <c r="J3077" t="str">
        <f>IF(H3077="","",IFERROR(VLOOKUP(H3077,Listas!$J$2:$K$1048576,2,FALSE),""))</f>
        <v/>
      </c>
      <c r="K3077" s="5" t="str">
        <f>IF(OR(I3077="",G3077=""),"",IF(G3077="Saída",-I3077,I3077))</f>
        <v/>
      </c>
      <c r="L3077" t="str">
        <f>IF(E3077="","",IFERROR(VLOOKUP(E3077,Listas!$A$2:$C$1048576,3,FALSE),""))</f>
        <v/>
      </c>
    </row>
    <row r="3078" spans="10:12" x14ac:dyDescent="0.25">
      <c r="J3078" t="str">
        <f>IF(H3078="","",IFERROR(VLOOKUP(H3078,Listas!$J$2:$K$1048576,2,FALSE),""))</f>
        <v/>
      </c>
      <c r="K3078" s="5" t="str">
        <f>IF(OR(I3078="",G3078=""),"",IF(G3078="Saída",-I3078,I3078))</f>
        <v/>
      </c>
      <c r="L3078" t="str">
        <f>IF(E3078="","",IFERROR(VLOOKUP(E3078,Listas!$A$2:$C$1048576,3,FALSE),""))</f>
        <v/>
      </c>
    </row>
    <row r="3079" spans="10:12" x14ac:dyDescent="0.25">
      <c r="J3079" t="str">
        <f>IF(H3079="","",IFERROR(VLOOKUP(H3079,Listas!$J$2:$K$1048576,2,FALSE),""))</f>
        <v/>
      </c>
      <c r="K3079" s="5" t="str">
        <f>IF(OR(I3079="",G3079=""),"",IF(G3079="Saída",-I3079,I3079))</f>
        <v/>
      </c>
      <c r="L3079" t="str">
        <f>IF(E3079="","",IFERROR(VLOOKUP(E3079,Listas!$A$2:$C$1048576,3,FALSE),""))</f>
        <v/>
      </c>
    </row>
    <row r="3080" spans="10:12" x14ac:dyDescent="0.25">
      <c r="J3080" t="str">
        <f>IF(H3080="","",IFERROR(VLOOKUP(H3080,Listas!$J$2:$K$1048576,2,FALSE),""))</f>
        <v/>
      </c>
      <c r="K3080" s="5" t="str">
        <f>IF(OR(I3080="",G3080=""),"",IF(G3080="Saída",-I3080,I3080))</f>
        <v/>
      </c>
      <c r="L3080" t="str">
        <f>IF(E3080="","",IFERROR(VLOOKUP(E3080,Listas!$A$2:$C$1048576,3,FALSE),""))</f>
        <v/>
      </c>
    </row>
    <row r="3081" spans="10:12" x14ac:dyDescent="0.25">
      <c r="J3081" t="str">
        <f>IF(H3081="","",IFERROR(VLOOKUP(H3081,Listas!$J$2:$K$1048576,2,FALSE),""))</f>
        <v/>
      </c>
      <c r="K3081" s="5" t="str">
        <f>IF(OR(I3081="",G3081=""),"",IF(G3081="Saída",-I3081,I3081))</f>
        <v/>
      </c>
      <c r="L3081" t="str">
        <f>IF(E3081="","",IFERROR(VLOOKUP(E3081,Listas!$A$2:$C$1048576,3,FALSE),""))</f>
        <v/>
      </c>
    </row>
    <row r="3082" spans="10:12" x14ac:dyDescent="0.25">
      <c r="J3082" t="str">
        <f>IF(H3082="","",IFERROR(VLOOKUP(H3082,Listas!$J$2:$K$1048576,2,FALSE),""))</f>
        <v/>
      </c>
      <c r="K3082" s="5" t="str">
        <f>IF(OR(I3082="",G3082=""),"",IF(G3082="Saída",-I3082,I3082))</f>
        <v/>
      </c>
      <c r="L3082" t="str">
        <f>IF(E3082="","",IFERROR(VLOOKUP(E3082,Listas!$A$2:$C$1048576,3,FALSE),""))</f>
        <v/>
      </c>
    </row>
    <row r="3083" spans="10:12" x14ac:dyDescent="0.25">
      <c r="J3083" t="str">
        <f>IF(H3083="","",IFERROR(VLOOKUP(H3083,Listas!$J$2:$K$1048576,2,FALSE),""))</f>
        <v/>
      </c>
      <c r="K3083" s="5" t="str">
        <f>IF(OR(I3083="",G3083=""),"",IF(G3083="Saída",-I3083,I3083))</f>
        <v/>
      </c>
      <c r="L3083" t="str">
        <f>IF(E3083="","",IFERROR(VLOOKUP(E3083,Listas!$A$2:$C$1048576,3,FALSE),""))</f>
        <v/>
      </c>
    </row>
    <row r="3084" spans="10:12" x14ac:dyDescent="0.25">
      <c r="J3084" t="str">
        <f>IF(H3084="","",IFERROR(VLOOKUP(H3084,Listas!$J$2:$K$1048576,2,FALSE),""))</f>
        <v/>
      </c>
      <c r="K3084" s="5" t="str">
        <f>IF(OR(I3084="",G3084=""),"",IF(G3084="Saída",-I3084,I3084))</f>
        <v/>
      </c>
      <c r="L3084" t="str">
        <f>IF(E3084="","",IFERROR(VLOOKUP(E3084,Listas!$A$2:$C$1048576,3,FALSE),""))</f>
        <v/>
      </c>
    </row>
    <row r="3085" spans="10:12" x14ac:dyDescent="0.25">
      <c r="J3085" t="str">
        <f>IF(H3085="","",IFERROR(VLOOKUP(H3085,Listas!$J$2:$K$1048576,2,FALSE),""))</f>
        <v/>
      </c>
      <c r="K3085" s="5" t="str">
        <f>IF(OR(I3085="",G3085=""),"",IF(G3085="Saída",-I3085,I3085))</f>
        <v/>
      </c>
      <c r="L3085" t="str">
        <f>IF(E3085="","",IFERROR(VLOOKUP(E3085,Listas!$A$2:$C$1048576,3,FALSE),""))</f>
        <v/>
      </c>
    </row>
    <row r="3086" spans="10:12" x14ac:dyDescent="0.25">
      <c r="J3086" t="str">
        <f>IF(H3086="","",IFERROR(VLOOKUP(H3086,Listas!$J$2:$K$1048576,2,FALSE),""))</f>
        <v/>
      </c>
      <c r="K3086" s="5" t="str">
        <f>IF(OR(I3086="",G3086=""),"",IF(G3086="Saída",-I3086,I3086))</f>
        <v/>
      </c>
      <c r="L3086" t="str">
        <f>IF(E3086="","",IFERROR(VLOOKUP(E3086,Listas!$A$2:$C$1048576,3,FALSE),""))</f>
        <v/>
      </c>
    </row>
    <row r="3087" spans="10:12" x14ac:dyDescent="0.25">
      <c r="J3087" t="str">
        <f>IF(H3087="","",IFERROR(VLOOKUP(H3087,Listas!$J$2:$K$1048576,2,FALSE),""))</f>
        <v/>
      </c>
      <c r="K3087" s="5" t="str">
        <f>IF(OR(I3087="",G3087=""),"",IF(G3087="Saída",-I3087,I3087))</f>
        <v/>
      </c>
      <c r="L3087" t="str">
        <f>IF(E3087="","",IFERROR(VLOOKUP(E3087,Listas!$A$2:$C$1048576,3,FALSE),""))</f>
        <v/>
      </c>
    </row>
    <row r="3088" spans="10:12" x14ac:dyDescent="0.25">
      <c r="J3088" t="str">
        <f>IF(H3088="","",IFERROR(VLOOKUP(H3088,Listas!$J$2:$K$1048576,2,FALSE),""))</f>
        <v/>
      </c>
      <c r="K3088" s="5" t="str">
        <f>IF(OR(I3088="",G3088=""),"",IF(G3088="Saída",-I3088,I3088))</f>
        <v/>
      </c>
      <c r="L3088" t="str">
        <f>IF(E3088="","",IFERROR(VLOOKUP(E3088,Listas!$A$2:$C$1048576,3,FALSE),""))</f>
        <v/>
      </c>
    </row>
    <row r="3089" spans="10:12" x14ac:dyDescent="0.25">
      <c r="J3089" t="str">
        <f>IF(H3089="","",IFERROR(VLOOKUP(H3089,Listas!$J$2:$K$1048576,2,FALSE),""))</f>
        <v/>
      </c>
      <c r="K3089" s="5" t="str">
        <f>IF(OR(I3089="",G3089=""),"",IF(G3089="Saída",-I3089,I3089))</f>
        <v/>
      </c>
      <c r="L3089" t="str">
        <f>IF(E3089="","",IFERROR(VLOOKUP(E3089,Listas!$A$2:$C$1048576,3,FALSE),""))</f>
        <v/>
      </c>
    </row>
    <row r="3090" spans="10:12" x14ac:dyDescent="0.25">
      <c r="J3090" t="str">
        <f>IF(H3090="","",IFERROR(VLOOKUP(H3090,Listas!$J$2:$K$1048576,2,FALSE),""))</f>
        <v/>
      </c>
      <c r="K3090" s="5" t="str">
        <f>IF(OR(I3090="",G3090=""),"",IF(G3090="Saída",-I3090,I3090))</f>
        <v/>
      </c>
      <c r="L3090" t="str">
        <f>IF(E3090="","",IFERROR(VLOOKUP(E3090,Listas!$A$2:$C$1048576,3,FALSE),""))</f>
        <v/>
      </c>
    </row>
    <row r="3091" spans="10:12" x14ac:dyDescent="0.25">
      <c r="J3091" t="str">
        <f>IF(H3091="","",IFERROR(VLOOKUP(H3091,Listas!$J$2:$K$1048576,2,FALSE),""))</f>
        <v/>
      </c>
      <c r="K3091" s="5" t="str">
        <f>IF(OR(I3091="",G3091=""),"",IF(G3091="Saída",-I3091,I3091))</f>
        <v/>
      </c>
      <c r="L3091" t="str">
        <f>IF(E3091="","",IFERROR(VLOOKUP(E3091,Listas!$A$2:$C$1048576,3,FALSE),""))</f>
        <v/>
      </c>
    </row>
    <row r="3092" spans="10:12" x14ac:dyDescent="0.25">
      <c r="J3092" t="str">
        <f>IF(H3092="","",IFERROR(VLOOKUP(H3092,Listas!$J$2:$K$1048576,2,FALSE),""))</f>
        <v/>
      </c>
      <c r="K3092" s="5" t="str">
        <f>IF(OR(I3092="",G3092=""),"",IF(G3092="Saída",-I3092,I3092))</f>
        <v/>
      </c>
      <c r="L3092" t="str">
        <f>IF(E3092="","",IFERROR(VLOOKUP(E3092,Listas!$A$2:$C$1048576,3,FALSE),""))</f>
        <v/>
      </c>
    </row>
    <row r="3093" spans="10:12" x14ac:dyDescent="0.25">
      <c r="J3093" t="str">
        <f>IF(H3093="","",IFERROR(VLOOKUP(H3093,Listas!$J$2:$K$1048576,2,FALSE),""))</f>
        <v/>
      </c>
      <c r="K3093" s="5" t="str">
        <f>IF(OR(I3093="",G3093=""),"",IF(G3093="Saída",-I3093,I3093))</f>
        <v/>
      </c>
      <c r="L3093" t="str">
        <f>IF(E3093="","",IFERROR(VLOOKUP(E3093,Listas!$A$2:$C$1048576,3,FALSE),""))</f>
        <v/>
      </c>
    </row>
    <row r="3094" spans="10:12" x14ac:dyDescent="0.25">
      <c r="J3094" t="str">
        <f>IF(H3094="","",IFERROR(VLOOKUP(H3094,Listas!$J$2:$K$1048576,2,FALSE),""))</f>
        <v/>
      </c>
      <c r="K3094" s="5" t="str">
        <f>IF(OR(I3094="",G3094=""),"",IF(G3094="Saída",-I3094,I3094))</f>
        <v/>
      </c>
      <c r="L3094" t="str">
        <f>IF(E3094="","",IFERROR(VLOOKUP(E3094,Listas!$A$2:$C$1048576,3,FALSE),""))</f>
        <v/>
      </c>
    </row>
    <row r="3095" spans="10:12" x14ac:dyDescent="0.25">
      <c r="J3095" t="str">
        <f>IF(H3095="","",IFERROR(VLOOKUP(H3095,Listas!$J$2:$K$1048576,2,FALSE),""))</f>
        <v/>
      </c>
      <c r="K3095" s="5" t="str">
        <f>IF(OR(I3095="",G3095=""),"",IF(G3095="Saída",-I3095,I3095))</f>
        <v/>
      </c>
      <c r="L3095" t="str">
        <f>IF(E3095="","",IFERROR(VLOOKUP(E3095,Listas!$A$2:$C$1048576,3,FALSE),""))</f>
        <v/>
      </c>
    </row>
    <row r="3096" spans="10:12" x14ac:dyDescent="0.25">
      <c r="J3096" t="str">
        <f>IF(H3096="","",IFERROR(VLOOKUP(H3096,Listas!$J$2:$K$1048576,2,FALSE),""))</f>
        <v/>
      </c>
      <c r="K3096" s="5" t="str">
        <f>IF(OR(I3096="",G3096=""),"",IF(G3096="Saída",-I3096,I3096))</f>
        <v/>
      </c>
      <c r="L3096" t="str">
        <f>IF(E3096="","",IFERROR(VLOOKUP(E3096,Listas!$A$2:$C$1048576,3,FALSE),""))</f>
        <v/>
      </c>
    </row>
    <row r="3097" spans="10:12" x14ac:dyDescent="0.25">
      <c r="J3097" t="str">
        <f>IF(H3097="","",IFERROR(VLOOKUP(H3097,Listas!$J$2:$K$1048576,2,FALSE),""))</f>
        <v/>
      </c>
      <c r="K3097" s="5" t="str">
        <f>IF(OR(I3097="",G3097=""),"",IF(G3097="Saída",-I3097,I3097))</f>
        <v/>
      </c>
      <c r="L3097" t="str">
        <f>IF(E3097="","",IFERROR(VLOOKUP(E3097,Listas!$A$2:$C$1048576,3,FALSE),""))</f>
        <v/>
      </c>
    </row>
    <row r="3098" spans="10:12" x14ac:dyDescent="0.25">
      <c r="J3098" t="str">
        <f>IF(H3098="","",IFERROR(VLOOKUP(H3098,Listas!$J$2:$K$1048576,2,FALSE),""))</f>
        <v/>
      </c>
      <c r="K3098" s="5" t="str">
        <f>IF(OR(I3098="",G3098=""),"",IF(G3098="Saída",-I3098,I3098))</f>
        <v/>
      </c>
      <c r="L3098" t="str">
        <f>IF(E3098="","",IFERROR(VLOOKUP(E3098,Listas!$A$2:$C$1048576,3,FALSE),""))</f>
        <v/>
      </c>
    </row>
    <row r="3099" spans="10:12" x14ac:dyDescent="0.25">
      <c r="J3099" t="str">
        <f>IF(H3099="","",IFERROR(VLOOKUP(H3099,Listas!$J$2:$K$1048576,2,FALSE),""))</f>
        <v/>
      </c>
      <c r="K3099" s="5" t="str">
        <f>IF(OR(I3099="",G3099=""),"",IF(G3099="Saída",-I3099,I3099))</f>
        <v/>
      </c>
      <c r="L3099" t="str">
        <f>IF(E3099="","",IFERROR(VLOOKUP(E3099,Listas!$A$2:$C$1048576,3,FALSE),""))</f>
        <v/>
      </c>
    </row>
    <row r="3100" spans="10:12" x14ac:dyDescent="0.25">
      <c r="J3100" t="str">
        <f>IF(H3100="","",IFERROR(VLOOKUP(H3100,Listas!$J$2:$K$1048576,2,FALSE),""))</f>
        <v/>
      </c>
      <c r="K3100" s="5" t="str">
        <f>IF(OR(I3100="",G3100=""),"",IF(G3100="Saída",-I3100,I3100))</f>
        <v/>
      </c>
      <c r="L3100" t="str">
        <f>IF(E3100="","",IFERROR(VLOOKUP(E3100,Listas!$A$2:$C$1048576,3,FALSE),""))</f>
        <v/>
      </c>
    </row>
    <row r="3101" spans="10:12" x14ac:dyDescent="0.25">
      <c r="J3101" t="str">
        <f>IF(H3101="","",IFERROR(VLOOKUP(H3101,Listas!$J$2:$K$1048576,2,FALSE),""))</f>
        <v/>
      </c>
      <c r="K3101" s="5" t="str">
        <f>IF(OR(I3101="",G3101=""),"",IF(G3101="Saída",-I3101,I3101))</f>
        <v/>
      </c>
      <c r="L3101" t="str">
        <f>IF(E3101="","",IFERROR(VLOOKUP(E3101,Listas!$A$2:$C$1048576,3,FALSE),""))</f>
        <v/>
      </c>
    </row>
    <row r="3102" spans="10:12" x14ac:dyDescent="0.25">
      <c r="J3102" t="str">
        <f>IF(H3102="","",IFERROR(VLOOKUP(H3102,Listas!$J$2:$K$1048576,2,FALSE),""))</f>
        <v/>
      </c>
      <c r="K3102" s="5" t="str">
        <f>IF(OR(I3102="",G3102=""),"",IF(G3102="Saída",-I3102,I3102))</f>
        <v/>
      </c>
      <c r="L3102" t="str">
        <f>IF(E3102="","",IFERROR(VLOOKUP(E3102,Listas!$A$2:$C$1048576,3,FALSE),""))</f>
        <v/>
      </c>
    </row>
    <row r="3103" spans="10:12" x14ac:dyDescent="0.25">
      <c r="J3103" t="str">
        <f>IF(H3103="","",IFERROR(VLOOKUP(H3103,Listas!$J$2:$K$1048576,2,FALSE),""))</f>
        <v/>
      </c>
      <c r="K3103" s="5" t="str">
        <f>IF(OR(I3103="",G3103=""),"",IF(G3103="Saída",-I3103,I3103))</f>
        <v/>
      </c>
      <c r="L3103" t="str">
        <f>IF(E3103="","",IFERROR(VLOOKUP(E3103,Listas!$A$2:$C$1048576,3,FALSE),""))</f>
        <v/>
      </c>
    </row>
    <row r="3104" spans="10:12" x14ac:dyDescent="0.25">
      <c r="J3104" t="str">
        <f>IF(H3104="","",IFERROR(VLOOKUP(H3104,Listas!$J$2:$K$1048576,2,FALSE),""))</f>
        <v/>
      </c>
      <c r="K3104" s="5" t="str">
        <f>IF(OR(I3104="",G3104=""),"",IF(G3104="Saída",-I3104,I3104))</f>
        <v/>
      </c>
      <c r="L3104" t="str">
        <f>IF(E3104="","",IFERROR(VLOOKUP(E3104,Listas!$A$2:$C$1048576,3,FALSE),""))</f>
        <v/>
      </c>
    </row>
    <row r="3105" spans="10:12" x14ac:dyDescent="0.25">
      <c r="J3105" t="str">
        <f>IF(H3105="","",IFERROR(VLOOKUP(H3105,Listas!$J$2:$K$1048576,2,FALSE),""))</f>
        <v/>
      </c>
      <c r="K3105" s="5" t="str">
        <f>IF(OR(I3105="",G3105=""),"",IF(G3105="Saída",-I3105,I3105))</f>
        <v/>
      </c>
      <c r="L3105" t="str">
        <f>IF(E3105="","",IFERROR(VLOOKUP(E3105,Listas!$A$2:$C$1048576,3,FALSE),""))</f>
        <v/>
      </c>
    </row>
    <row r="3106" spans="10:12" x14ac:dyDescent="0.25">
      <c r="J3106" t="str">
        <f>IF(H3106="","",IFERROR(VLOOKUP(H3106,Listas!$J$2:$K$1048576,2,FALSE),""))</f>
        <v/>
      </c>
      <c r="K3106" s="5" t="str">
        <f>IF(OR(I3106="",G3106=""),"",IF(G3106="Saída",-I3106,I3106))</f>
        <v/>
      </c>
      <c r="L3106" t="str">
        <f>IF(E3106="","",IFERROR(VLOOKUP(E3106,Listas!$A$2:$C$1048576,3,FALSE),""))</f>
        <v/>
      </c>
    </row>
    <row r="3107" spans="10:12" x14ac:dyDescent="0.25">
      <c r="J3107" t="str">
        <f>IF(H3107="","",IFERROR(VLOOKUP(H3107,Listas!$J$2:$K$1048576,2,FALSE),""))</f>
        <v/>
      </c>
      <c r="K3107" s="5" t="str">
        <f>IF(OR(I3107="",G3107=""),"",IF(G3107="Saída",-I3107,I3107))</f>
        <v/>
      </c>
      <c r="L3107" t="str">
        <f>IF(E3107="","",IFERROR(VLOOKUP(E3107,Listas!$A$2:$C$1048576,3,FALSE),""))</f>
        <v/>
      </c>
    </row>
    <row r="3108" spans="10:12" x14ac:dyDescent="0.25">
      <c r="J3108" t="str">
        <f>IF(H3108="","",IFERROR(VLOOKUP(H3108,Listas!$J$2:$K$1048576,2,FALSE),""))</f>
        <v/>
      </c>
      <c r="K3108" s="5" t="str">
        <f>IF(OR(I3108="",G3108=""),"",IF(G3108="Saída",-I3108,I3108))</f>
        <v/>
      </c>
      <c r="L3108" t="str">
        <f>IF(E3108="","",IFERROR(VLOOKUP(E3108,Listas!$A$2:$C$1048576,3,FALSE),""))</f>
        <v/>
      </c>
    </row>
    <row r="3109" spans="10:12" x14ac:dyDescent="0.25">
      <c r="J3109" t="str">
        <f>IF(H3109="","",IFERROR(VLOOKUP(H3109,Listas!$J$2:$K$1048576,2,FALSE),""))</f>
        <v/>
      </c>
      <c r="K3109" s="5" t="str">
        <f>IF(OR(I3109="",G3109=""),"",IF(G3109="Saída",-I3109,I3109))</f>
        <v/>
      </c>
      <c r="L3109" t="str">
        <f>IF(E3109="","",IFERROR(VLOOKUP(E3109,Listas!$A$2:$C$1048576,3,FALSE),""))</f>
        <v/>
      </c>
    </row>
    <row r="3110" spans="10:12" x14ac:dyDescent="0.25">
      <c r="J3110" t="str">
        <f>IF(H3110="","",IFERROR(VLOOKUP(H3110,Listas!$J$2:$K$1048576,2,FALSE),""))</f>
        <v/>
      </c>
      <c r="K3110" s="5" t="str">
        <f>IF(OR(I3110="",G3110=""),"",IF(G3110="Saída",-I3110,I3110))</f>
        <v/>
      </c>
      <c r="L3110" t="str">
        <f>IF(E3110="","",IFERROR(VLOOKUP(E3110,Listas!$A$2:$C$1048576,3,FALSE),""))</f>
        <v/>
      </c>
    </row>
    <row r="3111" spans="10:12" x14ac:dyDescent="0.25">
      <c r="J3111" t="str">
        <f>IF(H3111="","",IFERROR(VLOOKUP(H3111,Listas!$J$2:$K$1048576,2,FALSE),""))</f>
        <v/>
      </c>
      <c r="K3111" s="5" t="str">
        <f>IF(OR(I3111="",G3111=""),"",IF(G3111="Saída",-I3111,I3111))</f>
        <v/>
      </c>
      <c r="L3111" t="str">
        <f>IF(E3111="","",IFERROR(VLOOKUP(E3111,Listas!$A$2:$C$1048576,3,FALSE),""))</f>
        <v/>
      </c>
    </row>
    <row r="3112" spans="10:12" x14ac:dyDescent="0.25">
      <c r="J3112" t="str">
        <f>IF(H3112="","",IFERROR(VLOOKUP(H3112,Listas!$J$2:$K$1048576,2,FALSE),""))</f>
        <v/>
      </c>
      <c r="K3112" s="5" t="str">
        <f>IF(OR(I3112="",G3112=""),"",IF(G3112="Saída",-I3112,I3112))</f>
        <v/>
      </c>
      <c r="L3112" t="str">
        <f>IF(E3112="","",IFERROR(VLOOKUP(E3112,Listas!$A$2:$C$1048576,3,FALSE),""))</f>
        <v/>
      </c>
    </row>
    <row r="3113" spans="10:12" x14ac:dyDescent="0.25">
      <c r="J3113" t="str">
        <f>IF(H3113="","",IFERROR(VLOOKUP(H3113,Listas!$J$2:$K$1048576,2,FALSE),""))</f>
        <v/>
      </c>
      <c r="K3113" s="5" t="str">
        <f>IF(OR(I3113="",G3113=""),"",IF(G3113="Saída",-I3113,I3113))</f>
        <v/>
      </c>
      <c r="L3113" t="str">
        <f>IF(E3113="","",IFERROR(VLOOKUP(E3113,Listas!$A$2:$C$1048576,3,FALSE),""))</f>
        <v/>
      </c>
    </row>
    <row r="3114" spans="10:12" x14ac:dyDescent="0.25">
      <c r="J3114" t="str">
        <f>IF(H3114="","",IFERROR(VLOOKUP(H3114,Listas!$J$2:$K$1048576,2,FALSE),""))</f>
        <v/>
      </c>
      <c r="K3114" s="5" t="str">
        <f>IF(OR(I3114="",G3114=""),"",IF(G3114="Saída",-I3114,I3114))</f>
        <v/>
      </c>
      <c r="L3114" t="str">
        <f>IF(E3114="","",IFERROR(VLOOKUP(E3114,Listas!$A$2:$C$1048576,3,FALSE),""))</f>
        <v/>
      </c>
    </row>
    <row r="3115" spans="10:12" x14ac:dyDescent="0.25">
      <c r="J3115" t="str">
        <f>IF(H3115="","",IFERROR(VLOOKUP(H3115,Listas!$J$2:$K$1048576,2,FALSE),""))</f>
        <v/>
      </c>
      <c r="K3115" s="5" t="str">
        <f>IF(OR(I3115="",G3115=""),"",IF(G3115="Saída",-I3115,I3115))</f>
        <v/>
      </c>
      <c r="L3115" t="str">
        <f>IF(E3115="","",IFERROR(VLOOKUP(E3115,Listas!$A$2:$C$1048576,3,FALSE),""))</f>
        <v/>
      </c>
    </row>
    <row r="3116" spans="10:12" x14ac:dyDescent="0.25">
      <c r="J3116" t="str">
        <f>IF(H3116="","",IFERROR(VLOOKUP(H3116,Listas!$J$2:$K$1048576,2,FALSE),""))</f>
        <v/>
      </c>
      <c r="K3116" s="5" t="str">
        <f>IF(OR(I3116="",G3116=""),"",IF(G3116="Saída",-I3116,I3116))</f>
        <v/>
      </c>
      <c r="L3116" t="str">
        <f>IF(E3116="","",IFERROR(VLOOKUP(E3116,Listas!$A$2:$C$1048576,3,FALSE),""))</f>
        <v/>
      </c>
    </row>
    <row r="3117" spans="10:12" x14ac:dyDescent="0.25">
      <c r="J3117" t="str">
        <f>IF(H3117="","",IFERROR(VLOOKUP(H3117,Listas!$J$2:$K$1048576,2,FALSE),""))</f>
        <v/>
      </c>
      <c r="K3117" s="5" t="str">
        <f>IF(OR(I3117="",G3117=""),"",IF(G3117="Saída",-I3117,I3117))</f>
        <v/>
      </c>
      <c r="L3117" t="str">
        <f>IF(E3117="","",IFERROR(VLOOKUP(E3117,Listas!$A$2:$C$1048576,3,FALSE),""))</f>
        <v/>
      </c>
    </row>
    <row r="3118" spans="10:12" x14ac:dyDescent="0.25">
      <c r="J3118" t="str">
        <f>IF(H3118="","",IFERROR(VLOOKUP(H3118,Listas!$J$2:$K$1048576,2,FALSE),""))</f>
        <v/>
      </c>
      <c r="K3118" s="5" t="str">
        <f>IF(OR(I3118="",G3118=""),"",IF(G3118="Saída",-I3118,I3118))</f>
        <v/>
      </c>
      <c r="L3118" t="str">
        <f>IF(E3118="","",IFERROR(VLOOKUP(E3118,Listas!$A$2:$C$1048576,3,FALSE),""))</f>
        <v/>
      </c>
    </row>
    <row r="3119" spans="10:12" x14ac:dyDescent="0.25">
      <c r="J3119" t="str">
        <f>IF(H3119="","",IFERROR(VLOOKUP(H3119,Listas!$J$2:$K$1048576,2,FALSE),""))</f>
        <v/>
      </c>
      <c r="K3119" s="5" t="str">
        <f>IF(OR(I3119="",G3119=""),"",IF(G3119="Saída",-I3119,I3119))</f>
        <v/>
      </c>
      <c r="L3119" t="str">
        <f>IF(E3119="","",IFERROR(VLOOKUP(E3119,Listas!$A$2:$C$1048576,3,FALSE),""))</f>
        <v/>
      </c>
    </row>
    <row r="3120" spans="10:12" x14ac:dyDescent="0.25">
      <c r="J3120" t="str">
        <f>IF(H3120="","",IFERROR(VLOOKUP(H3120,Listas!$J$2:$K$1048576,2,FALSE),""))</f>
        <v/>
      </c>
      <c r="K3120" s="5" t="str">
        <f>IF(OR(I3120="",G3120=""),"",IF(G3120="Saída",-I3120,I3120))</f>
        <v/>
      </c>
      <c r="L3120" t="str">
        <f>IF(E3120="","",IFERROR(VLOOKUP(E3120,Listas!$A$2:$C$1048576,3,FALSE),""))</f>
        <v/>
      </c>
    </row>
    <row r="3121" spans="10:12" x14ac:dyDescent="0.25">
      <c r="J3121" t="str">
        <f>IF(H3121="","",IFERROR(VLOOKUP(H3121,Listas!$J$2:$K$1048576,2,FALSE),""))</f>
        <v/>
      </c>
      <c r="K3121" s="5" t="str">
        <f>IF(OR(I3121="",G3121=""),"",IF(G3121="Saída",-I3121,I3121))</f>
        <v/>
      </c>
      <c r="L3121" t="str">
        <f>IF(E3121="","",IFERROR(VLOOKUP(E3121,Listas!$A$2:$C$1048576,3,FALSE),""))</f>
        <v/>
      </c>
    </row>
    <row r="3122" spans="10:12" x14ac:dyDescent="0.25">
      <c r="J3122" t="str">
        <f>IF(H3122="","",IFERROR(VLOOKUP(H3122,Listas!$J$2:$K$1048576,2,FALSE),""))</f>
        <v/>
      </c>
      <c r="K3122" s="5" t="str">
        <f>IF(OR(I3122="",G3122=""),"",IF(G3122="Saída",-I3122,I3122))</f>
        <v/>
      </c>
      <c r="L3122" t="str">
        <f>IF(E3122="","",IFERROR(VLOOKUP(E3122,Listas!$A$2:$C$1048576,3,FALSE),""))</f>
        <v/>
      </c>
    </row>
    <row r="3123" spans="10:12" x14ac:dyDescent="0.25">
      <c r="J3123" t="str">
        <f>IF(H3123="","",IFERROR(VLOOKUP(H3123,Listas!$J$2:$K$1048576,2,FALSE),""))</f>
        <v/>
      </c>
      <c r="K3123" s="5" t="str">
        <f>IF(OR(I3123="",G3123=""),"",IF(G3123="Saída",-I3123,I3123))</f>
        <v/>
      </c>
      <c r="L3123" t="str">
        <f>IF(E3123="","",IFERROR(VLOOKUP(E3123,Listas!$A$2:$C$1048576,3,FALSE),""))</f>
        <v/>
      </c>
    </row>
    <row r="3124" spans="10:12" x14ac:dyDescent="0.25">
      <c r="J3124" t="str">
        <f>IF(H3124="","",IFERROR(VLOOKUP(H3124,Listas!$J$2:$K$1048576,2,FALSE),""))</f>
        <v/>
      </c>
      <c r="K3124" s="5" t="str">
        <f>IF(OR(I3124="",G3124=""),"",IF(G3124="Saída",-I3124,I3124))</f>
        <v/>
      </c>
      <c r="L3124" t="str">
        <f>IF(E3124="","",IFERROR(VLOOKUP(E3124,Listas!$A$2:$C$1048576,3,FALSE),""))</f>
        <v/>
      </c>
    </row>
    <row r="3125" spans="10:12" x14ac:dyDescent="0.25">
      <c r="J3125" t="str">
        <f>IF(H3125="","",IFERROR(VLOOKUP(H3125,Listas!$J$2:$K$1048576,2,FALSE),""))</f>
        <v/>
      </c>
      <c r="K3125" s="5" t="str">
        <f>IF(OR(I3125="",G3125=""),"",IF(G3125="Saída",-I3125,I3125))</f>
        <v/>
      </c>
      <c r="L3125" t="str">
        <f>IF(E3125="","",IFERROR(VLOOKUP(E3125,Listas!$A$2:$C$1048576,3,FALSE),""))</f>
        <v/>
      </c>
    </row>
    <row r="3126" spans="10:12" x14ac:dyDescent="0.25">
      <c r="J3126" t="str">
        <f>IF(H3126="","",IFERROR(VLOOKUP(H3126,Listas!$J$2:$K$1048576,2,FALSE),""))</f>
        <v/>
      </c>
      <c r="K3126" s="5" t="str">
        <f>IF(OR(I3126="",G3126=""),"",IF(G3126="Saída",-I3126,I3126))</f>
        <v/>
      </c>
      <c r="L3126" t="str">
        <f>IF(E3126="","",IFERROR(VLOOKUP(E3126,Listas!$A$2:$C$1048576,3,FALSE),""))</f>
        <v/>
      </c>
    </row>
    <row r="3127" spans="10:12" x14ac:dyDescent="0.25">
      <c r="J3127" t="str">
        <f>IF(H3127="","",IFERROR(VLOOKUP(H3127,Listas!$J$2:$K$1048576,2,FALSE),""))</f>
        <v/>
      </c>
      <c r="K3127" s="5" t="str">
        <f>IF(OR(I3127="",G3127=""),"",IF(G3127="Saída",-I3127,I3127))</f>
        <v/>
      </c>
      <c r="L3127" t="str">
        <f>IF(E3127="","",IFERROR(VLOOKUP(E3127,Listas!$A$2:$C$1048576,3,FALSE),""))</f>
        <v/>
      </c>
    </row>
    <row r="3128" spans="10:12" x14ac:dyDescent="0.25">
      <c r="J3128" t="str">
        <f>IF(H3128="","",IFERROR(VLOOKUP(H3128,Listas!$J$2:$K$1048576,2,FALSE),""))</f>
        <v/>
      </c>
      <c r="K3128" s="5" t="str">
        <f>IF(OR(I3128="",G3128=""),"",IF(G3128="Saída",-I3128,I3128))</f>
        <v/>
      </c>
      <c r="L3128" t="str">
        <f>IF(E3128="","",IFERROR(VLOOKUP(E3128,Listas!$A$2:$C$1048576,3,FALSE),""))</f>
        <v/>
      </c>
    </row>
    <row r="3129" spans="10:12" x14ac:dyDescent="0.25">
      <c r="J3129" t="str">
        <f>IF(H3129="","",IFERROR(VLOOKUP(H3129,Listas!$J$2:$K$1048576,2,FALSE),""))</f>
        <v/>
      </c>
      <c r="K3129" s="5" t="str">
        <f>IF(OR(I3129="",G3129=""),"",IF(G3129="Saída",-I3129,I3129))</f>
        <v/>
      </c>
      <c r="L3129" t="str">
        <f>IF(E3129="","",IFERROR(VLOOKUP(E3129,Listas!$A$2:$C$1048576,3,FALSE),""))</f>
        <v/>
      </c>
    </row>
    <row r="3130" spans="10:12" x14ac:dyDescent="0.25">
      <c r="J3130" t="str">
        <f>IF(H3130="","",IFERROR(VLOOKUP(H3130,Listas!$J$2:$K$1048576,2,FALSE),""))</f>
        <v/>
      </c>
      <c r="K3130" s="5" t="str">
        <f>IF(OR(I3130="",G3130=""),"",IF(G3130="Saída",-I3130,I3130))</f>
        <v/>
      </c>
      <c r="L3130" t="str">
        <f>IF(E3130="","",IFERROR(VLOOKUP(E3130,Listas!$A$2:$C$1048576,3,FALSE),""))</f>
        <v/>
      </c>
    </row>
    <row r="3131" spans="10:12" x14ac:dyDescent="0.25">
      <c r="J3131" t="str">
        <f>IF(H3131="","",IFERROR(VLOOKUP(H3131,Listas!$J$2:$K$1048576,2,FALSE),""))</f>
        <v/>
      </c>
      <c r="K3131" s="5" t="str">
        <f>IF(OR(I3131="",G3131=""),"",IF(G3131="Saída",-I3131,I3131))</f>
        <v/>
      </c>
      <c r="L3131" t="str">
        <f>IF(E3131="","",IFERROR(VLOOKUP(E3131,Listas!$A$2:$C$1048576,3,FALSE),""))</f>
        <v/>
      </c>
    </row>
    <row r="3132" spans="10:12" x14ac:dyDescent="0.25">
      <c r="J3132" t="str">
        <f>IF(H3132="","",IFERROR(VLOOKUP(H3132,Listas!$J$2:$K$1048576,2,FALSE),""))</f>
        <v/>
      </c>
      <c r="K3132" s="5" t="str">
        <f>IF(OR(I3132="",G3132=""),"",IF(G3132="Saída",-I3132,I3132))</f>
        <v/>
      </c>
      <c r="L3132" t="str">
        <f>IF(E3132="","",IFERROR(VLOOKUP(E3132,Listas!$A$2:$C$1048576,3,FALSE),""))</f>
        <v/>
      </c>
    </row>
    <row r="3133" spans="10:12" x14ac:dyDescent="0.25">
      <c r="J3133" t="str">
        <f>IF(H3133="","",IFERROR(VLOOKUP(H3133,Listas!$J$2:$K$1048576,2,FALSE),""))</f>
        <v/>
      </c>
      <c r="K3133" s="5" t="str">
        <f>IF(OR(I3133="",G3133=""),"",IF(G3133="Saída",-I3133,I3133))</f>
        <v/>
      </c>
      <c r="L3133" t="str">
        <f>IF(E3133="","",IFERROR(VLOOKUP(E3133,Listas!$A$2:$C$1048576,3,FALSE),""))</f>
        <v/>
      </c>
    </row>
    <row r="3134" spans="10:12" x14ac:dyDescent="0.25">
      <c r="J3134" t="str">
        <f>IF(H3134="","",IFERROR(VLOOKUP(H3134,Listas!$J$2:$K$1048576,2,FALSE),""))</f>
        <v/>
      </c>
      <c r="K3134" s="5" t="str">
        <f>IF(OR(I3134="",G3134=""),"",IF(G3134="Saída",-I3134,I3134))</f>
        <v/>
      </c>
      <c r="L3134" t="str">
        <f>IF(E3134="","",IFERROR(VLOOKUP(E3134,Listas!$A$2:$C$1048576,3,FALSE),""))</f>
        <v/>
      </c>
    </row>
    <row r="3135" spans="10:12" x14ac:dyDescent="0.25">
      <c r="J3135" t="str">
        <f>IF(H3135="","",IFERROR(VLOOKUP(H3135,Listas!$J$2:$K$1048576,2,FALSE),""))</f>
        <v/>
      </c>
      <c r="K3135" s="5" t="str">
        <f>IF(OR(I3135="",G3135=""),"",IF(G3135="Saída",-I3135,I3135))</f>
        <v/>
      </c>
      <c r="L3135" t="str">
        <f>IF(E3135="","",IFERROR(VLOOKUP(E3135,Listas!$A$2:$C$1048576,3,FALSE),""))</f>
        <v/>
      </c>
    </row>
    <row r="3136" spans="10:12" x14ac:dyDescent="0.25">
      <c r="J3136" t="str">
        <f>IF(H3136="","",IFERROR(VLOOKUP(H3136,Listas!$J$2:$K$1048576,2,FALSE),""))</f>
        <v/>
      </c>
      <c r="K3136" s="5" t="str">
        <f>IF(OR(I3136="",G3136=""),"",IF(G3136="Saída",-I3136,I3136))</f>
        <v/>
      </c>
      <c r="L3136" t="str">
        <f>IF(E3136="","",IFERROR(VLOOKUP(E3136,Listas!$A$2:$C$1048576,3,FALSE),""))</f>
        <v/>
      </c>
    </row>
    <row r="3137" spans="10:12" x14ac:dyDescent="0.25">
      <c r="J3137" t="str">
        <f>IF(H3137="","",IFERROR(VLOOKUP(H3137,Listas!$J$2:$K$1048576,2,FALSE),""))</f>
        <v/>
      </c>
      <c r="K3137" s="5" t="str">
        <f>IF(OR(I3137="",G3137=""),"",IF(G3137="Saída",-I3137,I3137))</f>
        <v/>
      </c>
      <c r="L3137" t="str">
        <f>IF(E3137="","",IFERROR(VLOOKUP(E3137,Listas!$A$2:$C$1048576,3,FALSE),""))</f>
        <v/>
      </c>
    </row>
    <row r="3138" spans="10:12" x14ac:dyDescent="0.25">
      <c r="J3138" t="str">
        <f>IF(H3138="","",IFERROR(VLOOKUP(H3138,Listas!$J$2:$K$1048576,2,FALSE),""))</f>
        <v/>
      </c>
      <c r="K3138" s="5" t="str">
        <f>IF(OR(I3138="",G3138=""),"",IF(G3138="Saída",-I3138,I3138))</f>
        <v/>
      </c>
      <c r="L3138" t="str">
        <f>IF(E3138="","",IFERROR(VLOOKUP(E3138,Listas!$A$2:$C$1048576,3,FALSE),""))</f>
        <v/>
      </c>
    </row>
    <row r="3139" spans="10:12" x14ac:dyDescent="0.25">
      <c r="J3139" t="str">
        <f>IF(H3139="","",IFERROR(VLOOKUP(H3139,Listas!$J$2:$K$1048576,2,FALSE),""))</f>
        <v/>
      </c>
      <c r="K3139" s="5" t="str">
        <f>IF(OR(I3139="",G3139=""),"",IF(G3139="Saída",-I3139,I3139))</f>
        <v/>
      </c>
      <c r="L3139" t="str">
        <f>IF(E3139="","",IFERROR(VLOOKUP(E3139,Listas!$A$2:$C$1048576,3,FALSE),""))</f>
        <v/>
      </c>
    </row>
    <row r="3140" spans="10:12" x14ac:dyDescent="0.25">
      <c r="J3140" t="str">
        <f>IF(H3140="","",IFERROR(VLOOKUP(H3140,Listas!$J$2:$K$1048576,2,FALSE),""))</f>
        <v/>
      </c>
      <c r="K3140" s="5" t="str">
        <f>IF(OR(I3140="",G3140=""),"",IF(G3140="Saída",-I3140,I3140))</f>
        <v/>
      </c>
      <c r="L3140" t="str">
        <f>IF(E3140="","",IFERROR(VLOOKUP(E3140,Listas!$A$2:$C$1048576,3,FALSE),""))</f>
        <v/>
      </c>
    </row>
    <row r="3141" spans="10:12" x14ac:dyDescent="0.25">
      <c r="J3141" t="str">
        <f>IF(H3141="","",IFERROR(VLOOKUP(H3141,Listas!$J$2:$K$1048576,2,FALSE),""))</f>
        <v/>
      </c>
      <c r="K3141" s="5" t="str">
        <f>IF(OR(I3141="",G3141=""),"",IF(G3141="Saída",-I3141,I3141))</f>
        <v/>
      </c>
      <c r="L3141" t="str">
        <f>IF(E3141="","",IFERROR(VLOOKUP(E3141,Listas!$A$2:$C$1048576,3,FALSE),""))</f>
        <v/>
      </c>
    </row>
    <row r="3142" spans="10:12" x14ac:dyDescent="0.25">
      <c r="J3142" t="str">
        <f>IF(H3142="","",IFERROR(VLOOKUP(H3142,Listas!$J$2:$K$1048576,2,FALSE),""))</f>
        <v/>
      </c>
      <c r="K3142" s="5" t="str">
        <f>IF(OR(I3142="",G3142=""),"",IF(G3142="Saída",-I3142,I3142))</f>
        <v/>
      </c>
      <c r="L3142" t="str">
        <f>IF(E3142="","",IFERROR(VLOOKUP(E3142,Listas!$A$2:$C$1048576,3,FALSE),""))</f>
        <v/>
      </c>
    </row>
    <row r="3143" spans="10:12" x14ac:dyDescent="0.25">
      <c r="J3143" t="str">
        <f>IF(H3143="","",IFERROR(VLOOKUP(H3143,Listas!$J$2:$K$1048576,2,FALSE),""))</f>
        <v/>
      </c>
      <c r="K3143" s="5" t="str">
        <f>IF(OR(I3143="",G3143=""),"",IF(G3143="Saída",-I3143,I3143))</f>
        <v/>
      </c>
      <c r="L3143" t="str">
        <f>IF(E3143="","",IFERROR(VLOOKUP(E3143,Listas!$A$2:$C$1048576,3,FALSE),""))</f>
        <v/>
      </c>
    </row>
    <row r="3144" spans="10:12" x14ac:dyDescent="0.25">
      <c r="J3144" t="str">
        <f>IF(H3144="","",IFERROR(VLOOKUP(H3144,Listas!$J$2:$K$1048576,2,FALSE),""))</f>
        <v/>
      </c>
      <c r="K3144" s="5" t="str">
        <f>IF(OR(I3144="",G3144=""),"",IF(G3144="Saída",-I3144,I3144))</f>
        <v/>
      </c>
      <c r="L3144" t="str">
        <f>IF(E3144="","",IFERROR(VLOOKUP(E3144,Listas!$A$2:$C$1048576,3,FALSE),""))</f>
        <v/>
      </c>
    </row>
    <row r="3145" spans="10:12" x14ac:dyDescent="0.25">
      <c r="J3145" t="str">
        <f>IF(H3145="","",IFERROR(VLOOKUP(H3145,Listas!$J$2:$K$1048576,2,FALSE),""))</f>
        <v/>
      </c>
      <c r="K3145" s="5" t="str">
        <f>IF(OR(I3145="",G3145=""),"",IF(G3145="Saída",-I3145,I3145))</f>
        <v/>
      </c>
      <c r="L3145" t="str">
        <f>IF(E3145="","",IFERROR(VLOOKUP(E3145,Listas!$A$2:$C$1048576,3,FALSE),""))</f>
        <v/>
      </c>
    </row>
    <row r="3146" spans="10:12" x14ac:dyDescent="0.25">
      <c r="J3146" t="str">
        <f>IF(H3146="","",IFERROR(VLOOKUP(H3146,Listas!$J$2:$K$1048576,2,FALSE),""))</f>
        <v/>
      </c>
      <c r="K3146" s="5" t="str">
        <f>IF(OR(I3146="",G3146=""),"",IF(G3146="Saída",-I3146,I3146))</f>
        <v/>
      </c>
      <c r="L3146" t="str">
        <f>IF(E3146="","",IFERROR(VLOOKUP(E3146,Listas!$A$2:$C$1048576,3,FALSE),""))</f>
        <v/>
      </c>
    </row>
    <row r="3147" spans="10:12" x14ac:dyDescent="0.25">
      <c r="J3147" t="str">
        <f>IF(H3147="","",IFERROR(VLOOKUP(H3147,Listas!$J$2:$K$1048576,2,FALSE),""))</f>
        <v/>
      </c>
      <c r="K3147" s="5" t="str">
        <f>IF(OR(I3147="",G3147=""),"",IF(G3147="Saída",-I3147,I3147))</f>
        <v/>
      </c>
      <c r="L3147" t="str">
        <f>IF(E3147="","",IFERROR(VLOOKUP(E3147,Listas!$A$2:$C$1048576,3,FALSE),""))</f>
        <v/>
      </c>
    </row>
    <row r="3148" spans="10:12" x14ac:dyDescent="0.25">
      <c r="J3148" t="str">
        <f>IF(H3148="","",IFERROR(VLOOKUP(H3148,Listas!$J$2:$K$1048576,2,FALSE),""))</f>
        <v/>
      </c>
      <c r="K3148" s="5" t="str">
        <f>IF(OR(I3148="",G3148=""),"",IF(G3148="Saída",-I3148,I3148))</f>
        <v/>
      </c>
      <c r="L3148" t="str">
        <f>IF(E3148="","",IFERROR(VLOOKUP(E3148,Listas!$A$2:$C$1048576,3,FALSE),""))</f>
        <v/>
      </c>
    </row>
    <row r="3149" spans="10:12" x14ac:dyDescent="0.25">
      <c r="J3149" t="str">
        <f>IF(H3149="","",IFERROR(VLOOKUP(H3149,Listas!$J$2:$K$1048576,2,FALSE),""))</f>
        <v/>
      </c>
      <c r="K3149" s="5" t="str">
        <f>IF(OR(I3149="",G3149=""),"",IF(G3149="Saída",-I3149,I3149))</f>
        <v/>
      </c>
      <c r="L3149" t="str">
        <f>IF(E3149="","",IFERROR(VLOOKUP(E3149,Listas!$A$2:$C$1048576,3,FALSE),""))</f>
        <v/>
      </c>
    </row>
    <row r="3150" spans="10:12" x14ac:dyDescent="0.25">
      <c r="J3150" t="str">
        <f>IF(H3150="","",IFERROR(VLOOKUP(H3150,Listas!$J$2:$K$1048576,2,FALSE),""))</f>
        <v/>
      </c>
      <c r="K3150" s="5" t="str">
        <f>IF(OR(I3150="",G3150=""),"",IF(G3150="Saída",-I3150,I3150))</f>
        <v/>
      </c>
      <c r="L3150" t="str">
        <f>IF(E3150="","",IFERROR(VLOOKUP(E3150,Listas!$A$2:$C$1048576,3,FALSE),""))</f>
        <v/>
      </c>
    </row>
    <row r="3151" spans="10:12" x14ac:dyDescent="0.25">
      <c r="J3151" t="str">
        <f>IF(H3151="","",IFERROR(VLOOKUP(H3151,Listas!$J$2:$K$1048576,2,FALSE),""))</f>
        <v/>
      </c>
      <c r="K3151" s="5" t="str">
        <f>IF(OR(I3151="",G3151=""),"",IF(G3151="Saída",-I3151,I3151))</f>
        <v/>
      </c>
      <c r="L3151" t="str">
        <f>IF(E3151="","",IFERROR(VLOOKUP(E3151,Listas!$A$2:$C$1048576,3,FALSE),""))</f>
        <v/>
      </c>
    </row>
    <row r="3152" spans="10:12" x14ac:dyDescent="0.25">
      <c r="J3152" t="str">
        <f>IF(H3152="","",IFERROR(VLOOKUP(H3152,Listas!$J$2:$K$1048576,2,FALSE),""))</f>
        <v/>
      </c>
      <c r="K3152" s="5" t="str">
        <f>IF(OR(I3152="",G3152=""),"",IF(G3152="Saída",-I3152,I3152))</f>
        <v/>
      </c>
      <c r="L3152" t="str">
        <f>IF(E3152="","",IFERROR(VLOOKUP(E3152,Listas!$A$2:$C$1048576,3,FALSE),""))</f>
        <v/>
      </c>
    </row>
    <row r="3153" spans="10:12" x14ac:dyDescent="0.25">
      <c r="J3153" t="str">
        <f>IF(H3153="","",IFERROR(VLOOKUP(H3153,Listas!$J$2:$K$1048576,2,FALSE),""))</f>
        <v/>
      </c>
      <c r="K3153" s="5" t="str">
        <f>IF(OR(I3153="",G3153=""),"",IF(G3153="Saída",-I3153,I3153))</f>
        <v/>
      </c>
      <c r="L3153" t="str">
        <f>IF(E3153="","",IFERROR(VLOOKUP(E3153,Listas!$A$2:$C$1048576,3,FALSE),""))</f>
        <v/>
      </c>
    </row>
    <row r="3154" spans="10:12" x14ac:dyDescent="0.25">
      <c r="J3154" t="str">
        <f>IF(H3154="","",IFERROR(VLOOKUP(H3154,Listas!$J$2:$K$1048576,2,FALSE),""))</f>
        <v/>
      </c>
      <c r="K3154" s="5" t="str">
        <f>IF(OR(I3154="",G3154=""),"",IF(G3154="Saída",-I3154,I3154))</f>
        <v/>
      </c>
      <c r="L3154" t="str">
        <f>IF(E3154="","",IFERROR(VLOOKUP(E3154,Listas!$A$2:$C$1048576,3,FALSE),""))</f>
        <v/>
      </c>
    </row>
    <row r="3155" spans="10:12" x14ac:dyDescent="0.25">
      <c r="J3155" t="str">
        <f>IF(H3155="","",IFERROR(VLOOKUP(H3155,Listas!$J$2:$K$1048576,2,FALSE),""))</f>
        <v/>
      </c>
      <c r="K3155" s="5" t="str">
        <f>IF(OR(I3155="",G3155=""),"",IF(G3155="Saída",-I3155,I3155))</f>
        <v/>
      </c>
      <c r="L3155" t="str">
        <f>IF(E3155="","",IFERROR(VLOOKUP(E3155,Listas!$A$2:$C$1048576,3,FALSE),""))</f>
        <v/>
      </c>
    </row>
    <row r="3156" spans="10:12" x14ac:dyDescent="0.25">
      <c r="J3156" t="str">
        <f>IF(H3156="","",IFERROR(VLOOKUP(H3156,Listas!$J$2:$K$1048576,2,FALSE),""))</f>
        <v/>
      </c>
      <c r="K3156" s="5" t="str">
        <f>IF(OR(I3156="",G3156=""),"",IF(G3156="Saída",-I3156,I3156))</f>
        <v/>
      </c>
      <c r="L3156" t="str">
        <f>IF(E3156="","",IFERROR(VLOOKUP(E3156,Listas!$A$2:$C$1048576,3,FALSE),""))</f>
        <v/>
      </c>
    </row>
    <row r="3157" spans="10:12" x14ac:dyDescent="0.25">
      <c r="J3157" t="str">
        <f>IF(H3157="","",IFERROR(VLOOKUP(H3157,Listas!$J$2:$K$1048576,2,FALSE),""))</f>
        <v/>
      </c>
      <c r="K3157" s="5" t="str">
        <f>IF(OR(I3157="",G3157=""),"",IF(G3157="Saída",-I3157,I3157))</f>
        <v/>
      </c>
      <c r="L3157" t="str">
        <f>IF(E3157="","",IFERROR(VLOOKUP(E3157,Listas!$A$2:$C$1048576,3,FALSE),""))</f>
        <v/>
      </c>
    </row>
    <row r="3158" spans="10:12" x14ac:dyDescent="0.25">
      <c r="J3158" t="str">
        <f>IF(H3158="","",IFERROR(VLOOKUP(H3158,Listas!$J$2:$K$1048576,2,FALSE),""))</f>
        <v/>
      </c>
      <c r="K3158" s="5" t="str">
        <f>IF(OR(I3158="",G3158=""),"",IF(G3158="Saída",-I3158,I3158))</f>
        <v/>
      </c>
      <c r="L3158" t="str">
        <f>IF(E3158="","",IFERROR(VLOOKUP(E3158,Listas!$A$2:$C$1048576,3,FALSE),""))</f>
        <v/>
      </c>
    </row>
    <row r="3159" spans="10:12" x14ac:dyDescent="0.25">
      <c r="J3159" t="str">
        <f>IF(H3159="","",IFERROR(VLOOKUP(H3159,Listas!$J$2:$K$1048576,2,FALSE),""))</f>
        <v/>
      </c>
      <c r="K3159" s="5" t="str">
        <f>IF(OR(I3159="",G3159=""),"",IF(G3159="Saída",-I3159,I3159))</f>
        <v/>
      </c>
      <c r="L3159" t="str">
        <f>IF(E3159="","",IFERROR(VLOOKUP(E3159,Listas!$A$2:$C$1048576,3,FALSE),""))</f>
        <v/>
      </c>
    </row>
    <row r="3160" spans="10:12" x14ac:dyDescent="0.25">
      <c r="J3160" t="str">
        <f>IF(H3160="","",IFERROR(VLOOKUP(H3160,Listas!$J$2:$K$1048576,2,FALSE),""))</f>
        <v/>
      </c>
      <c r="K3160" s="5" t="str">
        <f>IF(OR(I3160="",G3160=""),"",IF(G3160="Saída",-I3160,I3160))</f>
        <v/>
      </c>
      <c r="L3160" t="str">
        <f>IF(E3160="","",IFERROR(VLOOKUP(E3160,Listas!$A$2:$C$1048576,3,FALSE),""))</f>
        <v/>
      </c>
    </row>
    <row r="3161" spans="10:12" x14ac:dyDescent="0.25">
      <c r="J3161" t="str">
        <f>IF(H3161="","",IFERROR(VLOOKUP(H3161,Listas!$J$2:$K$1048576,2,FALSE),""))</f>
        <v/>
      </c>
      <c r="K3161" s="5" t="str">
        <f>IF(OR(I3161="",G3161=""),"",IF(G3161="Saída",-I3161,I3161))</f>
        <v/>
      </c>
      <c r="L3161" t="str">
        <f>IF(E3161="","",IFERROR(VLOOKUP(E3161,Listas!$A$2:$C$1048576,3,FALSE),""))</f>
        <v/>
      </c>
    </row>
    <row r="3162" spans="10:12" x14ac:dyDescent="0.25">
      <c r="J3162" t="str">
        <f>IF(H3162="","",IFERROR(VLOOKUP(H3162,Listas!$J$2:$K$1048576,2,FALSE),""))</f>
        <v/>
      </c>
      <c r="K3162" s="5" t="str">
        <f>IF(OR(I3162="",G3162=""),"",IF(G3162="Saída",-I3162,I3162))</f>
        <v/>
      </c>
      <c r="L3162" t="str">
        <f>IF(E3162="","",IFERROR(VLOOKUP(E3162,Listas!$A$2:$C$1048576,3,FALSE),""))</f>
        <v/>
      </c>
    </row>
    <row r="3163" spans="10:12" x14ac:dyDescent="0.25">
      <c r="J3163" t="str">
        <f>IF(H3163="","",IFERROR(VLOOKUP(H3163,Listas!$J$2:$K$1048576,2,FALSE),""))</f>
        <v/>
      </c>
      <c r="K3163" s="5" t="str">
        <f>IF(OR(I3163="",G3163=""),"",IF(G3163="Saída",-I3163,I3163))</f>
        <v/>
      </c>
      <c r="L3163" t="str">
        <f>IF(E3163="","",IFERROR(VLOOKUP(E3163,Listas!$A$2:$C$1048576,3,FALSE),""))</f>
        <v/>
      </c>
    </row>
    <row r="3164" spans="10:12" x14ac:dyDescent="0.25">
      <c r="J3164" t="str">
        <f>IF(H3164="","",IFERROR(VLOOKUP(H3164,Listas!$J$2:$K$1048576,2,FALSE),""))</f>
        <v/>
      </c>
      <c r="K3164" s="5" t="str">
        <f>IF(OR(I3164="",G3164=""),"",IF(G3164="Saída",-I3164,I3164))</f>
        <v/>
      </c>
      <c r="L3164" t="str">
        <f>IF(E3164="","",IFERROR(VLOOKUP(E3164,Listas!$A$2:$C$1048576,3,FALSE),""))</f>
        <v/>
      </c>
    </row>
    <row r="3165" spans="10:12" x14ac:dyDescent="0.25">
      <c r="J3165" t="str">
        <f>IF(H3165="","",IFERROR(VLOOKUP(H3165,Listas!$J$2:$K$1048576,2,FALSE),""))</f>
        <v/>
      </c>
      <c r="K3165" s="5" t="str">
        <f>IF(OR(I3165="",G3165=""),"",IF(G3165="Saída",-I3165,I3165))</f>
        <v/>
      </c>
      <c r="L3165" t="str">
        <f>IF(E3165="","",IFERROR(VLOOKUP(E3165,Listas!$A$2:$C$1048576,3,FALSE),""))</f>
        <v/>
      </c>
    </row>
    <row r="3166" spans="10:12" x14ac:dyDescent="0.25">
      <c r="J3166" t="str">
        <f>IF(H3166="","",IFERROR(VLOOKUP(H3166,Listas!$J$2:$K$1048576,2,FALSE),""))</f>
        <v/>
      </c>
      <c r="K3166" s="5" t="str">
        <f>IF(OR(I3166="",G3166=""),"",IF(G3166="Saída",-I3166,I3166))</f>
        <v/>
      </c>
      <c r="L3166" t="str">
        <f>IF(E3166="","",IFERROR(VLOOKUP(E3166,Listas!$A$2:$C$1048576,3,FALSE),""))</f>
        <v/>
      </c>
    </row>
    <row r="3167" spans="10:12" x14ac:dyDescent="0.25">
      <c r="J3167" t="str">
        <f>IF(H3167="","",IFERROR(VLOOKUP(H3167,Listas!$J$2:$K$1048576,2,FALSE),""))</f>
        <v/>
      </c>
      <c r="K3167" s="5" t="str">
        <f>IF(OR(I3167="",G3167=""),"",IF(G3167="Saída",-I3167,I3167))</f>
        <v/>
      </c>
      <c r="L3167" t="str">
        <f>IF(E3167="","",IFERROR(VLOOKUP(E3167,Listas!$A$2:$C$1048576,3,FALSE),""))</f>
        <v/>
      </c>
    </row>
    <row r="3168" spans="10:12" x14ac:dyDescent="0.25">
      <c r="J3168" t="str">
        <f>IF(H3168="","",IFERROR(VLOOKUP(H3168,Listas!$J$2:$K$1048576,2,FALSE),""))</f>
        <v/>
      </c>
      <c r="K3168" s="5" t="str">
        <f>IF(OR(I3168="",G3168=""),"",IF(G3168="Saída",-I3168,I3168))</f>
        <v/>
      </c>
      <c r="L3168" t="str">
        <f>IF(E3168="","",IFERROR(VLOOKUP(E3168,Listas!$A$2:$C$1048576,3,FALSE),""))</f>
        <v/>
      </c>
    </row>
    <row r="3169" spans="10:12" x14ac:dyDescent="0.25">
      <c r="J3169" t="str">
        <f>IF(H3169="","",IFERROR(VLOOKUP(H3169,Listas!$J$2:$K$1048576,2,FALSE),""))</f>
        <v/>
      </c>
      <c r="K3169" s="5" t="str">
        <f>IF(OR(I3169="",G3169=""),"",IF(G3169="Saída",-I3169,I3169))</f>
        <v/>
      </c>
      <c r="L3169" t="str">
        <f>IF(E3169="","",IFERROR(VLOOKUP(E3169,Listas!$A$2:$C$1048576,3,FALSE),""))</f>
        <v/>
      </c>
    </row>
    <row r="3170" spans="10:12" x14ac:dyDescent="0.25">
      <c r="J3170" t="str">
        <f>IF(H3170="","",IFERROR(VLOOKUP(H3170,Listas!$J$2:$K$1048576,2,FALSE),""))</f>
        <v/>
      </c>
      <c r="K3170" s="5" t="str">
        <f>IF(OR(I3170="",G3170=""),"",IF(G3170="Saída",-I3170,I3170))</f>
        <v/>
      </c>
      <c r="L3170" t="str">
        <f>IF(E3170="","",IFERROR(VLOOKUP(E3170,Listas!$A$2:$C$1048576,3,FALSE),""))</f>
        <v/>
      </c>
    </row>
    <row r="3171" spans="10:12" x14ac:dyDescent="0.25">
      <c r="J3171" t="str">
        <f>IF(H3171="","",IFERROR(VLOOKUP(H3171,Listas!$J$2:$K$1048576,2,FALSE),""))</f>
        <v/>
      </c>
      <c r="K3171" s="5" t="str">
        <f>IF(OR(I3171="",G3171=""),"",IF(G3171="Saída",-I3171,I3171))</f>
        <v/>
      </c>
      <c r="L3171" t="str">
        <f>IF(E3171="","",IFERROR(VLOOKUP(E3171,Listas!$A$2:$C$1048576,3,FALSE),""))</f>
        <v/>
      </c>
    </row>
    <row r="3172" spans="10:12" x14ac:dyDescent="0.25">
      <c r="J3172" t="str">
        <f>IF(H3172="","",IFERROR(VLOOKUP(H3172,Listas!$J$2:$K$1048576,2,FALSE),""))</f>
        <v/>
      </c>
      <c r="K3172" s="5" t="str">
        <f>IF(OR(I3172="",G3172=""),"",IF(G3172="Saída",-I3172,I3172))</f>
        <v/>
      </c>
      <c r="L3172" t="str">
        <f>IF(E3172="","",IFERROR(VLOOKUP(E3172,Listas!$A$2:$C$1048576,3,FALSE),""))</f>
        <v/>
      </c>
    </row>
    <row r="3173" spans="10:12" x14ac:dyDescent="0.25">
      <c r="J3173" t="str">
        <f>IF(H3173="","",IFERROR(VLOOKUP(H3173,Listas!$J$2:$K$1048576,2,FALSE),""))</f>
        <v/>
      </c>
      <c r="K3173" s="5" t="str">
        <f>IF(OR(I3173="",G3173=""),"",IF(G3173="Saída",-I3173,I3173))</f>
        <v/>
      </c>
      <c r="L3173" t="str">
        <f>IF(E3173="","",IFERROR(VLOOKUP(E3173,Listas!$A$2:$C$1048576,3,FALSE),""))</f>
        <v/>
      </c>
    </row>
    <row r="3174" spans="10:12" x14ac:dyDescent="0.25">
      <c r="J3174" t="str">
        <f>IF(H3174="","",IFERROR(VLOOKUP(H3174,Listas!$J$2:$K$1048576,2,FALSE),""))</f>
        <v/>
      </c>
      <c r="K3174" s="5" t="str">
        <f>IF(OR(I3174="",G3174=""),"",IF(G3174="Saída",-I3174,I3174))</f>
        <v/>
      </c>
      <c r="L3174" t="str">
        <f>IF(E3174="","",IFERROR(VLOOKUP(E3174,Listas!$A$2:$C$1048576,3,FALSE),""))</f>
        <v/>
      </c>
    </row>
    <row r="3175" spans="10:12" x14ac:dyDescent="0.25">
      <c r="J3175" t="str">
        <f>IF(H3175="","",IFERROR(VLOOKUP(H3175,Listas!$J$2:$K$1048576,2,FALSE),""))</f>
        <v/>
      </c>
      <c r="K3175" s="5" t="str">
        <f>IF(OR(I3175="",G3175=""),"",IF(G3175="Saída",-I3175,I3175))</f>
        <v/>
      </c>
      <c r="L3175" t="str">
        <f>IF(E3175="","",IFERROR(VLOOKUP(E3175,Listas!$A$2:$C$1048576,3,FALSE),""))</f>
        <v/>
      </c>
    </row>
    <row r="3176" spans="10:12" x14ac:dyDescent="0.25">
      <c r="J3176" t="str">
        <f>IF(H3176="","",IFERROR(VLOOKUP(H3176,Listas!$J$2:$K$1048576,2,FALSE),""))</f>
        <v/>
      </c>
      <c r="K3176" s="5" t="str">
        <f>IF(OR(I3176="",G3176=""),"",IF(G3176="Saída",-I3176,I3176))</f>
        <v/>
      </c>
      <c r="L3176" t="str">
        <f>IF(E3176="","",IFERROR(VLOOKUP(E3176,Listas!$A$2:$C$1048576,3,FALSE),""))</f>
        <v/>
      </c>
    </row>
    <row r="3177" spans="10:12" x14ac:dyDescent="0.25">
      <c r="J3177" t="str">
        <f>IF(H3177="","",IFERROR(VLOOKUP(H3177,Listas!$J$2:$K$1048576,2,FALSE),""))</f>
        <v/>
      </c>
      <c r="K3177" s="5" t="str">
        <f>IF(OR(I3177="",G3177=""),"",IF(G3177="Saída",-I3177,I3177))</f>
        <v/>
      </c>
      <c r="L3177" t="str">
        <f>IF(E3177="","",IFERROR(VLOOKUP(E3177,Listas!$A$2:$C$1048576,3,FALSE),""))</f>
        <v/>
      </c>
    </row>
    <row r="3178" spans="10:12" x14ac:dyDescent="0.25">
      <c r="J3178" t="str">
        <f>IF(H3178="","",IFERROR(VLOOKUP(H3178,Listas!$J$2:$K$1048576,2,FALSE),""))</f>
        <v/>
      </c>
      <c r="K3178" s="5" t="str">
        <f>IF(OR(I3178="",G3178=""),"",IF(G3178="Saída",-I3178,I3178))</f>
        <v/>
      </c>
      <c r="L3178" t="str">
        <f>IF(E3178="","",IFERROR(VLOOKUP(E3178,Listas!$A$2:$C$1048576,3,FALSE),""))</f>
        <v/>
      </c>
    </row>
    <row r="3179" spans="10:12" x14ac:dyDescent="0.25">
      <c r="J3179" t="str">
        <f>IF(H3179="","",IFERROR(VLOOKUP(H3179,Listas!$J$2:$K$1048576,2,FALSE),""))</f>
        <v/>
      </c>
      <c r="K3179" s="5" t="str">
        <f>IF(OR(I3179="",G3179=""),"",IF(G3179="Saída",-I3179,I3179))</f>
        <v/>
      </c>
      <c r="L3179" t="str">
        <f>IF(E3179="","",IFERROR(VLOOKUP(E3179,Listas!$A$2:$C$1048576,3,FALSE),""))</f>
        <v/>
      </c>
    </row>
    <row r="3180" spans="10:12" x14ac:dyDescent="0.25">
      <c r="J3180" t="str">
        <f>IF(H3180="","",IFERROR(VLOOKUP(H3180,Listas!$J$2:$K$1048576,2,FALSE),""))</f>
        <v/>
      </c>
      <c r="K3180" s="5" t="str">
        <f>IF(OR(I3180="",G3180=""),"",IF(G3180="Saída",-I3180,I3180))</f>
        <v/>
      </c>
      <c r="L3180" t="str">
        <f>IF(E3180="","",IFERROR(VLOOKUP(E3180,Listas!$A$2:$C$1048576,3,FALSE),""))</f>
        <v/>
      </c>
    </row>
    <row r="3181" spans="10:12" x14ac:dyDescent="0.25">
      <c r="J3181" t="str">
        <f>IF(H3181="","",IFERROR(VLOOKUP(H3181,Listas!$J$2:$K$1048576,2,FALSE),""))</f>
        <v/>
      </c>
      <c r="K3181" s="5" t="str">
        <f>IF(OR(I3181="",G3181=""),"",IF(G3181="Saída",-I3181,I3181))</f>
        <v/>
      </c>
      <c r="L3181" t="str">
        <f>IF(E3181="","",IFERROR(VLOOKUP(E3181,Listas!$A$2:$C$1048576,3,FALSE),""))</f>
        <v/>
      </c>
    </row>
    <row r="3182" spans="10:12" x14ac:dyDescent="0.25">
      <c r="J3182" t="str">
        <f>IF(H3182="","",IFERROR(VLOOKUP(H3182,Listas!$J$2:$K$1048576,2,FALSE),""))</f>
        <v/>
      </c>
      <c r="K3182" s="5" t="str">
        <f>IF(OR(I3182="",G3182=""),"",IF(G3182="Saída",-I3182,I3182))</f>
        <v/>
      </c>
      <c r="L3182" t="str">
        <f>IF(E3182="","",IFERROR(VLOOKUP(E3182,Listas!$A$2:$C$1048576,3,FALSE),""))</f>
        <v/>
      </c>
    </row>
    <row r="3183" spans="10:12" x14ac:dyDescent="0.25">
      <c r="J3183" t="str">
        <f>IF(H3183="","",IFERROR(VLOOKUP(H3183,Listas!$J$2:$K$1048576,2,FALSE),""))</f>
        <v/>
      </c>
      <c r="K3183" s="5" t="str">
        <f>IF(OR(I3183="",G3183=""),"",IF(G3183="Saída",-I3183,I3183))</f>
        <v/>
      </c>
      <c r="L3183" t="str">
        <f>IF(E3183="","",IFERROR(VLOOKUP(E3183,Listas!$A$2:$C$1048576,3,FALSE),""))</f>
        <v/>
      </c>
    </row>
    <row r="3184" spans="10:12" x14ac:dyDescent="0.25">
      <c r="J3184" t="str">
        <f>IF(H3184="","",IFERROR(VLOOKUP(H3184,Listas!$J$2:$K$1048576,2,FALSE),""))</f>
        <v/>
      </c>
      <c r="K3184" s="5" t="str">
        <f>IF(OR(I3184="",G3184=""),"",IF(G3184="Saída",-I3184,I3184))</f>
        <v/>
      </c>
      <c r="L3184" t="str">
        <f>IF(E3184="","",IFERROR(VLOOKUP(E3184,Listas!$A$2:$C$1048576,3,FALSE),""))</f>
        <v/>
      </c>
    </row>
    <row r="3185" spans="10:12" x14ac:dyDescent="0.25">
      <c r="J3185" t="str">
        <f>IF(H3185="","",IFERROR(VLOOKUP(H3185,Listas!$J$2:$K$1048576,2,FALSE),""))</f>
        <v/>
      </c>
      <c r="K3185" s="5" t="str">
        <f>IF(OR(I3185="",G3185=""),"",IF(G3185="Saída",-I3185,I3185))</f>
        <v/>
      </c>
      <c r="L3185" t="str">
        <f>IF(E3185="","",IFERROR(VLOOKUP(E3185,Listas!$A$2:$C$1048576,3,FALSE),""))</f>
        <v/>
      </c>
    </row>
    <row r="3186" spans="10:12" x14ac:dyDescent="0.25">
      <c r="J3186" t="str">
        <f>IF(H3186="","",IFERROR(VLOOKUP(H3186,Listas!$J$2:$K$1048576,2,FALSE),""))</f>
        <v/>
      </c>
      <c r="K3186" s="5" t="str">
        <f>IF(OR(I3186="",G3186=""),"",IF(G3186="Saída",-I3186,I3186))</f>
        <v/>
      </c>
      <c r="L3186" t="str">
        <f>IF(E3186="","",IFERROR(VLOOKUP(E3186,Listas!$A$2:$C$1048576,3,FALSE),""))</f>
        <v/>
      </c>
    </row>
    <row r="3187" spans="10:12" x14ac:dyDescent="0.25">
      <c r="J3187" t="str">
        <f>IF(H3187="","",IFERROR(VLOOKUP(H3187,Listas!$J$2:$K$1048576,2,FALSE),""))</f>
        <v/>
      </c>
      <c r="K3187" s="5" t="str">
        <f>IF(OR(I3187="",G3187=""),"",IF(G3187="Saída",-I3187,I3187))</f>
        <v/>
      </c>
      <c r="L3187" t="str">
        <f>IF(E3187="","",IFERROR(VLOOKUP(E3187,Listas!$A$2:$C$1048576,3,FALSE),""))</f>
        <v/>
      </c>
    </row>
    <row r="3188" spans="10:12" x14ac:dyDescent="0.25">
      <c r="J3188" t="str">
        <f>IF(H3188="","",IFERROR(VLOOKUP(H3188,Listas!$J$2:$K$1048576,2,FALSE),""))</f>
        <v/>
      </c>
      <c r="K3188" s="5" t="str">
        <f>IF(OR(I3188="",G3188=""),"",IF(G3188="Saída",-I3188,I3188))</f>
        <v/>
      </c>
      <c r="L3188" t="str">
        <f>IF(E3188="","",IFERROR(VLOOKUP(E3188,Listas!$A$2:$C$1048576,3,FALSE),""))</f>
        <v/>
      </c>
    </row>
    <row r="3189" spans="10:12" x14ac:dyDescent="0.25">
      <c r="J3189" t="str">
        <f>IF(H3189="","",IFERROR(VLOOKUP(H3189,Listas!$J$2:$K$1048576,2,FALSE),""))</f>
        <v/>
      </c>
      <c r="K3189" s="5" t="str">
        <f>IF(OR(I3189="",G3189=""),"",IF(G3189="Saída",-I3189,I3189))</f>
        <v/>
      </c>
      <c r="L3189" t="str">
        <f>IF(E3189="","",IFERROR(VLOOKUP(E3189,Listas!$A$2:$C$1048576,3,FALSE),""))</f>
        <v/>
      </c>
    </row>
    <row r="3190" spans="10:12" x14ac:dyDescent="0.25">
      <c r="J3190" t="str">
        <f>IF(H3190="","",IFERROR(VLOOKUP(H3190,Listas!$J$2:$K$1048576,2,FALSE),""))</f>
        <v/>
      </c>
      <c r="K3190" s="5" t="str">
        <f>IF(OR(I3190="",G3190=""),"",IF(G3190="Saída",-I3190,I3190))</f>
        <v/>
      </c>
      <c r="L3190" t="str">
        <f>IF(E3190="","",IFERROR(VLOOKUP(E3190,Listas!$A$2:$C$1048576,3,FALSE),""))</f>
        <v/>
      </c>
    </row>
    <row r="3191" spans="10:12" x14ac:dyDescent="0.25">
      <c r="J3191" t="str">
        <f>IF(H3191="","",IFERROR(VLOOKUP(H3191,Listas!$J$2:$K$1048576,2,FALSE),""))</f>
        <v/>
      </c>
      <c r="K3191" s="5" t="str">
        <f>IF(OR(I3191="",G3191=""),"",IF(G3191="Saída",-I3191,I3191))</f>
        <v/>
      </c>
      <c r="L3191" t="str">
        <f>IF(E3191="","",IFERROR(VLOOKUP(E3191,Listas!$A$2:$C$1048576,3,FALSE),""))</f>
        <v/>
      </c>
    </row>
    <row r="3192" spans="10:12" x14ac:dyDescent="0.25">
      <c r="J3192" t="str">
        <f>IF(H3192="","",IFERROR(VLOOKUP(H3192,Listas!$J$2:$K$1048576,2,FALSE),""))</f>
        <v/>
      </c>
      <c r="K3192" s="5" t="str">
        <f>IF(OR(I3192="",G3192=""),"",IF(G3192="Saída",-I3192,I3192))</f>
        <v/>
      </c>
      <c r="L3192" t="str">
        <f>IF(E3192="","",IFERROR(VLOOKUP(E3192,Listas!$A$2:$C$1048576,3,FALSE),""))</f>
        <v/>
      </c>
    </row>
    <row r="3193" spans="10:12" x14ac:dyDescent="0.25">
      <c r="J3193" t="str">
        <f>IF(H3193="","",IFERROR(VLOOKUP(H3193,Listas!$J$2:$K$1048576,2,FALSE),""))</f>
        <v/>
      </c>
      <c r="K3193" s="5" t="str">
        <f>IF(OR(I3193="",G3193=""),"",IF(G3193="Saída",-I3193,I3193))</f>
        <v/>
      </c>
      <c r="L3193" t="str">
        <f>IF(E3193="","",IFERROR(VLOOKUP(E3193,Listas!$A$2:$C$1048576,3,FALSE),""))</f>
        <v/>
      </c>
    </row>
    <row r="3194" spans="10:12" x14ac:dyDescent="0.25">
      <c r="J3194" t="str">
        <f>IF(H3194="","",IFERROR(VLOOKUP(H3194,Listas!$J$2:$K$1048576,2,FALSE),""))</f>
        <v/>
      </c>
      <c r="K3194" s="5" t="str">
        <f>IF(OR(I3194="",G3194=""),"",IF(G3194="Saída",-I3194,I3194))</f>
        <v/>
      </c>
      <c r="L3194" t="str">
        <f>IF(E3194="","",IFERROR(VLOOKUP(E3194,Listas!$A$2:$C$1048576,3,FALSE),""))</f>
        <v/>
      </c>
    </row>
    <row r="3195" spans="10:12" x14ac:dyDescent="0.25">
      <c r="J3195" t="str">
        <f>IF(H3195="","",IFERROR(VLOOKUP(H3195,Listas!$J$2:$K$1048576,2,FALSE),""))</f>
        <v/>
      </c>
      <c r="K3195" s="5" t="str">
        <f>IF(OR(I3195="",G3195=""),"",IF(G3195="Saída",-I3195,I3195))</f>
        <v/>
      </c>
      <c r="L3195" t="str">
        <f>IF(E3195="","",IFERROR(VLOOKUP(E3195,Listas!$A$2:$C$1048576,3,FALSE),""))</f>
        <v/>
      </c>
    </row>
    <row r="3196" spans="10:12" x14ac:dyDescent="0.25">
      <c r="J3196" t="str">
        <f>IF(H3196="","",IFERROR(VLOOKUP(H3196,Listas!$J$2:$K$1048576,2,FALSE),""))</f>
        <v/>
      </c>
      <c r="K3196" s="5" t="str">
        <f>IF(OR(I3196="",G3196=""),"",IF(G3196="Saída",-I3196,I3196))</f>
        <v/>
      </c>
      <c r="L3196" t="str">
        <f>IF(E3196="","",IFERROR(VLOOKUP(E3196,Listas!$A$2:$C$1048576,3,FALSE),""))</f>
        <v/>
      </c>
    </row>
    <row r="3197" spans="10:12" x14ac:dyDescent="0.25">
      <c r="J3197" t="str">
        <f>IF(H3197="","",IFERROR(VLOOKUP(H3197,Listas!$J$2:$K$1048576,2,FALSE),""))</f>
        <v/>
      </c>
      <c r="K3197" s="5" t="str">
        <f>IF(OR(I3197="",G3197=""),"",IF(G3197="Saída",-I3197,I3197))</f>
        <v/>
      </c>
      <c r="L3197" t="str">
        <f>IF(E3197="","",IFERROR(VLOOKUP(E3197,Listas!$A$2:$C$1048576,3,FALSE),""))</f>
        <v/>
      </c>
    </row>
    <row r="3198" spans="10:12" x14ac:dyDescent="0.25">
      <c r="J3198" t="str">
        <f>IF(H3198="","",IFERROR(VLOOKUP(H3198,Listas!$J$2:$K$1048576,2,FALSE),""))</f>
        <v/>
      </c>
      <c r="K3198" s="5" t="str">
        <f>IF(OR(I3198="",G3198=""),"",IF(G3198="Saída",-I3198,I3198))</f>
        <v/>
      </c>
      <c r="L3198" t="str">
        <f>IF(E3198="","",IFERROR(VLOOKUP(E3198,Listas!$A$2:$C$1048576,3,FALSE),""))</f>
        <v/>
      </c>
    </row>
    <row r="3199" spans="10:12" x14ac:dyDescent="0.25">
      <c r="J3199" t="str">
        <f>IF(H3199="","",IFERROR(VLOOKUP(H3199,Listas!$J$2:$K$1048576,2,FALSE),""))</f>
        <v/>
      </c>
      <c r="K3199" s="5" t="str">
        <f>IF(OR(I3199="",G3199=""),"",IF(G3199="Saída",-I3199,I3199))</f>
        <v/>
      </c>
      <c r="L3199" t="str">
        <f>IF(E3199="","",IFERROR(VLOOKUP(E3199,Listas!$A$2:$C$1048576,3,FALSE),""))</f>
        <v/>
      </c>
    </row>
    <row r="3200" spans="10:12" x14ac:dyDescent="0.25">
      <c r="J3200" t="str">
        <f>IF(H3200="","",IFERROR(VLOOKUP(H3200,Listas!$J$2:$K$1048576,2,FALSE),""))</f>
        <v/>
      </c>
      <c r="K3200" s="5" t="str">
        <f>IF(OR(I3200="",G3200=""),"",IF(G3200="Saída",-I3200,I3200))</f>
        <v/>
      </c>
      <c r="L3200" t="str">
        <f>IF(E3200="","",IFERROR(VLOOKUP(E3200,Listas!$A$2:$C$1048576,3,FALSE),""))</f>
        <v/>
      </c>
    </row>
    <row r="3201" spans="10:12" x14ac:dyDescent="0.25">
      <c r="J3201" t="str">
        <f>IF(H3201="","",IFERROR(VLOOKUP(H3201,Listas!$J$2:$K$1048576,2,FALSE),""))</f>
        <v/>
      </c>
      <c r="K3201" s="5" t="str">
        <f>IF(OR(I3201="",G3201=""),"",IF(G3201="Saída",-I3201,I3201))</f>
        <v/>
      </c>
      <c r="L3201" t="str">
        <f>IF(E3201="","",IFERROR(VLOOKUP(E3201,Listas!$A$2:$C$1048576,3,FALSE),""))</f>
        <v/>
      </c>
    </row>
    <row r="3202" spans="10:12" x14ac:dyDescent="0.25">
      <c r="J3202" t="str">
        <f>IF(H3202="","",IFERROR(VLOOKUP(H3202,Listas!$J$2:$K$1048576,2,FALSE),""))</f>
        <v/>
      </c>
      <c r="K3202" s="5" t="str">
        <f>IF(OR(I3202="",G3202=""),"",IF(G3202="Saída",-I3202,I3202))</f>
        <v/>
      </c>
      <c r="L3202" t="str">
        <f>IF(E3202="","",IFERROR(VLOOKUP(E3202,Listas!$A$2:$C$1048576,3,FALSE),""))</f>
        <v/>
      </c>
    </row>
    <row r="3203" spans="10:12" x14ac:dyDescent="0.25">
      <c r="J3203" t="str">
        <f>IF(H3203="","",IFERROR(VLOOKUP(H3203,Listas!$J$2:$K$1048576,2,FALSE),""))</f>
        <v/>
      </c>
      <c r="K3203" s="5" t="str">
        <f>IF(OR(I3203="",G3203=""),"",IF(G3203="Saída",-I3203,I3203))</f>
        <v/>
      </c>
      <c r="L3203" t="str">
        <f>IF(E3203="","",IFERROR(VLOOKUP(E3203,Listas!$A$2:$C$1048576,3,FALSE),""))</f>
        <v/>
      </c>
    </row>
    <row r="3204" spans="10:12" x14ac:dyDescent="0.25">
      <c r="J3204" t="str">
        <f>IF(H3204="","",IFERROR(VLOOKUP(H3204,Listas!$J$2:$K$1048576,2,FALSE),""))</f>
        <v/>
      </c>
      <c r="K3204" s="5" t="str">
        <f>IF(OR(I3204="",G3204=""),"",IF(G3204="Saída",-I3204,I3204))</f>
        <v/>
      </c>
      <c r="L3204" t="str">
        <f>IF(E3204="","",IFERROR(VLOOKUP(E3204,Listas!$A$2:$C$1048576,3,FALSE),""))</f>
        <v/>
      </c>
    </row>
    <row r="3205" spans="10:12" x14ac:dyDescent="0.25">
      <c r="J3205" t="str">
        <f>IF(H3205="","",IFERROR(VLOOKUP(H3205,Listas!$J$2:$K$1048576,2,FALSE),""))</f>
        <v/>
      </c>
      <c r="K3205" s="5" t="str">
        <f>IF(OR(I3205="",G3205=""),"",IF(G3205="Saída",-I3205,I3205))</f>
        <v/>
      </c>
      <c r="L3205" t="str">
        <f>IF(E3205="","",IFERROR(VLOOKUP(E3205,Listas!$A$2:$C$1048576,3,FALSE),""))</f>
        <v/>
      </c>
    </row>
    <row r="3206" spans="10:12" x14ac:dyDescent="0.25">
      <c r="J3206" t="str">
        <f>IF(H3206="","",IFERROR(VLOOKUP(H3206,Listas!$J$2:$K$1048576,2,FALSE),""))</f>
        <v/>
      </c>
      <c r="K3206" s="5" t="str">
        <f>IF(OR(I3206="",G3206=""),"",IF(G3206="Saída",-I3206,I3206))</f>
        <v/>
      </c>
      <c r="L3206" t="str">
        <f>IF(E3206="","",IFERROR(VLOOKUP(E3206,Listas!$A$2:$C$1048576,3,FALSE),""))</f>
        <v/>
      </c>
    </row>
    <row r="3207" spans="10:12" x14ac:dyDescent="0.25">
      <c r="J3207" t="str">
        <f>IF(H3207="","",IFERROR(VLOOKUP(H3207,Listas!$J$2:$K$1048576,2,FALSE),""))</f>
        <v/>
      </c>
      <c r="K3207" s="5" t="str">
        <f>IF(OR(I3207="",G3207=""),"",IF(G3207="Saída",-I3207,I3207))</f>
        <v/>
      </c>
      <c r="L3207" t="str">
        <f>IF(E3207="","",IFERROR(VLOOKUP(E3207,Listas!$A$2:$C$1048576,3,FALSE),""))</f>
        <v/>
      </c>
    </row>
    <row r="3208" spans="10:12" x14ac:dyDescent="0.25">
      <c r="J3208" t="str">
        <f>IF(H3208="","",IFERROR(VLOOKUP(H3208,Listas!$J$2:$K$1048576,2,FALSE),""))</f>
        <v/>
      </c>
      <c r="K3208" s="5" t="str">
        <f>IF(OR(I3208="",G3208=""),"",IF(G3208="Saída",-I3208,I3208))</f>
        <v/>
      </c>
      <c r="L3208" t="str">
        <f>IF(E3208="","",IFERROR(VLOOKUP(E3208,Listas!$A$2:$C$1048576,3,FALSE),""))</f>
        <v/>
      </c>
    </row>
    <row r="3209" spans="10:12" x14ac:dyDescent="0.25">
      <c r="J3209" t="str">
        <f>IF(H3209="","",IFERROR(VLOOKUP(H3209,Listas!$J$2:$K$1048576,2,FALSE),""))</f>
        <v/>
      </c>
      <c r="K3209" s="5" t="str">
        <f>IF(OR(I3209="",G3209=""),"",IF(G3209="Saída",-I3209,I3209))</f>
        <v/>
      </c>
      <c r="L3209" t="str">
        <f>IF(E3209="","",IFERROR(VLOOKUP(E3209,Listas!$A$2:$C$1048576,3,FALSE),""))</f>
        <v/>
      </c>
    </row>
    <row r="3210" spans="10:12" x14ac:dyDescent="0.25">
      <c r="J3210" t="str">
        <f>IF(H3210="","",IFERROR(VLOOKUP(H3210,Listas!$J$2:$K$1048576,2,FALSE),""))</f>
        <v/>
      </c>
      <c r="K3210" s="5" t="str">
        <f>IF(OR(I3210="",G3210=""),"",IF(G3210="Saída",-I3210,I3210))</f>
        <v/>
      </c>
      <c r="L3210" t="str">
        <f>IF(E3210="","",IFERROR(VLOOKUP(E3210,Listas!$A$2:$C$1048576,3,FALSE),""))</f>
        <v/>
      </c>
    </row>
    <row r="3211" spans="10:12" x14ac:dyDescent="0.25">
      <c r="J3211" t="str">
        <f>IF(H3211="","",IFERROR(VLOOKUP(H3211,Listas!$J$2:$K$1048576,2,FALSE),""))</f>
        <v/>
      </c>
      <c r="K3211" s="5" t="str">
        <f>IF(OR(I3211="",G3211=""),"",IF(G3211="Saída",-I3211,I3211))</f>
        <v/>
      </c>
      <c r="L3211" t="str">
        <f>IF(E3211="","",IFERROR(VLOOKUP(E3211,Listas!$A$2:$C$1048576,3,FALSE),""))</f>
        <v/>
      </c>
    </row>
    <row r="3212" spans="10:12" x14ac:dyDescent="0.25">
      <c r="J3212" t="str">
        <f>IF(H3212="","",IFERROR(VLOOKUP(H3212,Listas!$J$2:$K$1048576,2,FALSE),""))</f>
        <v/>
      </c>
      <c r="K3212" s="5" t="str">
        <f>IF(OR(I3212="",G3212=""),"",IF(G3212="Saída",-I3212,I3212))</f>
        <v/>
      </c>
      <c r="L3212" t="str">
        <f>IF(E3212="","",IFERROR(VLOOKUP(E3212,Listas!$A$2:$C$1048576,3,FALSE),""))</f>
        <v/>
      </c>
    </row>
    <row r="3213" spans="10:12" x14ac:dyDescent="0.25">
      <c r="J3213" t="str">
        <f>IF(H3213="","",IFERROR(VLOOKUP(H3213,Listas!$J$2:$K$1048576,2,FALSE),""))</f>
        <v/>
      </c>
      <c r="K3213" s="5" t="str">
        <f>IF(OR(I3213="",G3213=""),"",IF(G3213="Saída",-I3213,I3213))</f>
        <v/>
      </c>
      <c r="L3213" t="str">
        <f>IF(E3213="","",IFERROR(VLOOKUP(E3213,Listas!$A$2:$C$1048576,3,FALSE),""))</f>
        <v/>
      </c>
    </row>
    <row r="3214" spans="10:12" x14ac:dyDescent="0.25">
      <c r="J3214" t="str">
        <f>IF(H3214="","",IFERROR(VLOOKUP(H3214,Listas!$J$2:$K$1048576,2,FALSE),""))</f>
        <v/>
      </c>
      <c r="K3214" s="5" t="str">
        <f>IF(OR(I3214="",G3214=""),"",IF(G3214="Saída",-I3214,I3214))</f>
        <v/>
      </c>
      <c r="L3214" t="str">
        <f>IF(E3214="","",IFERROR(VLOOKUP(E3214,Listas!$A$2:$C$1048576,3,FALSE),""))</f>
        <v/>
      </c>
    </row>
    <row r="3215" spans="10:12" x14ac:dyDescent="0.25">
      <c r="J3215" t="str">
        <f>IF(H3215="","",IFERROR(VLOOKUP(H3215,Listas!$J$2:$K$1048576,2,FALSE),""))</f>
        <v/>
      </c>
      <c r="K3215" s="5" t="str">
        <f>IF(OR(I3215="",G3215=""),"",IF(G3215="Saída",-I3215,I3215))</f>
        <v/>
      </c>
      <c r="L3215" t="str">
        <f>IF(E3215="","",IFERROR(VLOOKUP(E3215,Listas!$A$2:$C$1048576,3,FALSE),""))</f>
        <v/>
      </c>
    </row>
    <row r="3216" spans="10:12" x14ac:dyDescent="0.25">
      <c r="J3216" t="str">
        <f>IF(H3216="","",IFERROR(VLOOKUP(H3216,Listas!$J$2:$K$1048576,2,FALSE),""))</f>
        <v/>
      </c>
      <c r="K3216" s="5" t="str">
        <f>IF(OR(I3216="",G3216=""),"",IF(G3216="Saída",-I3216,I3216))</f>
        <v/>
      </c>
      <c r="L3216" t="str">
        <f>IF(E3216="","",IFERROR(VLOOKUP(E3216,Listas!$A$2:$C$1048576,3,FALSE),""))</f>
        <v/>
      </c>
    </row>
    <row r="3217" spans="10:12" x14ac:dyDescent="0.25">
      <c r="J3217" t="str">
        <f>IF(H3217="","",IFERROR(VLOOKUP(H3217,Listas!$J$2:$K$1048576,2,FALSE),""))</f>
        <v/>
      </c>
      <c r="K3217" s="5" t="str">
        <f>IF(OR(I3217="",G3217=""),"",IF(G3217="Saída",-I3217,I3217))</f>
        <v/>
      </c>
      <c r="L3217" t="str">
        <f>IF(E3217="","",IFERROR(VLOOKUP(E3217,Listas!$A$2:$C$1048576,3,FALSE),""))</f>
        <v/>
      </c>
    </row>
    <row r="3218" spans="10:12" x14ac:dyDescent="0.25">
      <c r="J3218" t="str">
        <f>IF(H3218="","",IFERROR(VLOOKUP(H3218,Listas!$J$2:$K$1048576,2,FALSE),""))</f>
        <v/>
      </c>
      <c r="K3218" s="5" t="str">
        <f>IF(OR(I3218="",G3218=""),"",IF(G3218="Saída",-I3218,I3218))</f>
        <v/>
      </c>
      <c r="L3218" t="str">
        <f>IF(E3218="","",IFERROR(VLOOKUP(E3218,Listas!$A$2:$C$1048576,3,FALSE),""))</f>
        <v/>
      </c>
    </row>
    <row r="3219" spans="10:12" x14ac:dyDescent="0.25">
      <c r="J3219" t="str">
        <f>IF(H3219="","",IFERROR(VLOOKUP(H3219,Listas!$J$2:$K$1048576,2,FALSE),""))</f>
        <v/>
      </c>
      <c r="K3219" s="5" t="str">
        <f>IF(OR(I3219="",G3219=""),"",IF(G3219="Saída",-I3219,I3219))</f>
        <v/>
      </c>
      <c r="L3219" t="str">
        <f>IF(E3219="","",IFERROR(VLOOKUP(E3219,Listas!$A$2:$C$1048576,3,FALSE),""))</f>
        <v/>
      </c>
    </row>
    <row r="3220" spans="10:12" x14ac:dyDescent="0.25">
      <c r="J3220" t="str">
        <f>IF(H3220="","",IFERROR(VLOOKUP(H3220,Listas!$J$2:$K$1048576,2,FALSE),""))</f>
        <v/>
      </c>
      <c r="K3220" s="5" t="str">
        <f>IF(OR(I3220="",G3220=""),"",IF(G3220="Saída",-I3220,I3220))</f>
        <v/>
      </c>
      <c r="L3220" t="str">
        <f>IF(E3220="","",IFERROR(VLOOKUP(E3220,Listas!$A$2:$C$1048576,3,FALSE),""))</f>
        <v/>
      </c>
    </row>
    <row r="3221" spans="10:12" x14ac:dyDescent="0.25">
      <c r="J3221" t="str">
        <f>IF(H3221="","",IFERROR(VLOOKUP(H3221,Listas!$J$2:$K$1048576,2,FALSE),""))</f>
        <v/>
      </c>
      <c r="K3221" s="5" t="str">
        <f>IF(OR(I3221="",G3221=""),"",IF(G3221="Saída",-I3221,I3221))</f>
        <v/>
      </c>
      <c r="L3221" t="str">
        <f>IF(E3221="","",IFERROR(VLOOKUP(E3221,Listas!$A$2:$C$1048576,3,FALSE),""))</f>
        <v/>
      </c>
    </row>
    <row r="3222" spans="10:12" x14ac:dyDescent="0.25">
      <c r="J3222" t="str">
        <f>IF(H3222="","",IFERROR(VLOOKUP(H3222,Listas!$J$2:$K$1048576,2,FALSE),""))</f>
        <v/>
      </c>
      <c r="K3222" s="5" t="str">
        <f>IF(OR(I3222="",G3222=""),"",IF(G3222="Saída",-I3222,I3222))</f>
        <v/>
      </c>
      <c r="L3222" t="str">
        <f>IF(E3222="","",IFERROR(VLOOKUP(E3222,Listas!$A$2:$C$1048576,3,FALSE),""))</f>
        <v/>
      </c>
    </row>
    <row r="3223" spans="10:12" x14ac:dyDescent="0.25">
      <c r="J3223" t="str">
        <f>IF(H3223="","",IFERROR(VLOOKUP(H3223,Listas!$J$2:$K$1048576,2,FALSE),""))</f>
        <v/>
      </c>
      <c r="K3223" s="5" t="str">
        <f>IF(OR(I3223="",G3223=""),"",IF(G3223="Saída",-I3223,I3223))</f>
        <v/>
      </c>
      <c r="L3223" t="str">
        <f>IF(E3223="","",IFERROR(VLOOKUP(E3223,Listas!$A$2:$C$1048576,3,FALSE),""))</f>
        <v/>
      </c>
    </row>
    <row r="3224" spans="10:12" x14ac:dyDescent="0.25">
      <c r="J3224" t="str">
        <f>IF(H3224="","",IFERROR(VLOOKUP(H3224,Listas!$J$2:$K$1048576,2,FALSE),""))</f>
        <v/>
      </c>
      <c r="K3224" s="5" t="str">
        <f>IF(OR(I3224="",G3224=""),"",IF(G3224="Saída",-I3224,I3224))</f>
        <v/>
      </c>
      <c r="L3224" t="str">
        <f>IF(E3224="","",IFERROR(VLOOKUP(E3224,Listas!$A$2:$C$1048576,3,FALSE),""))</f>
        <v/>
      </c>
    </row>
    <row r="3225" spans="10:12" x14ac:dyDescent="0.25">
      <c r="J3225" t="str">
        <f>IF(H3225="","",IFERROR(VLOOKUP(H3225,Listas!$J$2:$K$1048576,2,FALSE),""))</f>
        <v/>
      </c>
      <c r="K3225" s="5" t="str">
        <f>IF(OR(I3225="",G3225=""),"",IF(G3225="Saída",-I3225,I3225))</f>
        <v/>
      </c>
      <c r="L3225" t="str">
        <f>IF(E3225="","",IFERROR(VLOOKUP(E3225,Listas!$A$2:$C$1048576,3,FALSE),""))</f>
        <v/>
      </c>
    </row>
    <row r="3226" spans="10:12" x14ac:dyDescent="0.25">
      <c r="J3226" t="str">
        <f>IF(H3226="","",IFERROR(VLOOKUP(H3226,Listas!$J$2:$K$1048576,2,FALSE),""))</f>
        <v/>
      </c>
      <c r="K3226" s="5" t="str">
        <f>IF(OR(I3226="",G3226=""),"",IF(G3226="Saída",-I3226,I3226))</f>
        <v/>
      </c>
      <c r="L3226" t="str">
        <f>IF(E3226="","",IFERROR(VLOOKUP(E3226,Listas!$A$2:$C$1048576,3,FALSE),""))</f>
        <v/>
      </c>
    </row>
    <row r="3227" spans="10:12" x14ac:dyDescent="0.25">
      <c r="J3227" t="str">
        <f>IF(H3227="","",IFERROR(VLOOKUP(H3227,Listas!$J$2:$K$1048576,2,FALSE),""))</f>
        <v/>
      </c>
      <c r="K3227" s="5" t="str">
        <f>IF(OR(I3227="",G3227=""),"",IF(G3227="Saída",-I3227,I3227))</f>
        <v/>
      </c>
      <c r="L3227" t="str">
        <f>IF(E3227="","",IFERROR(VLOOKUP(E3227,Listas!$A$2:$C$1048576,3,FALSE),""))</f>
        <v/>
      </c>
    </row>
    <row r="3228" spans="10:12" x14ac:dyDescent="0.25">
      <c r="J3228" t="str">
        <f>IF(H3228="","",IFERROR(VLOOKUP(H3228,Listas!$J$2:$K$1048576,2,FALSE),""))</f>
        <v/>
      </c>
      <c r="K3228" s="5" t="str">
        <f>IF(OR(I3228="",G3228=""),"",IF(G3228="Saída",-I3228,I3228))</f>
        <v/>
      </c>
      <c r="L3228" t="str">
        <f>IF(E3228="","",IFERROR(VLOOKUP(E3228,Listas!$A$2:$C$1048576,3,FALSE),""))</f>
        <v/>
      </c>
    </row>
    <row r="3229" spans="10:12" x14ac:dyDescent="0.25">
      <c r="J3229" t="str">
        <f>IF(H3229="","",IFERROR(VLOOKUP(H3229,Listas!$J$2:$K$1048576,2,FALSE),""))</f>
        <v/>
      </c>
      <c r="K3229" s="5" t="str">
        <f>IF(OR(I3229="",G3229=""),"",IF(G3229="Saída",-I3229,I3229))</f>
        <v/>
      </c>
      <c r="L3229" t="str">
        <f>IF(E3229="","",IFERROR(VLOOKUP(E3229,Listas!$A$2:$C$1048576,3,FALSE),""))</f>
        <v/>
      </c>
    </row>
    <row r="3230" spans="10:12" x14ac:dyDescent="0.25">
      <c r="J3230" t="str">
        <f>IF(H3230="","",IFERROR(VLOOKUP(H3230,Listas!$J$2:$K$1048576,2,FALSE),""))</f>
        <v/>
      </c>
      <c r="K3230" s="5" t="str">
        <f>IF(OR(I3230="",G3230=""),"",IF(G3230="Saída",-I3230,I3230))</f>
        <v/>
      </c>
      <c r="L3230" t="str">
        <f>IF(E3230="","",IFERROR(VLOOKUP(E3230,Listas!$A$2:$C$1048576,3,FALSE),""))</f>
        <v/>
      </c>
    </row>
    <row r="3231" spans="10:12" x14ac:dyDescent="0.25">
      <c r="J3231" t="str">
        <f>IF(H3231="","",IFERROR(VLOOKUP(H3231,Listas!$J$2:$K$1048576,2,FALSE),""))</f>
        <v/>
      </c>
      <c r="K3231" s="5" t="str">
        <f>IF(OR(I3231="",G3231=""),"",IF(G3231="Saída",-I3231,I3231))</f>
        <v/>
      </c>
      <c r="L3231" t="str">
        <f>IF(E3231="","",IFERROR(VLOOKUP(E3231,Listas!$A$2:$C$1048576,3,FALSE),""))</f>
        <v/>
      </c>
    </row>
    <row r="3232" spans="10:12" x14ac:dyDescent="0.25">
      <c r="J3232" t="str">
        <f>IF(H3232="","",IFERROR(VLOOKUP(H3232,Listas!$J$2:$K$1048576,2,FALSE),""))</f>
        <v/>
      </c>
      <c r="K3232" s="5" t="str">
        <f>IF(OR(I3232="",G3232=""),"",IF(G3232="Saída",-I3232,I3232))</f>
        <v/>
      </c>
      <c r="L3232" t="str">
        <f>IF(E3232="","",IFERROR(VLOOKUP(E3232,Listas!$A$2:$C$1048576,3,FALSE),""))</f>
        <v/>
      </c>
    </row>
    <row r="3233" spans="10:12" x14ac:dyDescent="0.25">
      <c r="J3233" t="str">
        <f>IF(H3233="","",IFERROR(VLOOKUP(H3233,Listas!$J$2:$K$1048576,2,FALSE),""))</f>
        <v/>
      </c>
      <c r="K3233" s="5" t="str">
        <f>IF(OR(I3233="",G3233=""),"",IF(G3233="Saída",-I3233,I3233))</f>
        <v/>
      </c>
      <c r="L3233" t="str">
        <f>IF(E3233="","",IFERROR(VLOOKUP(E3233,Listas!$A$2:$C$1048576,3,FALSE),""))</f>
        <v/>
      </c>
    </row>
    <row r="3234" spans="10:12" x14ac:dyDescent="0.25">
      <c r="J3234" t="str">
        <f>IF(H3234="","",IFERROR(VLOOKUP(H3234,Listas!$J$2:$K$1048576,2,FALSE),""))</f>
        <v/>
      </c>
      <c r="K3234" s="5" t="str">
        <f>IF(OR(I3234="",G3234=""),"",IF(G3234="Saída",-I3234,I3234))</f>
        <v/>
      </c>
      <c r="L3234" t="str">
        <f>IF(E3234="","",IFERROR(VLOOKUP(E3234,Listas!$A$2:$C$1048576,3,FALSE),""))</f>
        <v/>
      </c>
    </row>
    <row r="3235" spans="10:12" x14ac:dyDescent="0.25">
      <c r="J3235" t="str">
        <f>IF(H3235="","",IFERROR(VLOOKUP(H3235,Listas!$J$2:$K$1048576,2,FALSE),""))</f>
        <v/>
      </c>
      <c r="K3235" s="5" t="str">
        <f>IF(OR(I3235="",G3235=""),"",IF(G3235="Saída",-I3235,I3235))</f>
        <v/>
      </c>
      <c r="L3235" t="str">
        <f>IF(E3235="","",IFERROR(VLOOKUP(E3235,Listas!$A$2:$C$1048576,3,FALSE),""))</f>
        <v/>
      </c>
    </row>
    <row r="3236" spans="10:12" x14ac:dyDescent="0.25">
      <c r="J3236" t="str">
        <f>IF(H3236="","",IFERROR(VLOOKUP(H3236,Listas!$J$2:$K$1048576,2,FALSE),""))</f>
        <v/>
      </c>
      <c r="K3236" s="5" t="str">
        <f>IF(OR(I3236="",G3236=""),"",IF(G3236="Saída",-I3236,I3236))</f>
        <v/>
      </c>
      <c r="L3236" t="str">
        <f>IF(E3236="","",IFERROR(VLOOKUP(E3236,Listas!$A$2:$C$1048576,3,FALSE),""))</f>
        <v/>
      </c>
    </row>
    <row r="3237" spans="10:12" x14ac:dyDescent="0.25">
      <c r="J3237" t="str">
        <f>IF(H3237="","",IFERROR(VLOOKUP(H3237,Listas!$J$2:$K$1048576,2,FALSE),""))</f>
        <v/>
      </c>
      <c r="K3237" s="5" t="str">
        <f>IF(OR(I3237="",G3237=""),"",IF(G3237="Saída",-I3237,I3237))</f>
        <v/>
      </c>
      <c r="L3237" t="str">
        <f>IF(E3237="","",IFERROR(VLOOKUP(E3237,Listas!$A$2:$C$1048576,3,FALSE),""))</f>
        <v/>
      </c>
    </row>
    <row r="3238" spans="10:12" x14ac:dyDescent="0.25">
      <c r="J3238" t="str">
        <f>IF(H3238="","",IFERROR(VLOOKUP(H3238,Listas!$J$2:$K$1048576,2,FALSE),""))</f>
        <v/>
      </c>
      <c r="K3238" s="5" t="str">
        <f>IF(OR(I3238="",G3238=""),"",IF(G3238="Saída",-I3238,I3238))</f>
        <v/>
      </c>
      <c r="L3238" t="str">
        <f>IF(E3238="","",IFERROR(VLOOKUP(E3238,Listas!$A$2:$C$1048576,3,FALSE),""))</f>
        <v/>
      </c>
    </row>
    <row r="3239" spans="10:12" x14ac:dyDescent="0.25">
      <c r="J3239" t="str">
        <f>IF(H3239="","",IFERROR(VLOOKUP(H3239,Listas!$J$2:$K$1048576,2,FALSE),""))</f>
        <v/>
      </c>
      <c r="K3239" s="5" t="str">
        <f>IF(OR(I3239="",G3239=""),"",IF(G3239="Saída",-I3239,I3239))</f>
        <v/>
      </c>
      <c r="L3239" t="str">
        <f>IF(E3239="","",IFERROR(VLOOKUP(E3239,Listas!$A$2:$C$1048576,3,FALSE),""))</f>
        <v/>
      </c>
    </row>
    <row r="3240" spans="10:12" x14ac:dyDescent="0.25">
      <c r="J3240" t="str">
        <f>IF(H3240="","",IFERROR(VLOOKUP(H3240,Listas!$J$2:$K$1048576,2,FALSE),""))</f>
        <v/>
      </c>
      <c r="K3240" s="5" t="str">
        <f>IF(OR(I3240="",G3240=""),"",IF(G3240="Saída",-I3240,I3240))</f>
        <v/>
      </c>
      <c r="L3240" t="str">
        <f>IF(E3240="","",IFERROR(VLOOKUP(E3240,Listas!$A$2:$C$1048576,3,FALSE),""))</f>
        <v/>
      </c>
    </row>
    <row r="3241" spans="10:12" x14ac:dyDescent="0.25">
      <c r="J3241" t="str">
        <f>IF(H3241="","",IFERROR(VLOOKUP(H3241,Listas!$J$2:$K$1048576,2,FALSE),""))</f>
        <v/>
      </c>
      <c r="K3241" s="5" t="str">
        <f>IF(OR(I3241="",G3241=""),"",IF(G3241="Saída",-I3241,I3241))</f>
        <v/>
      </c>
      <c r="L3241" t="str">
        <f>IF(E3241="","",IFERROR(VLOOKUP(E3241,Listas!$A$2:$C$1048576,3,FALSE),""))</f>
        <v/>
      </c>
    </row>
    <row r="3242" spans="10:12" x14ac:dyDescent="0.25">
      <c r="J3242" t="str">
        <f>IF(H3242="","",IFERROR(VLOOKUP(H3242,Listas!$J$2:$K$1048576,2,FALSE),""))</f>
        <v/>
      </c>
      <c r="K3242" s="5" t="str">
        <f>IF(OR(I3242="",G3242=""),"",IF(G3242="Saída",-I3242,I3242))</f>
        <v/>
      </c>
      <c r="L3242" t="str">
        <f>IF(E3242="","",IFERROR(VLOOKUP(E3242,Listas!$A$2:$C$1048576,3,FALSE),""))</f>
        <v/>
      </c>
    </row>
    <row r="3243" spans="10:12" x14ac:dyDescent="0.25">
      <c r="J3243" t="str">
        <f>IF(H3243="","",IFERROR(VLOOKUP(H3243,Listas!$J$2:$K$1048576,2,FALSE),""))</f>
        <v/>
      </c>
      <c r="K3243" s="5" t="str">
        <f>IF(OR(I3243="",G3243=""),"",IF(G3243="Saída",-I3243,I3243))</f>
        <v/>
      </c>
      <c r="L3243" t="str">
        <f>IF(E3243="","",IFERROR(VLOOKUP(E3243,Listas!$A$2:$C$1048576,3,FALSE),""))</f>
        <v/>
      </c>
    </row>
    <row r="3244" spans="10:12" x14ac:dyDescent="0.25">
      <c r="J3244" t="str">
        <f>IF(H3244="","",IFERROR(VLOOKUP(H3244,Listas!$J$2:$K$1048576,2,FALSE),""))</f>
        <v/>
      </c>
      <c r="K3244" s="5" t="str">
        <f>IF(OR(I3244="",G3244=""),"",IF(G3244="Saída",-I3244,I3244))</f>
        <v/>
      </c>
      <c r="L3244" t="str">
        <f>IF(E3244="","",IFERROR(VLOOKUP(E3244,Listas!$A$2:$C$1048576,3,FALSE),""))</f>
        <v/>
      </c>
    </row>
    <row r="3245" spans="10:12" x14ac:dyDescent="0.25">
      <c r="J3245" t="str">
        <f>IF(H3245="","",IFERROR(VLOOKUP(H3245,Listas!$J$2:$K$1048576,2,FALSE),""))</f>
        <v/>
      </c>
      <c r="K3245" s="5" t="str">
        <f>IF(OR(I3245="",G3245=""),"",IF(G3245="Saída",-I3245,I3245))</f>
        <v/>
      </c>
      <c r="L3245" t="str">
        <f>IF(E3245="","",IFERROR(VLOOKUP(E3245,Listas!$A$2:$C$1048576,3,FALSE),""))</f>
        <v/>
      </c>
    </row>
    <row r="3246" spans="10:12" x14ac:dyDescent="0.25">
      <c r="J3246" t="str">
        <f>IF(H3246="","",IFERROR(VLOOKUP(H3246,Listas!$J$2:$K$1048576,2,FALSE),""))</f>
        <v/>
      </c>
      <c r="K3246" s="5" t="str">
        <f>IF(OR(I3246="",G3246=""),"",IF(G3246="Saída",-I3246,I3246))</f>
        <v/>
      </c>
      <c r="L3246" t="str">
        <f>IF(E3246="","",IFERROR(VLOOKUP(E3246,Listas!$A$2:$C$1048576,3,FALSE),""))</f>
        <v/>
      </c>
    </row>
    <row r="3247" spans="10:12" x14ac:dyDescent="0.25">
      <c r="J3247" t="str">
        <f>IF(H3247="","",IFERROR(VLOOKUP(H3247,Listas!$J$2:$K$1048576,2,FALSE),""))</f>
        <v/>
      </c>
      <c r="K3247" s="5" t="str">
        <f>IF(OR(I3247="",G3247=""),"",IF(G3247="Saída",-I3247,I3247))</f>
        <v/>
      </c>
      <c r="L3247" t="str">
        <f>IF(E3247="","",IFERROR(VLOOKUP(E3247,Listas!$A$2:$C$1048576,3,FALSE),""))</f>
        <v/>
      </c>
    </row>
    <row r="3248" spans="10:12" x14ac:dyDescent="0.25">
      <c r="J3248" t="str">
        <f>IF(H3248="","",IFERROR(VLOOKUP(H3248,Listas!$J$2:$K$1048576,2,FALSE),""))</f>
        <v/>
      </c>
      <c r="K3248" s="5" t="str">
        <f>IF(OR(I3248="",G3248=""),"",IF(G3248="Saída",-I3248,I3248))</f>
        <v/>
      </c>
      <c r="L3248" t="str">
        <f>IF(E3248="","",IFERROR(VLOOKUP(E3248,Listas!$A$2:$C$1048576,3,FALSE),""))</f>
        <v/>
      </c>
    </row>
    <row r="3249" spans="10:12" x14ac:dyDescent="0.25">
      <c r="J3249" t="str">
        <f>IF(H3249="","",IFERROR(VLOOKUP(H3249,Listas!$J$2:$K$1048576,2,FALSE),""))</f>
        <v/>
      </c>
      <c r="K3249" s="5" t="str">
        <f>IF(OR(I3249="",G3249=""),"",IF(G3249="Saída",-I3249,I3249))</f>
        <v/>
      </c>
      <c r="L3249" t="str">
        <f>IF(E3249="","",IFERROR(VLOOKUP(E3249,Listas!$A$2:$C$1048576,3,FALSE),""))</f>
        <v/>
      </c>
    </row>
    <row r="3250" spans="10:12" x14ac:dyDescent="0.25">
      <c r="J3250" t="str">
        <f>IF(H3250="","",IFERROR(VLOOKUP(H3250,Listas!$J$2:$K$1048576,2,FALSE),""))</f>
        <v/>
      </c>
      <c r="K3250" s="5" t="str">
        <f>IF(OR(I3250="",G3250=""),"",IF(G3250="Saída",-I3250,I3250))</f>
        <v/>
      </c>
      <c r="L3250" t="str">
        <f>IF(E3250="","",IFERROR(VLOOKUP(E3250,Listas!$A$2:$C$1048576,3,FALSE),""))</f>
        <v/>
      </c>
    </row>
    <row r="3251" spans="10:12" x14ac:dyDescent="0.25">
      <c r="J3251" t="str">
        <f>IF(H3251="","",IFERROR(VLOOKUP(H3251,Listas!$J$2:$K$1048576,2,FALSE),""))</f>
        <v/>
      </c>
      <c r="K3251" s="5" t="str">
        <f>IF(OR(I3251="",G3251=""),"",IF(G3251="Saída",-I3251,I3251))</f>
        <v/>
      </c>
      <c r="L3251" t="str">
        <f>IF(E3251="","",IFERROR(VLOOKUP(E3251,Listas!$A$2:$C$1048576,3,FALSE),""))</f>
        <v/>
      </c>
    </row>
    <row r="3252" spans="10:12" x14ac:dyDescent="0.25">
      <c r="J3252" t="str">
        <f>IF(H3252="","",IFERROR(VLOOKUP(H3252,Listas!$J$2:$K$1048576,2,FALSE),""))</f>
        <v/>
      </c>
      <c r="K3252" s="5" t="str">
        <f>IF(OR(I3252="",G3252=""),"",IF(G3252="Saída",-I3252,I3252))</f>
        <v/>
      </c>
      <c r="L3252" t="str">
        <f>IF(E3252="","",IFERROR(VLOOKUP(E3252,Listas!$A$2:$C$1048576,3,FALSE),""))</f>
        <v/>
      </c>
    </row>
    <row r="3253" spans="10:12" x14ac:dyDescent="0.25">
      <c r="J3253" t="str">
        <f>IF(H3253="","",IFERROR(VLOOKUP(H3253,Listas!$J$2:$K$1048576,2,FALSE),""))</f>
        <v/>
      </c>
      <c r="K3253" s="5" t="str">
        <f>IF(OR(I3253="",G3253=""),"",IF(G3253="Saída",-I3253,I3253))</f>
        <v/>
      </c>
      <c r="L3253" t="str">
        <f>IF(E3253="","",IFERROR(VLOOKUP(E3253,Listas!$A$2:$C$1048576,3,FALSE),""))</f>
        <v/>
      </c>
    </row>
    <row r="3254" spans="10:12" x14ac:dyDescent="0.25">
      <c r="J3254" t="str">
        <f>IF(H3254="","",IFERROR(VLOOKUP(H3254,Listas!$J$2:$K$1048576,2,FALSE),""))</f>
        <v/>
      </c>
      <c r="K3254" s="5" t="str">
        <f>IF(OR(I3254="",G3254=""),"",IF(G3254="Saída",-I3254,I3254))</f>
        <v/>
      </c>
      <c r="L3254" t="str">
        <f>IF(E3254="","",IFERROR(VLOOKUP(E3254,Listas!$A$2:$C$1048576,3,FALSE),""))</f>
        <v/>
      </c>
    </row>
    <row r="3255" spans="10:12" x14ac:dyDescent="0.25">
      <c r="J3255" t="str">
        <f>IF(H3255="","",IFERROR(VLOOKUP(H3255,Listas!$J$2:$K$1048576,2,FALSE),""))</f>
        <v/>
      </c>
      <c r="K3255" s="5" t="str">
        <f>IF(OR(I3255="",G3255=""),"",IF(G3255="Saída",-I3255,I3255))</f>
        <v/>
      </c>
      <c r="L3255" t="str">
        <f>IF(E3255="","",IFERROR(VLOOKUP(E3255,Listas!$A$2:$C$1048576,3,FALSE),""))</f>
        <v/>
      </c>
    </row>
    <row r="3256" spans="10:12" x14ac:dyDescent="0.25">
      <c r="J3256" t="str">
        <f>IF(H3256="","",IFERROR(VLOOKUP(H3256,Listas!$J$2:$K$1048576,2,FALSE),""))</f>
        <v/>
      </c>
      <c r="K3256" s="5" t="str">
        <f>IF(OR(I3256="",G3256=""),"",IF(G3256="Saída",-I3256,I3256))</f>
        <v/>
      </c>
      <c r="L3256" t="str">
        <f>IF(E3256="","",IFERROR(VLOOKUP(E3256,Listas!$A$2:$C$1048576,3,FALSE),""))</f>
        <v/>
      </c>
    </row>
    <row r="3257" spans="10:12" x14ac:dyDescent="0.25">
      <c r="J3257" t="str">
        <f>IF(H3257="","",IFERROR(VLOOKUP(H3257,Listas!$J$2:$K$1048576,2,FALSE),""))</f>
        <v/>
      </c>
      <c r="K3257" s="5" t="str">
        <f>IF(OR(I3257="",G3257=""),"",IF(G3257="Saída",-I3257,I3257))</f>
        <v/>
      </c>
      <c r="L3257" t="str">
        <f>IF(E3257="","",IFERROR(VLOOKUP(E3257,Listas!$A$2:$C$1048576,3,FALSE),""))</f>
        <v/>
      </c>
    </row>
    <row r="3258" spans="10:12" x14ac:dyDescent="0.25">
      <c r="J3258" t="str">
        <f>IF(H3258="","",IFERROR(VLOOKUP(H3258,Listas!$J$2:$K$1048576,2,FALSE),""))</f>
        <v/>
      </c>
      <c r="K3258" s="5" t="str">
        <f>IF(OR(I3258="",G3258=""),"",IF(G3258="Saída",-I3258,I3258))</f>
        <v/>
      </c>
      <c r="L3258" t="str">
        <f>IF(E3258="","",IFERROR(VLOOKUP(E3258,Listas!$A$2:$C$1048576,3,FALSE),""))</f>
        <v/>
      </c>
    </row>
    <row r="3259" spans="10:12" x14ac:dyDescent="0.25">
      <c r="J3259" t="str">
        <f>IF(H3259="","",IFERROR(VLOOKUP(H3259,Listas!$J$2:$K$1048576,2,FALSE),""))</f>
        <v/>
      </c>
      <c r="K3259" s="5" t="str">
        <f>IF(OR(I3259="",G3259=""),"",IF(G3259="Saída",-I3259,I3259))</f>
        <v/>
      </c>
      <c r="L3259" t="str">
        <f>IF(E3259="","",IFERROR(VLOOKUP(E3259,Listas!$A$2:$C$1048576,3,FALSE),""))</f>
        <v/>
      </c>
    </row>
    <row r="3260" spans="10:12" x14ac:dyDescent="0.25">
      <c r="J3260" t="str">
        <f>IF(H3260="","",IFERROR(VLOOKUP(H3260,Listas!$J$2:$K$1048576,2,FALSE),""))</f>
        <v/>
      </c>
      <c r="K3260" s="5" t="str">
        <f>IF(OR(I3260="",G3260=""),"",IF(G3260="Saída",-I3260,I3260))</f>
        <v/>
      </c>
      <c r="L3260" t="str">
        <f>IF(E3260="","",IFERROR(VLOOKUP(E3260,Listas!$A$2:$C$1048576,3,FALSE),""))</f>
        <v/>
      </c>
    </row>
    <row r="3261" spans="10:12" x14ac:dyDescent="0.25">
      <c r="J3261" t="str">
        <f>IF(H3261="","",IFERROR(VLOOKUP(H3261,Listas!$J$2:$K$1048576,2,FALSE),""))</f>
        <v/>
      </c>
      <c r="K3261" s="5" t="str">
        <f>IF(OR(I3261="",G3261=""),"",IF(G3261="Saída",-I3261,I3261))</f>
        <v/>
      </c>
      <c r="L3261" t="str">
        <f>IF(E3261="","",IFERROR(VLOOKUP(E3261,Listas!$A$2:$C$1048576,3,FALSE),""))</f>
        <v/>
      </c>
    </row>
    <row r="3262" spans="10:12" x14ac:dyDescent="0.25">
      <c r="J3262" t="str">
        <f>IF(H3262="","",IFERROR(VLOOKUP(H3262,Listas!$J$2:$K$1048576,2,FALSE),""))</f>
        <v/>
      </c>
      <c r="K3262" s="5" t="str">
        <f>IF(OR(I3262="",G3262=""),"",IF(G3262="Saída",-I3262,I3262))</f>
        <v/>
      </c>
      <c r="L3262" t="str">
        <f>IF(E3262="","",IFERROR(VLOOKUP(E3262,Listas!$A$2:$C$1048576,3,FALSE),""))</f>
        <v/>
      </c>
    </row>
    <row r="3263" spans="10:12" x14ac:dyDescent="0.25">
      <c r="J3263" t="str">
        <f>IF(H3263="","",IFERROR(VLOOKUP(H3263,Listas!$J$2:$K$1048576,2,FALSE),""))</f>
        <v/>
      </c>
      <c r="K3263" s="5" t="str">
        <f>IF(OR(I3263="",G3263=""),"",IF(G3263="Saída",-I3263,I3263))</f>
        <v/>
      </c>
      <c r="L3263" t="str">
        <f>IF(E3263="","",IFERROR(VLOOKUP(E3263,Listas!$A$2:$C$1048576,3,FALSE),""))</f>
        <v/>
      </c>
    </row>
    <row r="3264" spans="10:12" x14ac:dyDescent="0.25">
      <c r="J3264" t="str">
        <f>IF(H3264="","",IFERROR(VLOOKUP(H3264,Listas!$J$2:$K$1048576,2,FALSE),""))</f>
        <v/>
      </c>
      <c r="K3264" s="5" t="str">
        <f>IF(OR(I3264="",G3264=""),"",IF(G3264="Saída",-I3264,I3264))</f>
        <v/>
      </c>
      <c r="L3264" t="str">
        <f>IF(E3264="","",IFERROR(VLOOKUP(E3264,Listas!$A$2:$C$1048576,3,FALSE),""))</f>
        <v/>
      </c>
    </row>
    <row r="3265" spans="10:12" x14ac:dyDescent="0.25">
      <c r="J3265" t="str">
        <f>IF(H3265="","",IFERROR(VLOOKUP(H3265,Listas!$J$2:$K$1048576,2,FALSE),""))</f>
        <v/>
      </c>
      <c r="K3265" s="5" t="str">
        <f>IF(OR(I3265="",G3265=""),"",IF(G3265="Saída",-I3265,I3265))</f>
        <v/>
      </c>
      <c r="L3265" t="str">
        <f>IF(E3265="","",IFERROR(VLOOKUP(E3265,Listas!$A$2:$C$1048576,3,FALSE),""))</f>
        <v/>
      </c>
    </row>
    <row r="3266" spans="10:12" x14ac:dyDescent="0.25">
      <c r="J3266" t="str">
        <f>IF(H3266="","",IFERROR(VLOOKUP(H3266,Listas!$J$2:$K$1048576,2,FALSE),""))</f>
        <v/>
      </c>
      <c r="K3266" s="5" t="str">
        <f>IF(OR(I3266="",G3266=""),"",IF(G3266="Saída",-I3266,I3266))</f>
        <v/>
      </c>
      <c r="L3266" t="str">
        <f>IF(E3266="","",IFERROR(VLOOKUP(E3266,Listas!$A$2:$C$1048576,3,FALSE),""))</f>
        <v/>
      </c>
    </row>
    <row r="3267" spans="10:12" x14ac:dyDescent="0.25">
      <c r="J3267" t="str">
        <f>IF(H3267="","",IFERROR(VLOOKUP(H3267,Listas!$J$2:$K$1048576,2,FALSE),""))</f>
        <v/>
      </c>
      <c r="K3267" s="5" t="str">
        <f>IF(OR(I3267="",G3267=""),"",IF(G3267="Saída",-I3267,I3267))</f>
        <v/>
      </c>
      <c r="L3267" t="str">
        <f>IF(E3267="","",IFERROR(VLOOKUP(E3267,Listas!$A$2:$C$1048576,3,FALSE),""))</f>
        <v/>
      </c>
    </row>
    <row r="3268" spans="10:12" x14ac:dyDescent="0.25">
      <c r="J3268" t="str">
        <f>IF(H3268="","",IFERROR(VLOOKUP(H3268,Listas!$J$2:$K$1048576,2,FALSE),""))</f>
        <v/>
      </c>
      <c r="K3268" s="5" t="str">
        <f>IF(OR(I3268="",G3268=""),"",IF(G3268="Saída",-I3268,I3268))</f>
        <v/>
      </c>
      <c r="L3268" t="str">
        <f>IF(E3268="","",IFERROR(VLOOKUP(E3268,Listas!$A$2:$C$1048576,3,FALSE),""))</f>
        <v/>
      </c>
    </row>
    <row r="3269" spans="10:12" x14ac:dyDescent="0.25">
      <c r="J3269" t="str">
        <f>IF(H3269="","",IFERROR(VLOOKUP(H3269,Listas!$J$2:$K$1048576,2,FALSE),""))</f>
        <v/>
      </c>
      <c r="K3269" s="5" t="str">
        <f>IF(OR(I3269="",G3269=""),"",IF(G3269="Saída",-I3269,I3269))</f>
        <v/>
      </c>
      <c r="L3269" t="str">
        <f>IF(E3269="","",IFERROR(VLOOKUP(E3269,Listas!$A$2:$C$1048576,3,FALSE),""))</f>
        <v/>
      </c>
    </row>
    <row r="3270" spans="10:12" x14ac:dyDescent="0.25">
      <c r="J3270" t="str">
        <f>IF(H3270="","",IFERROR(VLOOKUP(H3270,Listas!$J$2:$K$1048576,2,FALSE),""))</f>
        <v/>
      </c>
      <c r="K3270" s="5" t="str">
        <f>IF(OR(I3270="",G3270=""),"",IF(G3270="Saída",-I3270,I3270))</f>
        <v/>
      </c>
      <c r="L3270" t="str">
        <f>IF(E3270="","",IFERROR(VLOOKUP(E3270,Listas!$A$2:$C$1048576,3,FALSE),""))</f>
        <v/>
      </c>
    </row>
    <row r="3271" spans="10:12" x14ac:dyDescent="0.25">
      <c r="J3271" t="str">
        <f>IF(H3271="","",IFERROR(VLOOKUP(H3271,Listas!$J$2:$K$1048576,2,FALSE),""))</f>
        <v/>
      </c>
      <c r="K3271" s="5" t="str">
        <f>IF(OR(I3271="",G3271=""),"",IF(G3271="Saída",-I3271,I3271))</f>
        <v/>
      </c>
      <c r="L3271" t="str">
        <f>IF(E3271="","",IFERROR(VLOOKUP(E3271,Listas!$A$2:$C$1048576,3,FALSE),""))</f>
        <v/>
      </c>
    </row>
    <row r="3272" spans="10:12" x14ac:dyDescent="0.25">
      <c r="J3272" t="str">
        <f>IF(H3272="","",IFERROR(VLOOKUP(H3272,Listas!$J$2:$K$1048576,2,FALSE),""))</f>
        <v/>
      </c>
      <c r="K3272" s="5" t="str">
        <f>IF(OR(I3272="",G3272=""),"",IF(G3272="Saída",-I3272,I3272))</f>
        <v/>
      </c>
      <c r="L3272" t="str">
        <f>IF(E3272="","",IFERROR(VLOOKUP(E3272,Listas!$A$2:$C$1048576,3,FALSE),""))</f>
        <v/>
      </c>
    </row>
    <row r="3273" spans="10:12" x14ac:dyDescent="0.25">
      <c r="J3273" t="str">
        <f>IF(H3273="","",IFERROR(VLOOKUP(H3273,Listas!$J$2:$K$1048576,2,FALSE),""))</f>
        <v/>
      </c>
      <c r="K3273" s="5" t="str">
        <f>IF(OR(I3273="",G3273=""),"",IF(G3273="Saída",-I3273,I3273))</f>
        <v/>
      </c>
      <c r="L3273" t="str">
        <f>IF(E3273="","",IFERROR(VLOOKUP(E3273,Listas!$A$2:$C$1048576,3,FALSE),""))</f>
        <v/>
      </c>
    </row>
    <row r="3274" spans="10:12" x14ac:dyDescent="0.25">
      <c r="J3274" t="str">
        <f>IF(H3274="","",IFERROR(VLOOKUP(H3274,Listas!$J$2:$K$1048576,2,FALSE),""))</f>
        <v/>
      </c>
      <c r="K3274" s="5" t="str">
        <f>IF(OR(I3274="",G3274=""),"",IF(G3274="Saída",-I3274,I3274))</f>
        <v/>
      </c>
      <c r="L3274" t="str">
        <f>IF(E3274="","",IFERROR(VLOOKUP(E3274,Listas!$A$2:$C$1048576,3,FALSE),""))</f>
        <v/>
      </c>
    </row>
    <row r="3275" spans="10:12" x14ac:dyDescent="0.25">
      <c r="J3275" t="str">
        <f>IF(H3275="","",IFERROR(VLOOKUP(H3275,Listas!$J$2:$K$1048576,2,FALSE),""))</f>
        <v/>
      </c>
      <c r="K3275" s="5" t="str">
        <f>IF(OR(I3275="",G3275=""),"",IF(G3275="Saída",-I3275,I3275))</f>
        <v/>
      </c>
      <c r="L3275" t="str">
        <f>IF(E3275="","",IFERROR(VLOOKUP(E3275,Listas!$A$2:$C$1048576,3,FALSE),""))</f>
        <v/>
      </c>
    </row>
    <row r="3276" spans="10:12" x14ac:dyDescent="0.25">
      <c r="J3276" t="str">
        <f>IF(H3276="","",IFERROR(VLOOKUP(H3276,Listas!$J$2:$K$1048576,2,FALSE),""))</f>
        <v/>
      </c>
      <c r="K3276" s="5" t="str">
        <f>IF(OR(I3276="",G3276=""),"",IF(G3276="Saída",-I3276,I3276))</f>
        <v/>
      </c>
      <c r="L3276" t="str">
        <f>IF(E3276="","",IFERROR(VLOOKUP(E3276,Listas!$A$2:$C$1048576,3,FALSE),""))</f>
        <v/>
      </c>
    </row>
    <row r="3277" spans="10:12" x14ac:dyDescent="0.25">
      <c r="J3277" t="str">
        <f>IF(H3277="","",IFERROR(VLOOKUP(H3277,Listas!$J$2:$K$1048576,2,FALSE),""))</f>
        <v/>
      </c>
      <c r="K3277" s="5" t="str">
        <f>IF(OR(I3277="",G3277=""),"",IF(G3277="Saída",-I3277,I3277))</f>
        <v/>
      </c>
      <c r="L3277" t="str">
        <f>IF(E3277="","",IFERROR(VLOOKUP(E3277,Listas!$A$2:$C$1048576,3,FALSE),""))</f>
        <v/>
      </c>
    </row>
    <row r="3278" spans="10:12" x14ac:dyDescent="0.25">
      <c r="J3278" t="str">
        <f>IF(H3278="","",IFERROR(VLOOKUP(H3278,Listas!$J$2:$K$1048576,2,FALSE),""))</f>
        <v/>
      </c>
      <c r="K3278" s="5" t="str">
        <f>IF(OR(I3278="",G3278=""),"",IF(G3278="Saída",-I3278,I3278))</f>
        <v/>
      </c>
      <c r="L3278" t="str">
        <f>IF(E3278="","",IFERROR(VLOOKUP(E3278,Listas!$A$2:$C$1048576,3,FALSE),""))</f>
        <v/>
      </c>
    </row>
    <row r="3279" spans="10:12" x14ac:dyDescent="0.25">
      <c r="J3279" t="str">
        <f>IF(H3279="","",IFERROR(VLOOKUP(H3279,Listas!$J$2:$K$1048576,2,FALSE),""))</f>
        <v/>
      </c>
      <c r="K3279" s="5" t="str">
        <f>IF(OR(I3279="",G3279=""),"",IF(G3279="Saída",-I3279,I3279))</f>
        <v/>
      </c>
      <c r="L3279" t="str">
        <f>IF(E3279="","",IFERROR(VLOOKUP(E3279,Listas!$A$2:$C$1048576,3,FALSE),""))</f>
        <v/>
      </c>
    </row>
    <row r="3280" spans="10:12" x14ac:dyDescent="0.25">
      <c r="J3280" t="str">
        <f>IF(H3280="","",IFERROR(VLOOKUP(H3280,Listas!$J$2:$K$1048576,2,FALSE),""))</f>
        <v/>
      </c>
      <c r="K3280" s="5" t="str">
        <f>IF(OR(I3280="",G3280=""),"",IF(G3280="Saída",-I3280,I3280))</f>
        <v/>
      </c>
      <c r="L3280" t="str">
        <f>IF(E3280="","",IFERROR(VLOOKUP(E3280,Listas!$A$2:$C$1048576,3,FALSE),""))</f>
        <v/>
      </c>
    </row>
    <row r="3281" spans="10:12" x14ac:dyDescent="0.25">
      <c r="J3281" t="str">
        <f>IF(H3281="","",IFERROR(VLOOKUP(H3281,Listas!$J$2:$K$1048576,2,FALSE),""))</f>
        <v/>
      </c>
      <c r="K3281" s="5" t="str">
        <f>IF(OR(I3281="",G3281=""),"",IF(G3281="Saída",-I3281,I3281))</f>
        <v/>
      </c>
      <c r="L3281" t="str">
        <f>IF(E3281="","",IFERROR(VLOOKUP(E3281,Listas!$A$2:$C$1048576,3,FALSE),""))</f>
        <v/>
      </c>
    </row>
    <row r="3282" spans="10:12" x14ac:dyDescent="0.25">
      <c r="J3282" t="str">
        <f>IF(H3282="","",IFERROR(VLOOKUP(H3282,Listas!$J$2:$K$1048576,2,FALSE),""))</f>
        <v/>
      </c>
      <c r="K3282" s="5" t="str">
        <f>IF(OR(I3282="",G3282=""),"",IF(G3282="Saída",-I3282,I3282))</f>
        <v/>
      </c>
      <c r="L3282" t="str">
        <f>IF(E3282="","",IFERROR(VLOOKUP(E3282,Listas!$A$2:$C$1048576,3,FALSE),""))</f>
        <v/>
      </c>
    </row>
    <row r="3283" spans="10:12" x14ac:dyDescent="0.25">
      <c r="J3283" t="str">
        <f>IF(H3283="","",IFERROR(VLOOKUP(H3283,Listas!$J$2:$K$1048576,2,FALSE),""))</f>
        <v/>
      </c>
      <c r="K3283" s="5" t="str">
        <f>IF(OR(I3283="",G3283=""),"",IF(G3283="Saída",-I3283,I3283))</f>
        <v/>
      </c>
      <c r="L3283" t="str">
        <f>IF(E3283="","",IFERROR(VLOOKUP(E3283,Listas!$A$2:$C$1048576,3,FALSE),""))</f>
        <v/>
      </c>
    </row>
    <row r="3284" spans="10:12" x14ac:dyDescent="0.25">
      <c r="J3284" t="str">
        <f>IF(H3284="","",IFERROR(VLOOKUP(H3284,Listas!$J$2:$K$1048576,2,FALSE),""))</f>
        <v/>
      </c>
      <c r="K3284" s="5" t="str">
        <f>IF(OR(I3284="",G3284=""),"",IF(G3284="Saída",-I3284,I3284))</f>
        <v/>
      </c>
      <c r="L3284" t="str">
        <f>IF(E3284="","",IFERROR(VLOOKUP(E3284,Listas!$A$2:$C$1048576,3,FALSE),""))</f>
        <v/>
      </c>
    </row>
    <row r="3285" spans="10:12" x14ac:dyDescent="0.25">
      <c r="J3285" t="str">
        <f>IF(H3285="","",IFERROR(VLOOKUP(H3285,Listas!$J$2:$K$1048576,2,FALSE),""))</f>
        <v/>
      </c>
      <c r="K3285" s="5" t="str">
        <f>IF(OR(I3285="",G3285=""),"",IF(G3285="Saída",-I3285,I3285))</f>
        <v/>
      </c>
      <c r="L3285" t="str">
        <f>IF(E3285="","",IFERROR(VLOOKUP(E3285,Listas!$A$2:$C$1048576,3,FALSE),""))</f>
        <v/>
      </c>
    </row>
    <row r="3286" spans="10:12" x14ac:dyDescent="0.25">
      <c r="J3286" t="str">
        <f>IF(H3286="","",IFERROR(VLOOKUP(H3286,Listas!$J$2:$K$1048576,2,FALSE),""))</f>
        <v/>
      </c>
      <c r="K3286" s="5" t="str">
        <f>IF(OR(I3286="",G3286=""),"",IF(G3286="Saída",-I3286,I3286))</f>
        <v/>
      </c>
      <c r="L3286" t="str">
        <f>IF(E3286="","",IFERROR(VLOOKUP(E3286,Listas!$A$2:$C$1048576,3,FALSE),""))</f>
        <v/>
      </c>
    </row>
    <row r="3287" spans="10:12" x14ac:dyDescent="0.25">
      <c r="J3287" t="str">
        <f>IF(H3287="","",IFERROR(VLOOKUP(H3287,Listas!$J$2:$K$1048576,2,FALSE),""))</f>
        <v/>
      </c>
      <c r="K3287" s="5" t="str">
        <f>IF(OR(I3287="",G3287=""),"",IF(G3287="Saída",-I3287,I3287))</f>
        <v/>
      </c>
      <c r="L3287" t="str">
        <f>IF(E3287="","",IFERROR(VLOOKUP(E3287,Listas!$A$2:$C$1048576,3,FALSE),""))</f>
        <v/>
      </c>
    </row>
    <row r="3288" spans="10:12" x14ac:dyDescent="0.25">
      <c r="J3288" t="str">
        <f>IF(H3288="","",IFERROR(VLOOKUP(H3288,Listas!$J$2:$K$1048576,2,FALSE),""))</f>
        <v/>
      </c>
      <c r="K3288" s="5" t="str">
        <f>IF(OR(I3288="",G3288=""),"",IF(G3288="Saída",-I3288,I3288))</f>
        <v/>
      </c>
      <c r="L3288" t="str">
        <f>IF(E3288="","",IFERROR(VLOOKUP(E3288,Listas!$A$2:$C$1048576,3,FALSE),""))</f>
        <v/>
      </c>
    </row>
    <row r="3289" spans="10:12" x14ac:dyDescent="0.25">
      <c r="J3289" t="str">
        <f>IF(H3289="","",IFERROR(VLOOKUP(H3289,Listas!$J$2:$K$1048576,2,FALSE),""))</f>
        <v/>
      </c>
      <c r="K3289" s="5" t="str">
        <f>IF(OR(I3289="",G3289=""),"",IF(G3289="Saída",-I3289,I3289))</f>
        <v/>
      </c>
      <c r="L3289" t="str">
        <f>IF(E3289="","",IFERROR(VLOOKUP(E3289,Listas!$A$2:$C$1048576,3,FALSE),""))</f>
        <v/>
      </c>
    </row>
    <row r="3290" spans="10:12" x14ac:dyDescent="0.25">
      <c r="J3290" t="str">
        <f>IF(H3290="","",IFERROR(VLOOKUP(H3290,Listas!$J$2:$K$1048576,2,FALSE),""))</f>
        <v/>
      </c>
      <c r="K3290" s="5" t="str">
        <f>IF(OR(I3290="",G3290=""),"",IF(G3290="Saída",-I3290,I3290))</f>
        <v/>
      </c>
      <c r="L3290" t="str">
        <f>IF(E3290="","",IFERROR(VLOOKUP(E3290,Listas!$A$2:$C$1048576,3,FALSE),""))</f>
        <v/>
      </c>
    </row>
    <row r="3291" spans="10:12" x14ac:dyDescent="0.25">
      <c r="J3291" t="str">
        <f>IF(H3291="","",IFERROR(VLOOKUP(H3291,Listas!$J$2:$K$1048576,2,FALSE),""))</f>
        <v/>
      </c>
      <c r="K3291" s="5" t="str">
        <f>IF(OR(I3291="",G3291=""),"",IF(G3291="Saída",-I3291,I3291))</f>
        <v/>
      </c>
      <c r="L3291" t="str">
        <f>IF(E3291="","",IFERROR(VLOOKUP(E3291,Listas!$A$2:$C$1048576,3,FALSE),""))</f>
        <v/>
      </c>
    </row>
    <row r="3292" spans="10:12" x14ac:dyDescent="0.25">
      <c r="J3292" t="str">
        <f>IF(H3292="","",IFERROR(VLOOKUP(H3292,Listas!$J$2:$K$1048576,2,FALSE),""))</f>
        <v/>
      </c>
      <c r="K3292" s="5" t="str">
        <f>IF(OR(I3292="",G3292=""),"",IF(G3292="Saída",-I3292,I3292))</f>
        <v/>
      </c>
      <c r="L3292" t="str">
        <f>IF(E3292="","",IFERROR(VLOOKUP(E3292,Listas!$A$2:$C$1048576,3,FALSE),""))</f>
        <v/>
      </c>
    </row>
    <row r="3293" spans="10:12" x14ac:dyDescent="0.25">
      <c r="J3293" t="str">
        <f>IF(H3293="","",IFERROR(VLOOKUP(H3293,Listas!$J$2:$K$1048576,2,FALSE),""))</f>
        <v/>
      </c>
      <c r="K3293" s="5" t="str">
        <f>IF(OR(I3293="",G3293=""),"",IF(G3293="Saída",-I3293,I3293))</f>
        <v/>
      </c>
      <c r="L3293" t="str">
        <f>IF(E3293="","",IFERROR(VLOOKUP(E3293,Listas!$A$2:$C$1048576,3,FALSE),""))</f>
        <v/>
      </c>
    </row>
    <row r="3294" spans="10:12" x14ac:dyDescent="0.25">
      <c r="J3294" t="str">
        <f>IF(H3294="","",IFERROR(VLOOKUP(H3294,Listas!$J$2:$K$1048576,2,FALSE),""))</f>
        <v/>
      </c>
      <c r="K3294" s="5" t="str">
        <f>IF(OR(I3294="",G3294=""),"",IF(G3294="Saída",-I3294,I3294))</f>
        <v/>
      </c>
      <c r="L3294" t="str">
        <f>IF(E3294="","",IFERROR(VLOOKUP(E3294,Listas!$A$2:$C$1048576,3,FALSE),""))</f>
        <v/>
      </c>
    </row>
    <row r="3295" spans="10:12" x14ac:dyDescent="0.25">
      <c r="J3295" t="str">
        <f>IF(H3295="","",IFERROR(VLOOKUP(H3295,Listas!$J$2:$K$1048576,2,FALSE),""))</f>
        <v/>
      </c>
      <c r="K3295" s="5" t="str">
        <f>IF(OR(I3295="",G3295=""),"",IF(G3295="Saída",-I3295,I3295))</f>
        <v/>
      </c>
      <c r="L3295" t="str">
        <f>IF(E3295="","",IFERROR(VLOOKUP(E3295,Listas!$A$2:$C$1048576,3,FALSE),""))</f>
        <v/>
      </c>
    </row>
    <row r="3296" spans="10:12" x14ac:dyDescent="0.25">
      <c r="J3296" t="str">
        <f>IF(H3296="","",IFERROR(VLOOKUP(H3296,Listas!$J$2:$K$1048576,2,FALSE),""))</f>
        <v/>
      </c>
      <c r="K3296" s="5" t="str">
        <f>IF(OR(I3296="",G3296=""),"",IF(G3296="Saída",-I3296,I3296))</f>
        <v/>
      </c>
      <c r="L3296" t="str">
        <f>IF(E3296="","",IFERROR(VLOOKUP(E3296,Listas!$A$2:$C$1048576,3,FALSE),""))</f>
        <v/>
      </c>
    </row>
    <row r="3297" spans="10:12" x14ac:dyDescent="0.25">
      <c r="J3297" t="str">
        <f>IF(H3297="","",IFERROR(VLOOKUP(H3297,Listas!$J$2:$K$1048576,2,FALSE),""))</f>
        <v/>
      </c>
      <c r="K3297" s="5" t="str">
        <f>IF(OR(I3297="",G3297=""),"",IF(G3297="Saída",-I3297,I3297))</f>
        <v/>
      </c>
      <c r="L3297" t="str">
        <f>IF(E3297="","",IFERROR(VLOOKUP(E3297,Listas!$A$2:$C$1048576,3,FALSE),""))</f>
        <v/>
      </c>
    </row>
    <row r="3298" spans="10:12" x14ac:dyDescent="0.25">
      <c r="J3298" t="str">
        <f>IF(H3298="","",IFERROR(VLOOKUP(H3298,Listas!$J$2:$K$1048576,2,FALSE),""))</f>
        <v/>
      </c>
      <c r="K3298" s="5" t="str">
        <f>IF(OR(I3298="",G3298=""),"",IF(G3298="Saída",-I3298,I3298))</f>
        <v/>
      </c>
      <c r="L3298" t="str">
        <f>IF(E3298="","",IFERROR(VLOOKUP(E3298,Listas!$A$2:$C$1048576,3,FALSE),""))</f>
        <v/>
      </c>
    </row>
    <row r="3299" spans="10:12" x14ac:dyDescent="0.25">
      <c r="J3299" t="str">
        <f>IF(H3299="","",IFERROR(VLOOKUP(H3299,Listas!$J$2:$K$1048576,2,FALSE),""))</f>
        <v/>
      </c>
      <c r="K3299" s="5" t="str">
        <f>IF(OR(I3299="",G3299=""),"",IF(G3299="Saída",-I3299,I3299))</f>
        <v/>
      </c>
      <c r="L3299" t="str">
        <f>IF(E3299="","",IFERROR(VLOOKUP(E3299,Listas!$A$2:$C$1048576,3,FALSE),""))</f>
        <v/>
      </c>
    </row>
    <row r="3300" spans="10:12" x14ac:dyDescent="0.25">
      <c r="J3300" t="str">
        <f>IF(H3300="","",IFERROR(VLOOKUP(H3300,Listas!$J$2:$K$1048576,2,FALSE),""))</f>
        <v/>
      </c>
      <c r="K3300" s="5" t="str">
        <f>IF(OR(I3300="",G3300=""),"",IF(G3300="Saída",-I3300,I3300))</f>
        <v/>
      </c>
      <c r="L3300" t="str">
        <f>IF(E3300="","",IFERROR(VLOOKUP(E3300,Listas!$A$2:$C$1048576,3,FALSE),""))</f>
        <v/>
      </c>
    </row>
    <row r="3301" spans="10:12" x14ac:dyDescent="0.25">
      <c r="J3301" t="str">
        <f>IF(H3301="","",IFERROR(VLOOKUP(H3301,Listas!$J$2:$K$1048576,2,FALSE),""))</f>
        <v/>
      </c>
      <c r="K3301" s="5" t="str">
        <f>IF(OR(I3301="",G3301=""),"",IF(G3301="Saída",-I3301,I3301))</f>
        <v/>
      </c>
      <c r="L3301" t="str">
        <f>IF(E3301="","",IFERROR(VLOOKUP(E3301,Listas!$A$2:$C$1048576,3,FALSE),""))</f>
        <v/>
      </c>
    </row>
    <row r="3302" spans="10:12" x14ac:dyDescent="0.25">
      <c r="J3302" t="str">
        <f>IF(H3302="","",IFERROR(VLOOKUP(H3302,Listas!$J$2:$K$1048576,2,FALSE),""))</f>
        <v/>
      </c>
      <c r="K3302" s="5" t="str">
        <f>IF(OR(I3302="",G3302=""),"",IF(G3302="Saída",-I3302,I3302))</f>
        <v/>
      </c>
      <c r="L3302" t="str">
        <f>IF(E3302="","",IFERROR(VLOOKUP(E3302,Listas!$A$2:$C$1048576,3,FALSE),""))</f>
        <v/>
      </c>
    </row>
    <row r="3303" spans="10:12" x14ac:dyDescent="0.25">
      <c r="J3303" t="str">
        <f>IF(H3303="","",IFERROR(VLOOKUP(H3303,Listas!$J$2:$K$1048576,2,FALSE),""))</f>
        <v/>
      </c>
      <c r="K3303" s="5" t="str">
        <f>IF(OR(I3303="",G3303=""),"",IF(G3303="Saída",-I3303,I3303))</f>
        <v/>
      </c>
      <c r="L3303" t="str">
        <f>IF(E3303="","",IFERROR(VLOOKUP(E3303,Listas!$A$2:$C$1048576,3,FALSE),""))</f>
        <v/>
      </c>
    </row>
    <row r="3304" spans="10:12" x14ac:dyDescent="0.25">
      <c r="J3304" t="str">
        <f>IF(H3304="","",IFERROR(VLOOKUP(H3304,Listas!$J$2:$K$1048576,2,FALSE),""))</f>
        <v/>
      </c>
      <c r="K3304" s="5" t="str">
        <f>IF(OR(I3304="",G3304=""),"",IF(G3304="Saída",-I3304,I3304))</f>
        <v/>
      </c>
      <c r="L3304" t="str">
        <f>IF(E3304="","",IFERROR(VLOOKUP(E3304,Listas!$A$2:$C$1048576,3,FALSE),""))</f>
        <v/>
      </c>
    </row>
    <row r="3305" spans="10:12" x14ac:dyDescent="0.25">
      <c r="J3305" t="str">
        <f>IF(H3305="","",IFERROR(VLOOKUP(H3305,Listas!$J$2:$K$1048576,2,FALSE),""))</f>
        <v/>
      </c>
      <c r="K3305" s="5" t="str">
        <f>IF(OR(I3305="",G3305=""),"",IF(G3305="Saída",-I3305,I3305))</f>
        <v/>
      </c>
      <c r="L3305" t="str">
        <f>IF(E3305="","",IFERROR(VLOOKUP(E3305,Listas!$A$2:$C$1048576,3,FALSE),""))</f>
        <v/>
      </c>
    </row>
    <row r="3306" spans="10:12" x14ac:dyDescent="0.25">
      <c r="J3306" t="str">
        <f>IF(H3306="","",IFERROR(VLOOKUP(H3306,Listas!$J$2:$K$1048576,2,FALSE),""))</f>
        <v/>
      </c>
      <c r="K3306" s="5" t="str">
        <f>IF(OR(I3306="",G3306=""),"",IF(G3306="Saída",-I3306,I3306))</f>
        <v/>
      </c>
      <c r="L3306" t="str">
        <f>IF(E3306="","",IFERROR(VLOOKUP(E3306,Listas!$A$2:$C$1048576,3,FALSE),""))</f>
        <v/>
      </c>
    </row>
    <row r="3307" spans="10:12" x14ac:dyDescent="0.25">
      <c r="J3307" t="str">
        <f>IF(H3307="","",IFERROR(VLOOKUP(H3307,Listas!$J$2:$K$1048576,2,FALSE),""))</f>
        <v/>
      </c>
      <c r="K3307" s="5" t="str">
        <f>IF(OR(I3307="",G3307=""),"",IF(G3307="Saída",-I3307,I3307))</f>
        <v/>
      </c>
      <c r="L3307" t="str">
        <f>IF(E3307="","",IFERROR(VLOOKUP(E3307,Listas!$A$2:$C$1048576,3,FALSE),""))</f>
        <v/>
      </c>
    </row>
    <row r="3308" spans="10:12" x14ac:dyDescent="0.25">
      <c r="J3308" t="str">
        <f>IF(H3308="","",IFERROR(VLOOKUP(H3308,Listas!$J$2:$K$1048576,2,FALSE),""))</f>
        <v/>
      </c>
      <c r="K3308" s="5" t="str">
        <f>IF(OR(I3308="",G3308=""),"",IF(G3308="Saída",-I3308,I3308))</f>
        <v/>
      </c>
      <c r="L3308" t="str">
        <f>IF(E3308="","",IFERROR(VLOOKUP(E3308,Listas!$A$2:$C$1048576,3,FALSE),""))</f>
        <v/>
      </c>
    </row>
    <row r="3309" spans="10:12" x14ac:dyDescent="0.25">
      <c r="J3309" t="str">
        <f>IF(H3309="","",IFERROR(VLOOKUP(H3309,Listas!$J$2:$K$1048576,2,FALSE),""))</f>
        <v/>
      </c>
      <c r="K3309" s="5" t="str">
        <f>IF(OR(I3309="",G3309=""),"",IF(G3309="Saída",-I3309,I3309))</f>
        <v/>
      </c>
      <c r="L3309" t="str">
        <f>IF(E3309="","",IFERROR(VLOOKUP(E3309,Listas!$A$2:$C$1048576,3,FALSE),""))</f>
        <v/>
      </c>
    </row>
    <row r="3310" spans="10:12" x14ac:dyDescent="0.25">
      <c r="J3310" t="str">
        <f>IF(H3310="","",IFERROR(VLOOKUP(H3310,Listas!$J$2:$K$1048576,2,FALSE),""))</f>
        <v/>
      </c>
      <c r="K3310" s="5" t="str">
        <f>IF(OR(I3310="",G3310=""),"",IF(G3310="Saída",-I3310,I3310))</f>
        <v/>
      </c>
      <c r="L3310" t="str">
        <f>IF(E3310="","",IFERROR(VLOOKUP(E3310,Listas!$A$2:$C$1048576,3,FALSE),""))</f>
        <v/>
      </c>
    </row>
    <row r="3311" spans="10:12" x14ac:dyDescent="0.25">
      <c r="J3311" t="str">
        <f>IF(H3311="","",IFERROR(VLOOKUP(H3311,Listas!$J$2:$K$1048576,2,FALSE),""))</f>
        <v/>
      </c>
      <c r="K3311" s="5" t="str">
        <f>IF(OR(I3311="",G3311=""),"",IF(G3311="Saída",-I3311,I3311))</f>
        <v/>
      </c>
      <c r="L3311" t="str">
        <f>IF(E3311="","",IFERROR(VLOOKUP(E3311,Listas!$A$2:$C$1048576,3,FALSE),""))</f>
        <v/>
      </c>
    </row>
    <row r="3312" spans="10:12" x14ac:dyDescent="0.25">
      <c r="J3312" t="str">
        <f>IF(H3312="","",IFERROR(VLOOKUP(H3312,Listas!$J$2:$K$1048576,2,FALSE),""))</f>
        <v/>
      </c>
      <c r="K3312" s="5" t="str">
        <f>IF(OR(I3312="",G3312=""),"",IF(G3312="Saída",-I3312,I3312))</f>
        <v/>
      </c>
      <c r="L3312" t="str">
        <f>IF(E3312="","",IFERROR(VLOOKUP(E3312,Listas!$A$2:$C$1048576,3,FALSE),""))</f>
        <v/>
      </c>
    </row>
    <row r="3313" spans="10:12" x14ac:dyDescent="0.25">
      <c r="J3313" t="str">
        <f>IF(H3313="","",IFERROR(VLOOKUP(H3313,Listas!$J$2:$K$1048576,2,FALSE),""))</f>
        <v/>
      </c>
      <c r="K3313" s="5" t="str">
        <f>IF(OR(I3313="",G3313=""),"",IF(G3313="Saída",-I3313,I3313))</f>
        <v/>
      </c>
      <c r="L3313" t="str">
        <f>IF(E3313="","",IFERROR(VLOOKUP(E3313,Listas!$A$2:$C$1048576,3,FALSE),""))</f>
        <v/>
      </c>
    </row>
    <row r="3314" spans="10:12" x14ac:dyDescent="0.25">
      <c r="J3314" t="str">
        <f>IF(H3314="","",IFERROR(VLOOKUP(H3314,Listas!$J$2:$K$1048576,2,FALSE),""))</f>
        <v/>
      </c>
      <c r="K3314" s="5" t="str">
        <f>IF(OR(I3314="",G3314=""),"",IF(G3314="Saída",-I3314,I3314))</f>
        <v/>
      </c>
      <c r="L3314" t="str">
        <f>IF(E3314="","",IFERROR(VLOOKUP(E3314,Listas!$A$2:$C$1048576,3,FALSE),""))</f>
        <v/>
      </c>
    </row>
    <row r="3315" spans="10:12" x14ac:dyDescent="0.25">
      <c r="J3315" t="str">
        <f>IF(H3315="","",IFERROR(VLOOKUP(H3315,Listas!$J$2:$K$1048576,2,FALSE),""))</f>
        <v/>
      </c>
      <c r="K3315" s="5" t="str">
        <f>IF(OR(I3315="",G3315=""),"",IF(G3315="Saída",-I3315,I3315))</f>
        <v/>
      </c>
      <c r="L3315" t="str">
        <f>IF(E3315="","",IFERROR(VLOOKUP(E3315,Listas!$A$2:$C$1048576,3,FALSE),""))</f>
        <v/>
      </c>
    </row>
    <row r="3316" spans="10:12" x14ac:dyDescent="0.25">
      <c r="J3316" t="str">
        <f>IF(H3316="","",IFERROR(VLOOKUP(H3316,Listas!$J$2:$K$1048576,2,FALSE),""))</f>
        <v/>
      </c>
      <c r="K3316" s="5" t="str">
        <f>IF(OR(I3316="",G3316=""),"",IF(G3316="Saída",-I3316,I3316))</f>
        <v/>
      </c>
      <c r="L3316" t="str">
        <f>IF(E3316="","",IFERROR(VLOOKUP(E3316,Listas!$A$2:$C$1048576,3,FALSE),""))</f>
        <v/>
      </c>
    </row>
    <row r="3317" spans="10:12" x14ac:dyDescent="0.25">
      <c r="J3317" t="str">
        <f>IF(H3317="","",IFERROR(VLOOKUP(H3317,Listas!$J$2:$K$1048576,2,FALSE),""))</f>
        <v/>
      </c>
      <c r="K3317" s="5" t="str">
        <f>IF(OR(I3317="",G3317=""),"",IF(G3317="Saída",-I3317,I3317))</f>
        <v/>
      </c>
      <c r="L3317" t="str">
        <f>IF(E3317="","",IFERROR(VLOOKUP(E3317,Listas!$A$2:$C$1048576,3,FALSE),""))</f>
        <v/>
      </c>
    </row>
    <row r="3318" spans="10:12" x14ac:dyDescent="0.25">
      <c r="J3318" t="str">
        <f>IF(H3318="","",IFERROR(VLOOKUP(H3318,Listas!$J$2:$K$1048576,2,FALSE),""))</f>
        <v/>
      </c>
      <c r="K3318" s="5" t="str">
        <f>IF(OR(I3318="",G3318=""),"",IF(G3318="Saída",-I3318,I3318))</f>
        <v/>
      </c>
      <c r="L3318" t="str">
        <f>IF(E3318="","",IFERROR(VLOOKUP(E3318,Listas!$A$2:$C$1048576,3,FALSE),""))</f>
        <v/>
      </c>
    </row>
    <row r="3319" spans="10:12" x14ac:dyDescent="0.25">
      <c r="J3319" t="str">
        <f>IF(H3319="","",IFERROR(VLOOKUP(H3319,Listas!$J$2:$K$1048576,2,FALSE),""))</f>
        <v/>
      </c>
      <c r="K3319" s="5" t="str">
        <f>IF(OR(I3319="",G3319=""),"",IF(G3319="Saída",-I3319,I3319))</f>
        <v/>
      </c>
      <c r="L3319" t="str">
        <f>IF(E3319="","",IFERROR(VLOOKUP(E3319,Listas!$A$2:$C$1048576,3,FALSE),""))</f>
        <v/>
      </c>
    </row>
    <row r="3320" spans="10:12" x14ac:dyDescent="0.25">
      <c r="J3320" t="str">
        <f>IF(H3320="","",IFERROR(VLOOKUP(H3320,Listas!$J$2:$K$1048576,2,FALSE),""))</f>
        <v/>
      </c>
      <c r="K3320" s="5" t="str">
        <f>IF(OR(I3320="",G3320=""),"",IF(G3320="Saída",-I3320,I3320))</f>
        <v/>
      </c>
      <c r="L3320" t="str">
        <f>IF(E3320="","",IFERROR(VLOOKUP(E3320,Listas!$A$2:$C$1048576,3,FALSE),""))</f>
        <v/>
      </c>
    </row>
    <row r="3321" spans="10:12" x14ac:dyDescent="0.25">
      <c r="J3321" t="str">
        <f>IF(H3321="","",IFERROR(VLOOKUP(H3321,Listas!$J$2:$K$1048576,2,FALSE),""))</f>
        <v/>
      </c>
      <c r="K3321" s="5" t="str">
        <f>IF(OR(I3321="",G3321=""),"",IF(G3321="Saída",-I3321,I3321))</f>
        <v/>
      </c>
      <c r="L3321" t="str">
        <f>IF(E3321="","",IFERROR(VLOOKUP(E3321,Listas!$A$2:$C$1048576,3,FALSE),""))</f>
        <v/>
      </c>
    </row>
    <row r="3322" spans="10:12" x14ac:dyDescent="0.25">
      <c r="J3322" t="str">
        <f>IF(H3322="","",IFERROR(VLOOKUP(H3322,Listas!$J$2:$K$1048576,2,FALSE),""))</f>
        <v/>
      </c>
      <c r="K3322" s="5" t="str">
        <f>IF(OR(I3322="",G3322=""),"",IF(G3322="Saída",-I3322,I3322))</f>
        <v/>
      </c>
      <c r="L3322" t="str">
        <f>IF(E3322="","",IFERROR(VLOOKUP(E3322,Listas!$A$2:$C$1048576,3,FALSE),""))</f>
        <v/>
      </c>
    </row>
    <row r="3323" spans="10:12" x14ac:dyDescent="0.25">
      <c r="J3323" t="str">
        <f>IF(H3323="","",IFERROR(VLOOKUP(H3323,Listas!$J$2:$K$1048576,2,FALSE),""))</f>
        <v/>
      </c>
      <c r="K3323" s="5" t="str">
        <f>IF(OR(I3323="",G3323=""),"",IF(G3323="Saída",-I3323,I3323))</f>
        <v/>
      </c>
      <c r="L3323" t="str">
        <f>IF(E3323="","",IFERROR(VLOOKUP(E3323,Listas!$A$2:$C$1048576,3,FALSE),""))</f>
        <v/>
      </c>
    </row>
    <row r="3324" spans="10:12" x14ac:dyDescent="0.25">
      <c r="J3324" t="str">
        <f>IF(H3324="","",IFERROR(VLOOKUP(H3324,Listas!$J$2:$K$1048576,2,FALSE),""))</f>
        <v/>
      </c>
      <c r="K3324" s="5" t="str">
        <f>IF(OR(I3324="",G3324=""),"",IF(G3324="Saída",-I3324,I3324))</f>
        <v/>
      </c>
      <c r="L3324" t="str">
        <f>IF(E3324="","",IFERROR(VLOOKUP(E3324,Listas!$A$2:$C$1048576,3,FALSE),""))</f>
        <v/>
      </c>
    </row>
    <row r="3325" spans="10:12" x14ac:dyDescent="0.25">
      <c r="J3325" t="str">
        <f>IF(H3325="","",IFERROR(VLOOKUP(H3325,Listas!$J$2:$K$1048576,2,FALSE),""))</f>
        <v/>
      </c>
      <c r="K3325" s="5" t="str">
        <f>IF(OR(I3325="",G3325=""),"",IF(G3325="Saída",-I3325,I3325))</f>
        <v/>
      </c>
      <c r="L3325" t="str">
        <f>IF(E3325="","",IFERROR(VLOOKUP(E3325,Listas!$A$2:$C$1048576,3,FALSE),""))</f>
        <v/>
      </c>
    </row>
    <row r="3326" spans="10:12" x14ac:dyDescent="0.25">
      <c r="J3326" t="str">
        <f>IF(H3326="","",IFERROR(VLOOKUP(H3326,Listas!$J$2:$K$1048576,2,FALSE),""))</f>
        <v/>
      </c>
      <c r="K3326" s="5" t="str">
        <f>IF(OR(I3326="",G3326=""),"",IF(G3326="Saída",-I3326,I3326))</f>
        <v/>
      </c>
      <c r="L3326" t="str">
        <f>IF(E3326="","",IFERROR(VLOOKUP(E3326,Listas!$A$2:$C$1048576,3,FALSE),""))</f>
        <v/>
      </c>
    </row>
    <row r="3327" spans="10:12" x14ac:dyDescent="0.25">
      <c r="J3327" t="str">
        <f>IF(H3327="","",IFERROR(VLOOKUP(H3327,Listas!$J$2:$K$1048576,2,FALSE),""))</f>
        <v/>
      </c>
      <c r="K3327" s="5" t="str">
        <f>IF(OR(I3327="",G3327=""),"",IF(G3327="Saída",-I3327,I3327))</f>
        <v/>
      </c>
      <c r="L3327" t="str">
        <f>IF(E3327="","",IFERROR(VLOOKUP(E3327,Listas!$A$2:$C$1048576,3,FALSE),""))</f>
        <v/>
      </c>
    </row>
    <row r="3328" spans="10:12" x14ac:dyDescent="0.25">
      <c r="J3328" t="str">
        <f>IF(H3328="","",IFERROR(VLOOKUP(H3328,Listas!$J$2:$K$1048576,2,FALSE),""))</f>
        <v/>
      </c>
      <c r="K3328" s="5" t="str">
        <f>IF(OR(I3328="",G3328=""),"",IF(G3328="Saída",-I3328,I3328))</f>
        <v/>
      </c>
      <c r="L3328" t="str">
        <f>IF(E3328="","",IFERROR(VLOOKUP(E3328,Listas!$A$2:$C$1048576,3,FALSE),""))</f>
        <v/>
      </c>
    </row>
    <row r="3329" spans="10:12" x14ac:dyDescent="0.25">
      <c r="J3329" t="str">
        <f>IF(H3329="","",IFERROR(VLOOKUP(H3329,Listas!$J$2:$K$1048576,2,FALSE),""))</f>
        <v/>
      </c>
      <c r="K3329" s="5" t="str">
        <f>IF(OR(I3329="",G3329=""),"",IF(G3329="Saída",-I3329,I3329))</f>
        <v/>
      </c>
      <c r="L3329" t="str">
        <f>IF(E3329="","",IFERROR(VLOOKUP(E3329,Listas!$A$2:$C$1048576,3,FALSE),""))</f>
        <v/>
      </c>
    </row>
    <row r="3330" spans="10:12" x14ac:dyDescent="0.25">
      <c r="J3330" t="str">
        <f>IF(H3330="","",IFERROR(VLOOKUP(H3330,Listas!$J$2:$K$1048576,2,FALSE),""))</f>
        <v/>
      </c>
      <c r="K3330" s="5" t="str">
        <f>IF(OR(I3330="",G3330=""),"",IF(G3330="Saída",-I3330,I3330))</f>
        <v/>
      </c>
      <c r="L3330" t="str">
        <f>IF(E3330="","",IFERROR(VLOOKUP(E3330,Listas!$A$2:$C$1048576,3,FALSE),""))</f>
        <v/>
      </c>
    </row>
    <row r="3331" spans="10:12" x14ac:dyDescent="0.25">
      <c r="J3331" t="str">
        <f>IF(H3331="","",IFERROR(VLOOKUP(H3331,Listas!$J$2:$K$1048576,2,FALSE),""))</f>
        <v/>
      </c>
      <c r="K3331" s="5" t="str">
        <f>IF(OR(I3331="",G3331=""),"",IF(G3331="Saída",-I3331,I3331))</f>
        <v/>
      </c>
      <c r="L3331" t="str">
        <f>IF(E3331="","",IFERROR(VLOOKUP(E3331,Listas!$A$2:$C$1048576,3,FALSE),""))</f>
        <v/>
      </c>
    </row>
    <row r="3332" spans="10:12" x14ac:dyDescent="0.25">
      <c r="J3332" t="str">
        <f>IF(H3332="","",IFERROR(VLOOKUP(H3332,Listas!$J$2:$K$1048576,2,FALSE),""))</f>
        <v/>
      </c>
      <c r="K3332" s="5" t="str">
        <f>IF(OR(I3332="",G3332=""),"",IF(G3332="Saída",-I3332,I3332))</f>
        <v/>
      </c>
      <c r="L3332" t="str">
        <f>IF(E3332="","",IFERROR(VLOOKUP(E3332,Listas!$A$2:$C$1048576,3,FALSE),""))</f>
        <v/>
      </c>
    </row>
    <row r="3333" spans="10:12" x14ac:dyDescent="0.25">
      <c r="J3333" t="str">
        <f>IF(H3333="","",IFERROR(VLOOKUP(H3333,Listas!$J$2:$K$1048576,2,FALSE),""))</f>
        <v/>
      </c>
      <c r="K3333" s="5" t="str">
        <f>IF(OR(I3333="",G3333=""),"",IF(G3333="Saída",-I3333,I3333))</f>
        <v/>
      </c>
      <c r="L3333" t="str">
        <f>IF(E3333="","",IFERROR(VLOOKUP(E3333,Listas!$A$2:$C$1048576,3,FALSE),""))</f>
        <v/>
      </c>
    </row>
    <row r="3334" spans="10:12" x14ac:dyDescent="0.25">
      <c r="J3334" t="str">
        <f>IF(H3334="","",IFERROR(VLOOKUP(H3334,Listas!$J$2:$K$1048576,2,FALSE),""))</f>
        <v/>
      </c>
      <c r="K3334" s="5" t="str">
        <f>IF(OR(I3334="",G3334=""),"",IF(G3334="Saída",-I3334,I3334))</f>
        <v/>
      </c>
      <c r="L3334" t="str">
        <f>IF(E3334="","",IFERROR(VLOOKUP(E3334,Listas!$A$2:$C$1048576,3,FALSE),""))</f>
        <v/>
      </c>
    </row>
    <row r="3335" spans="10:12" x14ac:dyDescent="0.25">
      <c r="J3335" t="str">
        <f>IF(H3335="","",IFERROR(VLOOKUP(H3335,Listas!$J$2:$K$1048576,2,FALSE),""))</f>
        <v/>
      </c>
      <c r="K3335" s="5" t="str">
        <f>IF(OR(I3335="",G3335=""),"",IF(G3335="Saída",-I3335,I3335))</f>
        <v/>
      </c>
      <c r="L3335" t="str">
        <f>IF(E3335="","",IFERROR(VLOOKUP(E3335,Listas!$A$2:$C$1048576,3,FALSE),""))</f>
        <v/>
      </c>
    </row>
    <row r="3336" spans="10:12" x14ac:dyDescent="0.25">
      <c r="J3336" t="str">
        <f>IF(H3336="","",IFERROR(VLOOKUP(H3336,Listas!$J$2:$K$1048576,2,FALSE),""))</f>
        <v/>
      </c>
      <c r="K3336" s="5" t="str">
        <f>IF(OR(I3336="",G3336=""),"",IF(G3336="Saída",-I3336,I3336))</f>
        <v/>
      </c>
      <c r="L3336" t="str">
        <f>IF(E3336="","",IFERROR(VLOOKUP(E3336,Listas!$A$2:$C$1048576,3,FALSE),""))</f>
        <v/>
      </c>
    </row>
    <row r="3337" spans="10:12" x14ac:dyDescent="0.25">
      <c r="J3337" t="str">
        <f>IF(H3337="","",IFERROR(VLOOKUP(H3337,Listas!$J$2:$K$1048576,2,FALSE),""))</f>
        <v/>
      </c>
      <c r="K3337" s="5" t="str">
        <f>IF(OR(I3337="",G3337=""),"",IF(G3337="Saída",-I3337,I3337))</f>
        <v/>
      </c>
      <c r="L3337" t="str">
        <f>IF(E3337="","",IFERROR(VLOOKUP(E3337,Listas!$A$2:$C$1048576,3,FALSE),""))</f>
        <v/>
      </c>
    </row>
    <row r="3338" spans="10:12" x14ac:dyDescent="0.25">
      <c r="J3338" t="str">
        <f>IF(H3338="","",IFERROR(VLOOKUP(H3338,Listas!$J$2:$K$1048576,2,FALSE),""))</f>
        <v/>
      </c>
      <c r="K3338" s="5" t="str">
        <f>IF(OR(I3338="",G3338=""),"",IF(G3338="Saída",-I3338,I3338))</f>
        <v/>
      </c>
      <c r="L3338" t="str">
        <f>IF(E3338="","",IFERROR(VLOOKUP(E3338,Listas!$A$2:$C$1048576,3,FALSE),""))</f>
        <v/>
      </c>
    </row>
    <row r="3339" spans="10:12" x14ac:dyDescent="0.25">
      <c r="J3339" t="str">
        <f>IF(H3339="","",IFERROR(VLOOKUP(H3339,Listas!$J$2:$K$1048576,2,FALSE),""))</f>
        <v/>
      </c>
      <c r="K3339" s="5" t="str">
        <f>IF(OR(I3339="",G3339=""),"",IF(G3339="Saída",-I3339,I3339))</f>
        <v/>
      </c>
      <c r="L3339" t="str">
        <f>IF(E3339="","",IFERROR(VLOOKUP(E3339,Listas!$A$2:$C$1048576,3,FALSE),""))</f>
        <v/>
      </c>
    </row>
    <row r="3340" spans="10:12" x14ac:dyDescent="0.25">
      <c r="J3340" t="str">
        <f>IF(H3340="","",IFERROR(VLOOKUP(H3340,Listas!$J$2:$K$1048576,2,FALSE),""))</f>
        <v/>
      </c>
      <c r="K3340" s="5" t="str">
        <f>IF(OR(I3340="",G3340=""),"",IF(G3340="Saída",-I3340,I3340))</f>
        <v/>
      </c>
      <c r="L3340" t="str">
        <f>IF(E3340="","",IFERROR(VLOOKUP(E3340,Listas!$A$2:$C$1048576,3,FALSE),""))</f>
        <v/>
      </c>
    </row>
    <row r="3341" spans="10:12" x14ac:dyDescent="0.25">
      <c r="J3341" t="str">
        <f>IF(H3341="","",IFERROR(VLOOKUP(H3341,Listas!$J$2:$K$1048576,2,FALSE),""))</f>
        <v/>
      </c>
      <c r="K3341" s="5" t="str">
        <f>IF(OR(I3341="",G3341=""),"",IF(G3341="Saída",-I3341,I3341))</f>
        <v/>
      </c>
      <c r="L3341" t="str">
        <f>IF(E3341="","",IFERROR(VLOOKUP(E3341,Listas!$A$2:$C$1048576,3,FALSE),""))</f>
        <v/>
      </c>
    </row>
    <row r="3342" spans="10:12" x14ac:dyDescent="0.25">
      <c r="J3342" t="str">
        <f>IF(H3342="","",IFERROR(VLOOKUP(H3342,Listas!$J$2:$K$1048576,2,FALSE),""))</f>
        <v/>
      </c>
      <c r="K3342" s="5" t="str">
        <f>IF(OR(I3342="",G3342=""),"",IF(G3342="Saída",-I3342,I3342))</f>
        <v/>
      </c>
      <c r="L3342" t="str">
        <f>IF(E3342="","",IFERROR(VLOOKUP(E3342,Listas!$A$2:$C$1048576,3,FALSE),""))</f>
        <v/>
      </c>
    </row>
    <row r="3343" spans="10:12" x14ac:dyDescent="0.25">
      <c r="J3343" t="str">
        <f>IF(H3343="","",IFERROR(VLOOKUP(H3343,Listas!$J$2:$K$1048576,2,FALSE),""))</f>
        <v/>
      </c>
      <c r="K3343" s="5" t="str">
        <f>IF(OR(I3343="",G3343=""),"",IF(G3343="Saída",-I3343,I3343))</f>
        <v/>
      </c>
      <c r="L3343" t="str">
        <f>IF(E3343="","",IFERROR(VLOOKUP(E3343,Listas!$A$2:$C$1048576,3,FALSE),""))</f>
        <v/>
      </c>
    </row>
    <row r="3344" spans="10:12" x14ac:dyDescent="0.25">
      <c r="J3344" t="str">
        <f>IF(H3344="","",IFERROR(VLOOKUP(H3344,Listas!$J$2:$K$1048576,2,FALSE),""))</f>
        <v/>
      </c>
      <c r="K3344" s="5" t="str">
        <f>IF(OR(I3344="",G3344=""),"",IF(G3344="Saída",-I3344,I3344))</f>
        <v/>
      </c>
      <c r="L3344" t="str">
        <f>IF(E3344="","",IFERROR(VLOOKUP(E3344,Listas!$A$2:$C$1048576,3,FALSE),""))</f>
        <v/>
      </c>
    </row>
    <row r="3345" spans="10:12" x14ac:dyDescent="0.25">
      <c r="J3345" t="str">
        <f>IF(H3345="","",IFERROR(VLOOKUP(H3345,Listas!$J$2:$K$1048576,2,FALSE),""))</f>
        <v/>
      </c>
      <c r="K3345" s="5" t="str">
        <f>IF(OR(I3345="",G3345=""),"",IF(G3345="Saída",-I3345,I3345))</f>
        <v/>
      </c>
      <c r="L3345" t="str">
        <f>IF(E3345="","",IFERROR(VLOOKUP(E3345,Listas!$A$2:$C$1048576,3,FALSE),""))</f>
        <v/>
      </c>
    </row>
    <row r="3346" spans="10:12" x14ac:dyDescent="0.25">
      <c r="J3346" t="str">
        <f>IF(H3346="","",IFERROR(VLOOKUP(H3346,Listas!$J$2:$K$1048576,2,FALSE),""))</f>
        <v/>
      </c>
      <c r="K3346" s="5" t="str">
        <f>IF(OR(I3346="",G3346=""),"",IF(G3346="Saída",-I3346,I3346))</f>
        <v/>
      </c>
      <c r="L3346" t="str">
        <f>IF(E3346="","",IFERROR(VLOOKUP(E3346,Listas!$A$2:$C$1048576,3,FALSE),""))</f>
        <v/>
      </c>
    </row>
    <row r="3347" spans="10:12" x14ac:dyDescent="0.25">
      <c r="J3347" t="str">
        <f>IF(H3347="","",IFERROR(VLOOKUP(H3347,Listas!$J$2:$K$1048576,2,FALSE),""))</f>
        <v/>
      </c>
      <c r="K3347" s="5" t="str">
        <f>IF(OR(I3347="",G3347=""),"",IF(G3347="Saída",-I3347,I3347))</f>
        <v/>
      </c>
      <c r="L3347" t="str">
        <f>IF(E3347="","",IFERROR(VLOOKUP(E3347,Listas!$A$2:$C$1048576,3,FALSE),""))</f>
        <v/>
      </c>
    </row>
    <row r="3348" spans="10:12" x14ac:dyDescent="0.25">
      <c r="J3348" t="str">
        <f>IF(H3348="","",IFERROR(VLOOKUP(H3348,Listas!$J$2:$K$1048576,2,FALSE),""))</f>
        <v/>
      </c>
      <c r="K3348" s="5" t="str">
        <f>IF(OR(I3348="",G3348=""),"",IF(G3348="Saída",-I3348,I3348))</f>
        <v/>
      </c>
      <c r="L3348" t="str">
        <f>IF(E3348="","",IFERROR(VLOOKUP(E3348,Listas!$A$2:$C$1048576,3,FALSE),""))</f>
        <v/>
      </c>
    </row>
    <row r="3349" spans="10:12" x14ac:dyDescent="0.25">
      <c r="J3349" t="str">
        <f>IF(H3349="","",IFERROR(VLOOKUP(H3349,Listas!$J$2:$K$1048576,2,FALSE),""))</f>
        <v/>
      </c>
      <c r="K3349" s="5" t="str">
        <f>IF(OR(I3349="",G3349=""),"",IF(G3349="Saída",-I3349,I3349))</f>
        <v/>
      </c>
      <c r="L3349" t="str">
        <f>IF(E3349="","",IFERROR(VLOOKUP(E3349,Listas!$A$2:$C$1048576,3,FALSE),""))</f>
        <v/>
      </c>
    </row>
    <row r="3350" spans="10:12" x14ac:dyDescent="0.25">
      <c r="J3350" t="str">
        <f>IF(H3350="","",IFERROR(VLOOKUP(H3350,Listas!$J$2:$K$1048576,2,FALSE),""))</f>
        <v/>
      </c>
      <c r="K3350" s="5" t="str">
        <f>IF(OR(I3350="",G3350=""),"",IF(G3350="Saída",-I3350,I3350))</f>
        <v/>
      </c>
      <c r="L3350" t="str">
        <f>IF(E3350="","",IFERROR(VLOOKUP(E3350,Listas!$A$2:$C$1048576,3,FALSE),""))</f>
        <v/>
      </c>
    </row>
    <row r="3351" spans="10:12" x14ac:dyDescent="0.25">
      <c r="J3351" t="str">
        <f>IF(H3351="","",IFERROR(VLOOKUP(H3351,Listas!$J$2:$K$1048576,2,FALSE),""))</f>
        <v/>
      </c>
      <c r="K3351" s="5" t="str">
        <f>IF(OR(I3351="",G3351=""),"",IF(G3351="Saída",-I3351,I3351))</f>
        <v/>
      </c>
      <c r="L3351" t="str">
        <f>IF(E3351="","",IFERROR(VLOOKUP(E3351,Listas!$A$2:$C$1048576,3,FALSE),""))</f>
        <v/>
      </c>
    </row>
    <row r="3352" spans="10:12" x14ac:dyDescent="0.25">
      <c r="J3352" t="str">
        <f>IF(H3352="","",IFERROR(VLOOKUP(H3352,Listas!$J$2:$K$1048576,2,FALSE),""))</f>
        <v/>
      </c>
      <c r="K3352" s="5" t="str">
        <f>IF(OR(I3352="",G3352=""),"",IF(G3352="Saída",-I3352,I3352))</f>
        <v/>
      </c>
      <c r="L3352" t="str">
        <f>IF(E3352="","",IFERROR(VLOOKUP(E3352,Listas!$A$2:$C$1048576,3,FALSE),""))</f>
        <v/>
      </c>
    </row>
    <row r="3353" spans="10:12" x14ac:dyDescent="0.25">
      <c r="J3353" t="str">
        <f>IF(H3353="","",IFERROR(VLOOKUP(H3353,Listas!$J$2:$K$1048576,2,FALSE),""))</f>
        <v/>
      </c>
      <c r="K3353" s="5" t="str">
        <f>IF(OR(I3353="",G3353=""),"",IF(G3353="Saída",-I3353,I3353))</f>
        <v/>
      </c>
      <c r="L3353" t="str">
        <f>IF(E3353="","",IFERROR(VLOOKUP(E3353,Listas!$A$2:$C$1048576,3,FALSE),""))</f>
        <v/>
      </c>
    </row>
    <row r="3354" spans="10:12" x14ac:dyDescent="0.25">
      <c r="J3354" t="str">
        <f>IF(H3354="","",IFERROR(VLOOKUP(H3354,Listas!$J$2:$K$1048576,2,FALSE),""))</f>
        <v/>
      </c>
      <c r="K3354" s="5" t="str">
        <f>IF(OR(I3354="",G3354=""),"",IF(G3354="Saída",-I3354,I3354))</f>
        <v/>
      </c>
      <c r="L3354" t="str">
        <f>IF(E3354="","",IFERROR(VLOOKUP(E3354,Listas!$A$2:$C$1048576,3,FALSE),""))</f>
        <v/>
      </c>
    </row>
    <row r="3355" spans="10:12" x14ac:dyDescent="0.25">
      <c r="J3355" t="str">
        <f>IF(H3355="","",IFERROR(VLOOKUP(H3355,Listas!$J$2:$K$1048576,2,FALSE),""))</f>
        <v/>
      </c>
      <c r="K3355" s="5" t="str">
        <f>IF(OR(I3355="",G3355=""),"",IF(G3355="Saída",-I3355,I3355))</f>
        <v/>
      </c>
      <c r="L3355" t="str">
        <f>IF(E3355="","",IFERROR(VLOOKUP(E3355,Listas!$A$2:$C$1048576,3,FALSE),""))</f>
        <v/>
      </c>
    </row>
    <row r="3356" spans="10:12" x14ac:dyDescent="0.25">
      <c r="J3356" t="str">
        <f>IF(H3356="","",IFERROR(VLOOKUP(H3356,Listas!$J$2:$K$1048576,2,FALSE),""))</f>
        <v/>
      </c>
      <c r="K3356" s="5" t="str">
        <f>IF(OR(I3356="",G3356=""),"",IF(G3356="Saída",-I3356,I3356))</f>
        <v/>
      </c>
      <c r="L3356" t="str">
        <f>IF(E3356="","",IFERROR(VLOOKUP(E3356,Listas!$A$2:$C$1048576,3,FALSE),""))</f>
        <v/>
      </c>
    </row>
    <row r="3357" spans="10:12" x14ac:dyDescent="0.25">
      <c r="J3357" t="str">
        <f>IF(H3357="","",IFERROR(VLOOKUP(H3357,Listas!$J$2:$K$1048576,2,FALSE),""))</f>
        <v/>
      </c>
      <c r="K3357" s="5" t="str">
        <f>IF(OR(I3357="",G3357=""),"",IF(G3357="Saída",-I3357,I3357))</f>
        <v/>
      </c>
      <c r="L3357" t="str">
        <f>IF(E3357="","",IFERROR(VLOOKUP(E3357,Listas!$A$2:$C$1048576,3,FALSE),""))</f>
        <v/>
      </c>
    </row>
    <row r="3358" spans="10:12" x14ac:dyDescent="0.25">
      <c r="J3358" t="str">
        <f>IF(H3358="","",IFERROR(VLOOKUP(H3358,Listas!$J$2:$K$1048576,2,FALSE),""))</f>
        <v/>
      </c>
      <c r="K3358" s="5" t="str">
        <f>IF(OR(I3358="",G3358=""),"",IF(G3358="Saída",-I3358,I3358))</f>
        <v/>
      </c>
      <c r="L3358" t="str">
        <f>IF(E3358="","",IFERROR(VLOOKUP(E3358,Listas!$A$2:$C$1048576,3,FALSE),""))</f>
        <v/>
      </c>
    </row>
    <row r="3359" spans="10:12" x14ac:dyDescent="0.25">
      <c r="J3359" t="str">
        <f>IF(H3359="","",IFERROR(VLOOKUP(H3359,Listas!$J$2:$K$1048576,2,FALSE),""))</f>
        <v/>
      </c>
      <c r="K3359" s="5" t="str">
        <f>IF(OR(I3359="",G3359=""),"",IF(G3359="Saída",-I3359,I3359))</f>
        <v/>
      </c>
      <c r="L3359" t="str">
        <f>IF(E3359="","",IFERROR(VLOOKUP(E3359,Listas!$A$2:$C$1048576,3,FALSE),""))</f>
        <v/>
      </c>
    </row>
    <row r="3360" spans="10:12" x14ac:dyDescent="0.25">
      <c r="J3360" t="str">
        <f>IF(H3360="","",IFERROR(VLOOKUP(H3360,Listas!$J$2:$K$1048576,2,FALSE),""))</f>
        <v/>
      </c>
      <c r="K3360" s="5" t="str">
        <f>IF(OR(I3360="",G3360=""),"",IF(G3360="Saída",-I3360,I3360))</f>
        <v/>
      </c>
      <c r="L3360" t="str">
        <f>IF(E3360="","",IFERROR(VLOOKUP(E3360,Listas!$A$2:$C$1048576,3,FALSE),""))</f>
        <v/>
      </c>
    </row>
    <row r="3361" spans="10:12" x14ac:dyDescent="0.25">
      <c r="J3361" t="str">
        <f>IF(H3361="","",IFERROR(VLOOKUP(H3361,Listas!$J$2:$K$1048576,2,FALSE),""))</f>
        <v/>
      </c>
      <c r="K3361" s="5" t="str">
        <f>IF(OR(I3361="",G3361=""),"",IF(G3361="Saída",-I3361,I3361))</f>
        <v/>
      </c>
      <c r="L3361" t="str">
        <f>IF(E3361="","",IFERROR(VLOOKUP(E3361,Listas!$A$2:$C$1048576,3,FALSE),""))</f>
        <v/>
      </c>
    </row>
    <row r="3362" spans="10:12" x14ac:dyDescent="0.25">
      <c r="J3362" t="str">
        <f>IF(H3362="","",IFERROR(VLOOKUP(H3362,Listas!$J$2:$K$1048576,2,FALSE),""))</f>
        <v/>
      </c>
      <c r="K3362" s="5" t="str">
        <f>IF(OR(I3362="",G3362=""),"",IF(G3362="Saída",-I3362,I3362))</f>
        <v/>
      </c>
      <c r="L3362" t="str">
        <f>IF(E3362="","",IFERROR(VLOOKUP(E3362,Listas!$A$2:$C$1048576,3,FALSE),""))</f>
        <v/>
      </c>
    </row>
    <row r="3363" spans="10:12" x14ac:dyDescent="0.25">
      <c r="J3363" t="str">
        <f>IF(H3363="","",IFERROR(VLOOKUP(H3363,Listas!$J$2:$K$1048576,2,FALSE),""))</f>
        <v/>
      </c>
      <c r="K3363" s="5" t="str">
        <f>IF(OR(I3363="",G3363=""),"",IF(G3363="Saída",-I3363,I3363))</f>
        <v/>
      </c>
      <c r="L3363" t="str">
        <f>IF(E3363="","",IFERROR(VLOOKUP(E3363,Listas!$A$2:$C$1048576,3,FALSE),""))</f>
        <v/>
      </c>
    </row>
    <row r="3364" spans="10:12" x14ac:dyDescent="0.25">
      <c r="J3364" t="str">
        <f>IF(H3364="","",IFERROR(VLOOKUP(H3364,Listas!$J$2:$K$1048576,2,FALSE),""))</f>
        <v/>
      </c>
      <c r="K3364" s="5" t="str">
        <f>IF(OR(I3364="",G3364=""),"",IF(G3364="Saída",-I3364,I3364))</f>
        <v/>
      </c>
      <c r="L3364" t="str">
        <f>IF(E3364="","",IFERROR(VLOOKUP(E3364,Listas!$A$2:$C$1048576,3,FALSE),""))</f>
        <v/>
      </c>
    </row>
    <row r="3365" spans="10:12" x14ac:dyDescent="0.25">
      <c r="J3365" t="str">
        <f>IF(H3365="","",IFERROR(VLOOKUP(H3365,Listas!$J$2:$K$1048576,2,FALSE),""))</f>
        <v/>
      </c>
      <c r="K3365" s="5" t="str">
        <f>IF(OR(I3365="",G3365=""),"",IF(G3365="Saída",-I3365,I3365))</f>
        <v/>
      </c>
      <c r="L3365" t="str">
        <f>IF(E3365="","",IFERROR(VLOOKUP(E3365,Listas!$A$2:$C$1048576,3,FALSE),""))</f>
        <v/>
      </c>
    </row>
    <row r="3366" spans="10:12" x14ac:dyDescent="0.25">
      <c r="J3366" t="str">
        <f>IF(H3366="","",IFERROR(VLOOKUP(H3366,Listas!$J$2:$K$1048576,2,FALSE),""))</f>
        <v/>
      </c>
      <c r="K3366" s="5" t="str">
        <f>IF(OR(I3366="",G3366=""),"",IF(G3366="Saída",-I3366,I3366))</f>
        <v/>
      </c>
      <c r="L3366" t="str">
        <f>IF(E3366="","",IFERROR(VLOOKUP(E3366,Listas!$A$2:$C$1048576,3,FALSE),""))</f>
        <v/>
      </c>
    </row>
    <row r="3367" spans="10:12" x14ac:dyDescent="0.25">
      <c r="J3367" t="str">
        <f>IF(H3367="","",IFERROR(VLOOKUP(H3367,Listas!$J$2:$K$1048576,2,FALSE),""))</f>
        <v/>
      </c>
      <c r="K3367" s="5" t="str">
        <f>IF(OR(I3367="",G3367=""),"",IF(G3367="Saída",-I3367,I3367))</f>
        <v/>
      </c>
      <c r="L3367" t="str">
        <f>IF(E3367="","",IFERROR(VLOOKUP(E3367,Listas!$A$2:$C$1048576,3,FALSE),""))</f>
        <v/>
      </c>
    </row>
    <row r="3368" spans="10:12" x14ac:dyDescent="0.25">
      <c r="J3368" t="str">
        <f>IF(H3368="","",IFERROR(VLOOKUP(H3368,Listas!$J$2:$K$1048576,2,FALSE),""))</f>
        <v/>
      </c>
      <c r="K3368" s="5" t="str">
        <f>IF(OR(I3368="",G3368=""),"",IF(G3368="Saída",-I3368,I3368))</f>
        <v/>
      </c>
      <c r="L3368" t="str">
        <f>IF(E3368="","",IFERROR(VLOOKUP(E3368,Listas!$A$2:$C$1048576,3,FALSE),""))</f>
        <v/>
      </c>
    </row>
    <row r="3369" spans="10:12" x14ac:dyDescent="0.25">
      <c r="J3369" t="str">
        <f>IF(H3369="","",IFERROR(VLOOKUP(H3369,Listas!$J$2:$K$1048576,2,FALSE),""))</f>
        <v/>
      </c>
      <c r="K3369" s="5" t="str">
        <f>IF(OR(I3369="",G3369=""),"",IF(G3369="Saída",-I3369,I3369))</f>
        <v/>
      </c>
      <c r="L3369" t="str">
        <f>IF(E3369="","",IFERROR(VLOOKUP(E3369,Listas!$A$2:$C$1048576,3,FALSE),""))</f>
        <v/>
      </c>
    </row>
    <row r="3370" spans="10:12" x14ac:dyDescent="0.25">
      <c r="J3370" t="str">
        <f>IF(H3370="","",IFERROR(VLOOKUP(H3370,Listas!$J$2:$K$1048576,2,FALSE),""))</f>
        <v/>
      </c>
      <c r="K3370" s="5" t="str">
        <f>IF(OR(I3370="",G3370=""),"",IF(G3370="Saída",-I3370,I3370))</f>
        <v/>
      </c>
      <c r="L3370" t="str">
        <f>IF(E3370="","",IFERROR(VLOOKUP(E3370,Listas!$A$2:$C$1048576,3,FALSE),""))</f>
        <v/>
      </c>
    </row>
    <row r="3371" spans="10:12" x14ac:dyDescent="0.25">
      <c r="J3371" t="str">
        <f>IF(H3371="","",IFERROR(VLOOKUP(H3371,Listas!$J$2:$K$1048576,2,FALSE),""))</f>
        <v/>
      </c>
      <c r="K3371" s="5" t="str">
        <f>IF(OR(I3371="",G3371=""),"",IF(G3371="Saída",-I3371,I3371))</f>
        <v/>
      </c>
      <c r="L3371" t="str">
        <f>IF(E3371="","",IFERROR(VLOOKUP(E3371,Listas!$A$2:$C$1048576,3,FALSE),""))</f>
        <v/>
      </c>
    </row>
    <row r="3372" spans="10:12" x14ac:dyDescent="0.25">
      <c r="J3372" t="str">
        <f>IF(H3372="","",IFERROR(VLOOKUP(H3372,Listas!$J$2:$K$1048576,2,FALSE),""))</f>
        <v/>
      </c>
      <c r="K3372" s="5" t="str">
        <f>IF(OR(I3372="",G3372=""),"",IF(G3372="Saída",-I3372,I3372))</f>
        <v/>
      </c>
      <c r="L3372" t="str">
        <f>IF(E3372="","",IFERROR(VLOOKUP(E3372,Listas!$A$2:$C$1048576,3,FALSE),""))</f>
        <v/>
      </c>
    </row>
    <row r="3373" spans="10:12" x14ac:dyDescent="0.25">
      <c r="J3373" t="str">
        <f>IF(H3373="","",IFERROR(VLOOKUP(H3373,Listas!$J$2:$K$1048576,2,FALSE),""))</f>
        <v/>
      </c>
      <c r="K3373" s="5" t="str">
        <f>IF(OR(I3373="",G3373=""),"",IF(G3373="Saída",-I3373,I3373))</f>
        <v/>
      </c>
      <c r="L3373" t="str">
        <f>IF(E3373="","",IFERROR(VLOOKUP(E3373,Listas!$A$2:$C$1048576,3,FALSE),""))</f>
        <v/>
      </c>
    </row>
    <row r="3374" spans="10:12" x14ac:dyDescent="0.25">
      <c r="J3374" t="str">
        <f>IF(H3374="","",IFERROR(VLOOKUP(H3374,Listas!$J$2:$K$1048576,2,FALSE),""))</f>
        <v/>
      </c>
      <c r="K3374" s="5" t="str">
        <f>IF(OR(I3374="",G3374=""),"",IF(G3374="Saída",-I3374,I3374))</f>
        <v/>
      </c>
      <c r="L3374" t="str">
        <f>IF(E3374="","",IFERROR(VLOOKUP(E3374,Listas!$A$2:$C$1048576,3,FALSE),""))</f>
        <v/>
      </c>
    </row>
    <row r="3375" spans="10:12" x14ac:dyDescent="0.25">
      <c r="J3375" t="str">
        <f>IF(H3375="","",IFERROR(VLOOKUP(H3375,Listas!$J$2:$K$1048576,2,FALSE),""))</f>
        <v/>
      </c>
      <c r="K3375" s="5" t="str">
        <f>IF(OR(I3375="",G3375=""),"",IF(G3375="Saída",-I3375,I3375))</f>
        <v/>
      </c>
      <c r="L3375" t="str">
        <f>IF(E3375="","",IFERROR(VLOOKUP(E3375,Listas!$A$2:$C$1048576,3,FALSE),""))</f>
        <v/>
      </c>
    </row>
    <row r="3376" spans="10:12" x14ac:dyDescent="0.25">
      <c r="J3376" t="str">
        <f>IF(H3376="","",IFERROR(VLOOKUP(H3376,Listas!$J$2:$K$1048576,2,FALSE),""))</f>
        <v/>
      </c>
      <c r="K3376" s="5" t="str">
        <f>IF(OR(I3376="",G3376=""),"",IF(G3376="Saída",-I3376,I3376))</f>
        <v/>
      </c>
      <c r="L3376" t="str">
        <f>IF(E3376="","",IFERROR(VLOOKUP(E3376,Listas!$A$2:$C$1048576,3,FALSE),""))</f>
        <v/>
      </c>
    </row>
    <row r="3377" spans="10:12" x14ac:dyDescent="0.25">
      <c r="J3377" t="str">
        <f>IF(H3377="","",IFERROR(VLOOKUP(H3377,Listas!$J$2:$K$1048576,2,FALSE),""))</f>
        <v/>
      </c>
      <c r="K3377" s="5" t="str">
        <f>IF(OR(I3377="",G3377=""),"",IF(G3377="Saída",-I3377,I3377))</f>
        <v/>
      </c>
      <c r="L3377" t="str">
        <f>IF(E3377="","",IFERROR(VLOOKUP(E3377,Listas!$A$2:$C$1048576,3,FALSE),""))</f>
        <v/>
      </c>
    </row>
    <row r="3378" spans="10:12" x14ac:dyDescent="0.25">
      <c r="J3378" t="str">
        <f>IF(H3378="","",IFERROR(VLOOKUP(H3378,Listas!$J$2:$K$1048576,2,FALSE),""))</f>
        <v/>
      </c>
      <c r="K3378" s="5" t="str">
        <f>IF(OR(I3378="",G3378=""),"",IF(G3378="Saída",-I3378,I3378))</f>
        <v/>
      </c>
      <c r="L3378" t="str">
        <f>IF(E3378="","",IFERROR(VLOOKUP(E3378,Listas!$A$2:$C$1048576,3,FALSE),""))</f>
        <v/>
      </c>
    </row>
    <row r="3379" spans="10:12" x14ac:dyDescent="0.25">
      <c r="J3379" t="str">
        <f>IF(H3379="","",IFERROR(VLOOKUP(H3379,Listas!$J$2:$K$1048576,2,FALSE),""))</f>
        <v/>
      </c>
      <c r="K3379" s="5" t="str">
        <f>IF(OR(I3379="",G3379=""),"",IF(G3379="Saída",-I3379,I3379))</f>
        <v/>
      </c>
      <c r="L3379" t="str">
        <f>IF(E3379="","",IFERROR(VLOOKUP(E3379,Listas!$A$2:$C$1048576,3,FALSE),""))</f>
        <v/>
      </c>
    </row>
    <row r="3380" spans="10:12" x14ac:dyDescent="0.25">
      <c r="J3380" t="str">
        <f>IF(H3380="","",IFERROR(VLOOKUP(H3380,Listas!$J$2:$K$1048576,2,FALSE),""))</f>
        <v/>
      </c>
      <c r="K3380" s="5" t="str">
        <f>IF(OR(I3380="",G3380=""),"",IF(G3380="Saída",-I3380,I3380))</f>
        <v/>
      </c>
      <c r="L3380" t="str">
        <f>IF(E3380="","",IFERROR(VLOOKUP(E3380,Listas!$A$2:$C$1048576,3,FALSE),""))</f>
        <v/>
      </c>
    </row>
    <row r="3381" spans="10:12" x14ac:dyDescent="0.25">
      <c r="J3381" t="str">
        <f>IF(H3381="","",IFERROR(VLOOKUP(H3381,Listas!$J$2:$K$1048576,2,FALSE),""))</f>
        <v/>
      </c>
      <c r="K3381" s="5" t="str">
        <f>IF(OR(I3381="",G3381=""),"",IF(G3381="Saída",-I3381,I3381))</f>
        <v/>
      </c>
      <c r="L3381" t="str">
        <f>IF(E3381="","",IFERROR(VLOOKUP(E3381,Listas!$A$2:$C$1048576,3,FALSE),""))</f>
        <v/>
      </c>
    </row>
    <row r="3382" spans="10:12" x14ac:dyDescent="0.25">
      <c r="J3382" t="str">
        <f>IF(H3382="","",IFERROR(VLOOKUP(H3382,Listas!$J$2:$K$1048576,2,FALSE),""))</f>
        <v/>
      </c>
      <c r="K3382" s="5" t="str">
        <f>IF(OR(I3382="",G3382=""),"",IF(G3382="Saída",-I3382,I3382))</f>
        <v/>
      </c>
      <c r="L3382" t="str">
        <f>IF(E3382="","",IFERROR(VLOOKUP(E3382,Listas!$A$2:$C$1048576,3,FALSE),""))</f>
        <v/>
      </c>
    </row>
    <row r="3383" spans="10:12" x14ac:dyDescent="0.25">
      <c r="J3383" t="str">
        <f>IF(H3383="","",IFERROR(VLOOKUP(H3383,Listas!$J$2:$K$1048576,2,FALSE),""))</f>
        <v/>
      </c>
      <c r="K3383" s="5" t="str">
        <f>IF(OR(I3383="",G3383=""),"",IF(G3383="Saída",-I3383,I3383))</f>
        <v/>
      </c>
      <c r="L3383" t="str">
        <f>IF(E3383="","",IFERROR(VLOOKUP(E3383,Listas!$A$2:$C$1048576,3,FALSE),""))</f>
        <v/>
      </c>
    </row>
    <row r="3384" spans="10:12" x14ac:dyDescent="0.25">
      <c r="J3384" t="str">
        <f>IF(H3384="","",IFERROR(VLOOKUP(H3384,Listas!$J$2:$K$1048576,2,FALSE),""))</f>
        <v/>
      </c>
      <c r="K3384" s="5" t="str">
        <f>IF(OR(I3384="",G3384=""),"",IF(G3384="Saída",-I3384,I3384))</f>
        <v/>
      </c>
      <c r="L3384" t="str">
        <f>IF(E3384="","",IFERROR(VLOOKUP(E3384,Listas!$A$2:$C$1048576,3,FALSE),""))</f>
        <v/>
      </c>
    </row>
    <row r="3385" spans="10:12" x14ac:dyDescent="0.25">
      <c r="J3385" t="str">
        <f>IF(H3385="","",IFERROR(VLOOKUP(H3385,Listas!$J$2:$K$1048576,2,FALSE),""))</f>
        <v/>
      </c>
      <c r="K3385" s="5" t="str">
        <f>IF(OR(I3385="",G3385=""),"",IF(G3385="Saída",-I3385,I3385))</f>
        <v/>
      </c>
      <c r="L3385" t="str">
        <f>IF(E3385="","",IFERROR(VLOOKUP(E3385,Listas!$A$2:$C$1048576,3,FALSE),""))</f>
        <v/>
      </c>
    </row>
    <row r="3386" spans="10:12" x14ac:dyDescent="0.25">
      <c r="J3386" t="str">
        <f>IF(H3386="","",IFERROR(VLOOKUP(H3386,Listas!$J$2:$K$1048576,2,FALSE),""))</f>
        <v/>
      </c>
      <c r="K3386" s="5" t="str">
        <f>IF(OR(I3386="",G3386=""),"",IF(G3386="Saída",-I3386,I3386))</f>
        <v/>
      </c>
      <c r="L3386" t="str">
        <f>IF(E3386="","",IFERROR(VLOOKUP(E3386,Listas!$A$2:$C$1048576,3,FALSE),""))</f>
        <v/>
      </c>
    </row>
    <row r="3387" spans="10:12" x14ac:dyDescent="0.25">
      <c r="J3387" t="str">
        <f>IF(H3387="","",IFERROR(VLOOKUP(H3387,Listas!$J$2:$K$1048576,2,FALSE),""))</f>
        <v/>
      </c>
      <c r="K3387" s="5" t="str">
        <f>IF(OR(I3387="",G3387=""),"",IF(G3387="Saída",-I3387,I3387))</f>
        <v/>
      </c>
      <c r="L3387" t="str">
        <f>IF(E3387="","",IFERROR(VLOOKUP(E3387,Listas!$A$2:$C$1048576,3,FALSE),""))</f>
        <v/>
      </c>
    </row>
    <row r="3388" spans="10:12" x14ac:dyDescent="0.25">
      <c r="J3388" t="str">
        <f>IF(H3388="","",IFERROR(VLOOKUP(H3388,Listas!$J$2:$K$1048576,2,FALSE),""))</f>
        <v/>
      </c>
      <c r="K3388" s="5" t="str">
        <f>IF(OR(I3388="",G3388=""),"",IF(G3388="Saída",-I3388,I3388))</f>
        <v/>
      </c>
      <c r="L3388" t="str">
        <f>IF(E3388="","",IFERROR(VLOOKUP(E3388,Listas!$A$2:$C$1048576,3,FALSE),""))</f>
        <v/>
      </c>
    </row>
    <row r="3389" spans="10:12" x14ac:dyDescent="0.25">
      <c r="J3389" t="str">
        <f>IF(H3389="","",IFERROR(VLOOKUP(H3389,Listas!$J$2:$K$1048576,2,FALSE),""))</f>
        <v/>
      </c>
      <c r="K3389" s="5" t="str">
        <f>IF(OR(I3389="",G3389=""),"",IF(G3389="Saída",-I3389,I3389))</f>
        <v/>
      </c>
      <c r="L3389" t="str">
        <f>IF(E3389="","",IFERROR(VLOOKUP(E3389,Listas!$A$2:$C$1048576,3,FALSE),""))</f>
        <v/>
      </c>
    </row>
    <row r="3390" spans="10:12" x14ac:dyDescent="0.25">
      <c r="J3390" t="str">
        <f>IF(H3390="","",IFERROR(VLOOKUP(H3390,Listas!$J$2:$K$1048576,2,FALSE),""))</f>
        <v/>
      </c>
      <c r="K3390" s="5" t="str">
        <f>IF(OR(I3390="",G3390=""),"",IF(G3390="Saída",-I3390,I3390))</f>
        <v/>
      </c>
      <c r="L3390" t="str">
        <f>IF(E3390="","",IFERROR(VLOOKUP(E3390,Listas!$A$2:$C$1048576,3,FALSE),""))</f>
        <v/>
      </c>
    </row>
    <row r="3391" spans="10:12" x14ac:dyDescent="0.25">
      <c r="J3391" t="str">
        <f>IF(H3391="","",IFERROR(VLOOKUP(H3391,Listas!$J$2:$K$1048576,2,FALSE),""))</f>
        <v/>
      </c>
      <c r="K3391" s="5" t="str">
        <f>IF(OR(I3391="",G3391=""),"",IF(G3391="Saída",-I3391,I3391))</f>
        <v/>
      </c>
      <c r="L3391" t="str">
        <f>IF(E3391="","",IFERROR(VLOOKUP(E3391,Listas!$A$2:$C$1048576,3,FALSE),""))</f>
        <v/>
      </c>
    </row>
    <row r="3392" spans="10:12" x14ac:dyDescent="0.25">
      <c r="J3392" t="str">
        <f>IF(H3392="","",IFERROR(VLOOKUP(H3392,Listas!$J$2:$K$1048576,2,FALSE),""))</f>
        <v/>
      </c>
      <c r="K3392" s="5" t="str">
        <f>IF(OR(I3392="",G3392=""),"",IF(G3392="Saída",-I3392,I3392))</f>
        <v/>
      </c>
      <c r="L3392" t="str">
        <f>IF(E3392="","",IFERROR(VLOOKUP(E3392,Listas!$A$2:$C$1048576,3,FALSE),""))</f>
        <v/>
      </c>
    </row>
    <row r="3393" spans="10:12" x14ac:dyDescent="0.25">
      <c r="J3393" t="str">
        <f>IF(H3393="","",IFERROR(VLOOKUP(H3393,Listas!$J$2:$K$1048576,2,FALSE),""))</f>
        <v/>
      </c>
      <c r="K3393" s="5" t="str">
        <f>IF(OR(I3393="",G3393=""),"",IF(G3393="Saída",-I3393,I3393))</f>
        <v/>
      </c>
      <c r="L3393" t="str">
        <f>IF(E3393="","",IFERROR(VLOOKUP(E3393,Listas!$A$2:$C$1048576,3,FALSE),""))</f>
        <v/>
      </c>
    </row>
    <row r="3394" spans="10:12" x14ac:dyDescent="0.25">
      <c r="J3394" t="str">
        <f>IF(H3394="","",IFERROR(VLOOKUP(H3394,Listas!$J$2:$K$1048576,2,FALSE),""))</f>
        <v/>
      </c>
      <c r="K3394" s="5" t="str">
        <f>IF(OR(I3394="",G3394=""),"",IF(G3394="Saída",-I3394,I3394))</f>
        <v/>
      </c>
      <c r="L3394" t="str">
        <f>IF(E3394="","",IFERROR(VLOOKUP(E3394,Listas!$A$2:$C$1048576,3,FALSE),""))</f>
        <v/>
      </c>
    </row>
    <row r="3395" spans="10:12" x14ac:dyDescent="0.25">
      <c r="J3395" t="str">
        <f>IF(H3395="","",IFERROR(VLOOKUP(H3395,Listas!$J$2:$K$1048576,2,FALSE),""))</f>
        <v/>
      </c>
      <c r="K3395" s="5" t="str">
        <f>IF(OR(I3395="",G3395=""),"",IF(G3395="Saída",-I3395,I3395))</f>
        <v/>
      </c>
      <c r="L3395" t="str">
        <f>IF(E3395="","",IFERROR(VLOOKUP(E3395,Listas!$A$2:$C$1048576,3,FALSE),""))</f>
        <v/>
      </c>
    </row>
    <row r="3396" spans="10:12" x14ac:dyDescent="0.25">
      <c r="J3396" t="str">
        <f>IF(H3396="","",IFERROR(VLOOKUP(H3396,Listas!$J$2:$K$1048576,2,FALSE),""))</f>
        <v/>
      </c>
      <c r="K3396" s="5" t="str">
        <f>IF(OR(I3396="",G3396=""),"",IF(G3396="Saída",-I3396,I3396))</f>
        <v/>
      </c>
      <c r="L3396" t="str">
        <f>IF(E3396="","",IFERROR(VLOOKUP(E3396,Listas!$A$2:$C$1048576,3,FALSE),""))</f>
        <v/>
      </c>
    </row>
    <row r="3397" spans="10:12" x14ac:dyDescent="0.25">
      <c r="J3397" t="str">
        <f>IF(H3397="","",IFERROR(VLOOKUP(H3397,Listas!$J$2:$K$1048576,2,FALSE),""))</f>
        <v/>
      </c>
      <c r="K3397" s="5" t="str">
        <f>IF(OR(I3397="",G3397=""),"",IF(G3397="Saída",-I3397,I3397))</f>
        <v/>
      </c>
      <c r="L3397" t="str">
        <f>IF(E3397="","",IFERROR(VLOOKUP(E3397,Listas!$A$2:$C$1048576,3,FALSE),""))</f>
        <v/>
      </c>
    </row>
    <row r="3398" spans="10:12" x14ac:dyDescent="0.25">
      <c r="J3398" t="str">
        <f>IF(H3398="","",IFERROR(VLOOKUP(H3398,Listas!$J$2:$K$1048576,2,FALSE),""))</f>
        <v/>
      </c>
      <c r="K3398" s="5" t="str">
        <f>IF(OR(I3398="",G3398=""),"",IF(G3398="Saída",-I3398,I3398))</f>
        <v/>
      </c>
      <c r="L3398" t="str">
        <f>IF(E3398="","",IFERROR(VLOOKUP(E3398,Listas!$A$2:$C$1048576,3,FALSE),""))</f>
        <v/>
      </c>
    </row>
    <row r="3399" spans="10:12" x14ac:dyDescent="0.25">
      <c r="J3399" t="str">
        <f>IF(H3399="","",IFERROR(VLOOKUP(H3399,Listas!$J$2:$K$1048576,2,FALSE),""))</f>
        <v/>
      </c>
      <c r="K3399" s="5" t="str">
        <f>IF(OR(I3399="",G3399=""),"",IF(G3399="Saída",-I3399,I3399))</f>
        <v/>
      </c>
      <c r="L3399" t="str">
        <f>IF(E3399="","",IFERROR(VLOOKUP(E3399,Listas!$A$2:$C$1048576,3,FALSE),""))</f>
        <v/>
      </c>
    </row>
    <row r="3400" spans="10:12" x14ac:dyDescent="0.25">
      <c r="J3400" t="str">
        <f>IF(H3400="","",IFERROR(VLOOKUP(H3400,Listas!$J$2:$K$1048576,2,FALSE),""))</f>
        <v/>
      </c>
      <c r="K3400" s="5" t="str">
        <f>IF(OR(I3400="",G3400=""),"",IF(G3400="Saída",-I3400,I3400))</f>
        <v/>
      </c>
      <c r="L3400" t="str">
        <f>IF(E3400="","",IFERROR(VLOOKUP(E3400,Listas!$A$2:$C$1048576,3,FALSE),""))</f>
        <v/>
      </c>
    </row>
    <row r="3401" spans="10:12" x14ac:dyDescent="0.25">
      <c r="J3401" t="str">
        <f>IF(H3401="","",IFERROR(VLOOKUP(H3401,Listas!$J$2:$K$1048576,2,FALSE),""))</f>
        <v/>
      </c>
      <c r="K3401" s="5" t="str">
        <f>IF(OR(I3401="",G3401=""),"",IF(G3401="Saída",-I3401,I3401))</f>
        <v/>
      </c>
      <c r="L3401" t="str">
        <f>IF(E3401="","",IFERROR(VLOOKUP(E3401,Listas!$A$2:$C$1048576,3,FALSE),""))</f>
        <v/>
      </c>
    </row>
    <row r="3402" spans="10:12" x14ac:dyDescent="0.25">
      <c r="J3402" t="str">
        <f>IF(H3402="","",IFERROR(VLOOKUP(H3402,Listas!$J$2:$K$1048576,2,FALSE),""))</f>
        <v/>
      </c>
      <c r="K3402" s="5" t="str">
        <f>IF(OR(I3402="",G3402=""),"",IF(G3402="Saída",-I3402,I3402))</f>
        <v/>
      </c>
      <c r="L3402" t="str">
        <f>IF(E3402="","",IFERROR(VLOOKUP(E3402,Listas!$A$2:$C$1048576,3,FALSE),""))</f>
        <v/>
      </c>
    </row>
    <row r="3403" spans="10:12" x14ac:dyDescent="0.25">
      <c r="J3403" t="str">
        <f>IF(H3403="","",IFERROR(VLOOKUP(H3403,Listas!$J$2:$K$1048576,2,FALSE),""))</f>
        <v/>
      </c>
      <c r="K3403" s="5" t="str">
        <f>IF(OR(I3403="",G3403=""),"",IF(G3403="Saída",-I3403,I3403))</f>
        <v/>
      </c>
      <c r="L3403" t="str">
        <f>IF(E3403="","",IFERROR(VLOOKUP(E3403,Listas!$A$2:$C$1048576,3,FALSE),""))</f>
        <v/>
      </c>
    </row>
    <row r="3404" spans="10:12" x14ac:dyDescent="0.25">
      <c r="J3404" t="str">
        <f>IF(H3404="","",IFERROR(VLOOKUP(H3404,Listas!$J$2:$K$1048576,2,FALSE),""))</f>
        <v/>
      </c>
      <c r="K3404" s="5" t="str">
        <f>IF(OR(I3404="",G3404=""),"",IF(G3404="Saída",-I3404,I3404))</f>
        <v/>
      </c>
      <c r="L3404" t="str">
        <f>IF(E3404="","",IFERROR(VLOOKUP(E3404,Listas!$A$2:$C$1048576,3,FALSE),""))</f>
        <v/>
      </c>
    </row>
    <row r="3405" spans="10:12" x14ac:dyDescent="0.25">
      <c r="J3405" t="str">
        <f>IF(H3405="","",IFERROR(VLOOKUP(H3405,Listas!$J$2:$K$1048576,2,FALSE),""))</f>
        <v/>
      </c>
      <c r="K3405" s="5" t="str">
        <f>IF(OR(I3405="",G3405=""),"",IF(G3405="Saída",-I3405,I3405))</f>
        <v/>
      </c>
      <c r="L3405" t="str">
        <f>IF(E3405="","",IFERROR(VLOOKUP(E3405,Listas!$A$2:$C$1048576,3,FALSE),""))</f>
        <v/>
      </c>
    </row>
    <row r="3406" spans="10:12" x14ac:dyDescent="0.25">
      <c r="J3406" t="str">
        <f>IF(H3406="","",IFERROR(VLOOKUP(H3406,Listas!$J$2:$K$1048576,2,FALSE),""))</f>
        <v/>
      </c>
      <c r="K3406" s="5" t="str">
        <f>IF(OR(I3406="",G3406=""),"",IF(G3406="Saída",-I3406,I3406))</f>
        <v/>
      </c>
      <c r="L3406" t="str">
        <f>IF(E3406="","",IFERROR(VLOOKUP(E3406,Listas!$A$2:$C$1048576,3,FALSE),""))</f>
        <v/>
      </c>
    </row>
    <row r="3407" spans="10:12" x14ac:dyDescent="0.25">
      <c r="J3407" t="str">
        <f>IF(H3407="","",IFERROR(VLOOKUP(H3407,Listas!$J$2:$K$1048576,2,FALSE),""))</f>
        <v/>
      </c>
      <c r="K3407" s="5" t="str">
        <f>IF(OR(I3407="",G3407=""),"",IF(G3407="Saída",-I3407,I3407))</f>
        <v/>
      </c>
      <c r="L3407" t="str">
        <f>IF(E3407="","",IFERROR(VLOOKUP(E3407,Listas!$A$2:$C$1048576,3,FALSE),""))</f>
        <v/>
      </c>
    </row>
    <row r="3408" spans="10:12" x14ac:dyDescent="0.25">
      <c r="J3408" t="str">
        <f>IF(H3408="","",IFERROR(VLOOKUP(H3408,Listas!$J$2:$K$1048576,2,FALSE),""))</f>
        <v/>
      </c>
      <c r="K3408" s="5" t="str">
        <f>IF(OR(I3408="",G3408=""),"",IF(G3408="Saída",-I3408,I3408))</f>
        <v/>
      </c>
      <c r="L3408" t="str">
        <f>IF(E3408="","",IFERROR(VLOOKUP(E3408,Listas!$A$2:$C$1048576,3,FALSE),""))</f>
        <v/>
      </c>
    </row>
    <row r="3409" spans="10:12" x14ac:dyDescent="0.25">
      <c r="J3409" t="str">
        <f>IF(H3409="","",IFERROR(VLOOKUP(H3409,Listas!$J$2:$K$1048576,2,FALSE),""))</f>
        <v/>
      </c>
      <c r="K3409" s="5" t="str">
        <f>IF(OR(I3409="",G3409=""),"",IF(G3409="Saída",-I3409,I3409))</f>
        <v/>
      </c>
      <c r="L3409" t="str">
        <f>IF(E3409="","",IFERROR(VLOOKUP(E3409,Listas!$A$2:$C$1048576,3,FALSE),""))</f>
        <v/>
      </c>
    </row>
    <row r="3410" spans="10:12" x14ac:dyDescent="0.25">
      <c r="J3410" t="str">
        <f>IF(H3410="","",IFERROR(VLOOKUP(H3410,Listas!$J$2:$K$1048576,2,FALSE),""))</f>
        <v/>
      </c>
      <c r="K3410" s="5" t="str">
        <f>IF(OR(I3410="",G3410=""),"",IF(G3410="Saída",-I3410,I3410))</f>
        <v/>
      </c>
      <c r="L3410" t="str">
        <f>IF(E3410="","",IFERROR(VLOOKUP(E3410,Listas!$A$2:$C$1048576,3,FALSE),""))</f>
        <v/>
      </c>
    </row>
    <row r="3411" spans="10:12" x14ac:dyDescent="0.25">
      <c r="J3411" t="str">
        <f>IF(H3411="","",IFERROR(VLOOKUP(H3411,Listas!$J$2:$K$1048576,2,FALSE),""))</f>
        <v/>
      </c>
      <c r="K3411" s="5" t="str">
        <f>IF(OR(I3411="",G3411=""),"",IF(G3411="Saída",-I3411,I3411))</f>
        <v/>
      </c>
      <c r="L3411" t="str">
        <f>IF(E3411="","",IFERROR(VLOOKUP(E3411,Listas!$A$2:$C$1048576,3,FALSE),""))</f>
        <v/>
      </c>
    </row>
    <row r="3412" spans="10:12" x14ac:dyDescent="0.25">
      <c r="J3412" t="str">
        <f>IF(H3412="","",IFERROR(VLOOKUP(H3412,Listas!$J$2:$K$1048576,2,FALSE),""))</f>
        <v/>
      </c>
      <c r="K3412" s="5" t="str">
        <f>IF(OR(I3412="",G3412=""),"",IF(G3412="Saída",-I3412,I3412))</f>
        <v/>
      </c>
      <c r="L3412" t="str">
        <f>IF(E3412="","",IFERROR(VLOOKUP(E3412,Listas!$A$2:$C$1048576,3,FALSE),""))</f>
        <v/>
      </c>
    </row>
    <row r="3413" spans="10:12" x14ac:dyDescent="0.25">
      <c r="J3413" t="str">
        <f>IF(H3413="","",IFERROR(VLOOKUP(H3413,Listas!$J$2:$K$1048576,2,FALSE),""))</f>
        <v/>
      </c>
      <c r="K3413" s="5" t="str">
        <f>IF(OR(I3413="",G3413=""),"",IF(G3413="Saída",-I3413,I3413))</f>
        <v/>
      </c>
      <c r="L3413" t="str">
        <f>IF(E3413="","",IFERROR(VLOOKUP(E3413,Listas!$A$2:$C$1048576,3,FALSE),""))</f>
        <v/>
      </c>
    </row>
    <row r="3414" spans="10:12" x14ac:dyDescent="0.25">
      <c r="J3414" t="str">
        <f>IF(H3414="","",IFERROR(VLOOKUP(H3414,Listas!$J$2:$K$1048576,2,FALSE),""))</f>
        <v/>
      </c>
      <c r="K3414" s="5" t="str">
        <f>IF(OR(I3414="",G3414=""),"",IF(G3414="Saída",-I3414,I3414))</f>
        <v/>
      </c>
      <c r="L3414" t="str">
        <f>IF(E3414="","",IFERROR(VLOOKUP(E3414,Listas!$A$2:$C$1048576,3,FALSE),""))</f>
        <v/>
      </c>
    </row>
    <row r="3415" spans="10:12" x14ac:dyDescent="0.25">
      <c r="J3415" t="str">
        <f>IF(H3415="","",IFERROR(VLOOKUP(H3415,Listas!$J$2:$K$1048576,2,FALSE),""))</f>
        <v/>
      </c>
      <c r="K3415" s="5" t="str">
        <f>IF(OR(I3415="",G3415=""),"",IF(G3415="Saída",-I3415,I3415))</f>
        <v/>
      </c>
      <c r="L3415" t="str">
        <f>IF(E3415="","",IFERROR(VLOOKUP(E3415,Listas!$A$2:$C$1048576,3,FALSE),""))</f>
        <v/>
      </c>
    </row>
    <row r="3416" spans="10:12" x14ac:dyDescent="0.25">
      <c r="J3416" t="str">
        <f>IF(H3416="","",IFERROR(VLOOKUP(H3416,Listas!$J$2:$K$1048576,2,FALSE),""))</f>
        <v/>
      </c>
      <c r="K3416" s="5" t="str">
        <f>IF(OR(I3416="",G3416=""),"",IF(G3416="Saída",-I3416,I3416))</f>
        <v/>
      </c>
      <c r="L3416" t="str">
        <f>IF(E3416="","",IFERROR(VLOOKUP(E3416,Listas!$A$2:$C$1048576,3,FALSE),""))</f>
        <v/>
      </c>
    </row>
    <row r="3417" spans="10:12" x14ac:dyDescent="0.25">
      <c r="J3417" t="str">
        <f>IF(H3417="","",IFERROR(VLOOKUP(H3417,Listas!$J$2:$K$1048576,2,FALSE),""))</f>
        <v/>
      </c>
      <c r="K3417" s="5" t="str">
        <f>IF(OR(I3417="",G3417=""),"",IF(G3417="Saída",-I3417,I3417))</f>
        <v/>
      </c>
      <c r="L3417" t="str">
        <f>IF(E3417="","",IFERROR(VLOOKUP(E3417,Listas!$A$2:$C$1048576,3,FALSE),""))</f>
        <v/>
      </c>
    </row>
    <row r="3418" spans="10:12" x14ac:dyDescent="0.25">
      <c r="J3418" t="str">
        <f>IF(H3418="","",IFERROR(VLOOKUP(H3418,Listas!$J$2:$K$1048576,2,FALSE),""))</f>
        <v/>
      </c>
      <c r="K3418" s="5" t="str">
        <f>IF(OR(I3418="",G3418=""),"",IF(G3418="Saída",-I3418,I3418))</f>
        <v/>
      </c>
      <c r="L3418" t="str">
        <f>IF(E3418="","",IFERROR(VLOOKUP(E3418,Listas!$A$2:$C$1048576,3,FALSE),""))</f>
        <v/>
      </c>
    </row>
    <row r="3419" spans="10:12" x14ac:dyDescent="0.25">
      <c r="J3419" t="str">
        <f>IF(H3419="","",IFERROR(VLOOKUP(H3419,Listas!$J$2:$K$1048576,2,FALSE),""))</f>
        <v/>
      </c>
      <c r="K3419" s="5" t="str">
        <f>IF(OR(I3419="",G3419=""),"",IF(G3419="Saída",-I3419,I3419))</f>
        <v/>
      </c>
      <c r="L3419" t="str">
        <f>IF(E3419="","",IFERROR(VLOOKUP(E3419,Listas!$A$2:$C$1048576,3,FALSE),""))</f>
        <v/>
      </c>
    </row>
    <row r="3420" spans="10:12" x14ac:dyDescent="0.25">
      <c r="J3420" t="str">
        <f>IF(H3420="","",IFERROR(VLOOKUP(H3420,Listas!$J$2:$K$1048576,2,FALSE),""))</f>
        <v/>
      </c>
      <c r="K3420" s="5" t="str">
        <f>IF(OR(I3420="",G3420=""),"",IF(G3420="Saída",-I3420,I3420))</f>
        <v/>
      </c>
      <c r="L3420" t="str">
        <f>IF(E3420="","",IFERROR(VLOOKUP(E3420,Listas!$A$2:$C$1048576,3,FALSE),""))</f>
        <v/>
      </c>
    </row>
    <row r="3421" spans="10:12" x14ac:dyDescent="0.25">
      <c r="J3421" t="str">
        <f>IF(H3421="","",IFERROR(VLOOKUP(H3421,Listas!$J$2:$K$1048576,2,FALSE),""))</f>
        <v/>
      </c>
      <c r="K3421" s="5" t="str">
        <f>IF(OR(I3421="",G3421=""),"",IF(G3421="Saída",-I3421,I3421))</f>
        <v/>
      </c>
      <c r="L3421" t="str">
        <f>IF(E3421="","",IFERROR(VLOOKUP(E3421,Listas!$A$2:$C$1048576,3,FALSE),""))</f>
        <v/>
      </c>
    </row>
    <row r="3422" spans="10:12" x14ac:dyDescent="0.25">
      <c r="J3422" t="str">
        <f>IF(H3422="","",IFERROR(VLOOKUP(H3422,Listas!$J$2:$K$1048576,2,FALSE),""))</f>
        <v/>
      </c>
      <c r="K3422" s="5" t="str">
        <f>IF(OR(I3422="",G3422=""),"",IF(G3422="Saída",-I3422,I3422))</f>
        <v/>
      </c>
      <c r="L3422" t="str">
        <f>IF(E3422="","",IFERROR(VLOOKUP(E3422,Listas!$A$2:$C$1048576,3,FALSE),""))</f>
        <v/>
      </c>
    </row>
    <row r="3423" spans="10:12" x14ac:dyDescent="0.25">
      <c r="J3423" t="str">
        <f>IF(H3423="","",IFERROR(VLOOKUP(H3423,Listas!$J$2:$K$1048576,2,FALSE),""))</f>
        <v/>
      </c>
      <c r="K3423" s="5" t="str">
        <f>IF(OR(I3423="",G3423=""),"",IF(G3423="Saída",-I3423,I3423))</f>
        <v/>
      </c>
      <c r="L3423" t="str">
        <f>IF(E3423="","",IFERROR(VLOOKUP(E3423,Listas!$A$2:$C$1048576,3,FALSE),""))</f>
        <v/>
      </c>
    </row>
    <row r="3424" spans="10:12" x14ac:dyDescent="0.25">
      <c r="J3424" t="str">
        <f>IF(H3424="","",IFERROR(VLOOKUP(H3424,Listas!$J$2:$K$1048576,2,FALSE),""))</f>
        <v/>
      </c>
      <c r="K3424" s="5" t="str">
        <f>IF(OR(I3424="",G3424=""),"",IF(G3424="Saída",-I3424,I3424))</f>
        <v/>
      </c>
      <c r="L3424" t="str">
        <f>IF(E3424="","",IFERROR(VLOOKUP(E3424,Listas!$A$2:$C$1048576,3,FALSE),""))</f>
        <v/>
      </c>
    </row>
    <row r="3425" spans="10:12" x14ac:dyDescent="0.25">
      <c r="J3425" t="str">
        <f>IF(H3425="","",IFERROR(VLOOKUP(H3425,Listas!$J$2:$K$1048576,2,FALSE),""))</f>
        <v/>
      </c>
      <c r="K3425" s="5" t="str">
        <f>IF(OR(I3425="",G3425=""),"",IF(G3425="Saída",-I3425,I3425))</f>
        <v/>
      </c>
      <c r="L3425" t="str">
        <f>IF(E3425="","",IFERROR(VLOOKUP(E3425,Listas!$A$2:$C$1048576,3,FALSE),""))</f>
        <v/>
      </c>
    </row>
    <row r="3426" spans="10:12" x14ac:dyDescent="0.25">
      <c r="J3426" t="str">
        <f>IF(H3426="","",IFERROR(VLOOKUP(H3426,Listas!$J$2:$K$1048576,2,FALSE),""))</f>
        <v/>
      </c>
      <c r="K3426" s="5" t="str">
        <f>IF(OR(I3426="",G3426=""),"",IF(G3426="Saída",-I3426,I3426))</f>
        <v/>
      </c>
      <c r="L3426" t="str">
        <f>IF(E3426="","",IFERROR(VLOOKUP(E3426,Listas!$A$2:$C$1048576,3,FALSE),""))</f>
        <v/>
      </c>
    </row>
    <row r="3427" spans="10:12" x14ac:dyDescent="0.25">
      <c r="J3427" t="str">
        <f>IF(H3427="","",IFERROR(VLOOKUP(H3427,Listas!$J$2:$K$1048576,2,FALSE),""))</f>
        <v/>
      </c>
      <c r="K3427" s="5" t="str">
        <f>IF(OR(I3427="",G3427=""),"",IF(G3427="Saída",-I3427,I3427))</f>
        <v/>
      </c>
      <c r="L3427" t="str">
        <f>IF(E3427="","",IFERROR(VLOOKUP(E3427,Listas!$A$2:$C$1048576,3,FALSE),""))</f>
        <v/>
      </c>
    </row>
    <row r="3428" spans="10:12" x14ac:dyDescent="0.25">
      <c r="J3428" t="str">
        <f>IF(H3428="","",IFERROR(VLOOKUP(H3428,Listas!$J$2:$K$1048576,2,FALSE),""))</f>
        <v/>
      </c>
      <c r="K3428" s="5" t="str">
        <f>IF(OR(I3428="",G3428=""),"",IF(G3428="Saída",-I3428,I3428))</f>
        <v/>
      </c>
      <c r="L3428" t="str">
        <f>IF(E3428="","",IFERROR(VLOOKUP(E3428,Listas!$A$2:$C$1048576,3,FALSE),""))</f>
        <v/>
      </c>
    </row>
    <row r="3429" spans="10:12" x14ac:dyDescent="0.25">
      <c r="J3429" t="str">
        <f>IF(H3429="","",IFERROR(VLOOKUP(H3429,Listas!$J$2:$K$1048576,2,FALSE),""))</f>
        <v/>
      </c>
      <c r="K3429" s="5" t="str">
        <f>IF(OR(I3429="",G3429=""),"",IF(G3429="Saída",-I3429,I3429))</f>
        <v/>
      </c>
      <c r="L3429" t="str">
        <f>IF(E3429="","",IFERROR(VLOOKUP(E3429,Listas!$A$2:$C$1048576,3,FALSE),""))</f>
        <v/>
      </c>
    </row>
    <row r="3430" spans="10:12" x14ac:dyDescent="0.25">
      <c r="J3430" t="str">
        <f>IF(H3430="","",IFERROR(VLOOKUP(H3430,Listas!$J$2:$K$1048576,2,FALSE),""))</f>
        <v/>
      </c>
      <c r="K3430" s="5" t="str">
        <f>IF(OR(I3430="",G3430=""),"",IF(G3430="Saída",-I3430,I3430))</f>
        <v/>
      </c>
      <c r="L3430" t="str">
        <f>IF(E3430="","",IFERROR(VLOOKUP(E3430,Listas!$A$2:$C$1048576,3,FALSE),""))</f>
        <v/>
      </c>
    </row>
    <row r="3431" spans="10:12" x14ac:dyDescent="0.25">
      <c r="J3431" t="str">
        <f>IF(H3431="","",IFERROR(VLOOKUP(H3431,Listas!$J$2:$K$1048576,2,FALSE),""))</f>
        <v/>
      </c>
      <c r="K3431" s="5" t="str">
        <f>IF(OR(I3431="",G3431=""),"",IF(G3431="Saída",-I3431,I3431))</f>
        <v/>
      </c>
      <c r="L3431" t="str">
        <f>IF(E3431="","",IFERROR(VLOOKUP(E3431,Listas!$A$2:$C$1048576,3,FALSE),""))</f>
        <v/>
      </c>
    </row>
    <row r="3432" spans="10:12" x14ac:dyDescent="0.25">
      <c r="J3432" t="str">
        <f>IF(H3432="","",IFERROR(VLOOKUP(H3432,Listas!$J$2:$K$1048576,2,FALSE),""))</f>
        <v/>
      </c>
      <c r="K3432" s="5" t="str">
        <f>IF(OR(I3432="",G3432=""),"",IF(G3432="Saída",-I3432,I3432))</f>
        <v/>
      </c>
      <c r="L3432" t="str">
        <f>IF(E3432="","",IFERROR(VLOOKUP(E3432,Listas!$A$2:$C$1048576,3,FALSE),""))</f>
        <v/>
      </c>
    </row>
    <row r="3433" spans="10:12" x14ac:dyDescent="0.25">
      <c r="J3433" t="str">
        <f>IF(H3433="","",IFERROR(VLOOKUP(H3433,Listas!$J$2:$K$1048576,2,FALSE),""))</f>
        <v/>
      </c>
      <c r="K3433" s="5" t="str">
        <f>IF(OR(I3433="",G3433=""),"",IF(G3433="Saída",-I3433,I3433))</f>
        <v/>
      </c>
      <c r="L3433" t="str">
        <f>IF(E3433="","",IFERROR(VLOOKUP(E3433,Listas!$A$2:$C$1048576,3,FALSE),""))</f>
        <v/>
      </c>
    </row>
    <row r="3434" spans="10:12" x14ac:dyDescent="0.25">
      <c r="J3434" t="str">
        <f>IF(H3434="","",IFERROR(VLOOKUP(H3434,Listas!$J$2:$K$1048576,2,FALSE),""))</f>
        <v/>
      </c>
      <c r="K3434" s="5" t="str">
        <f>IF(OR(I3434="",G3434=""),"",IF(G3434="Saída",-I3434,I3434))</f>
        <v/>
      </c>
      <c r="L3434" t="str">
        <f>IF(E3434="","",IFERROR(VLOOKUP(E3434,Listas!$A$2:$C$1048576,3,FALSE),""))</f>
        <v/>
      </c>
    </row>
    <row r="3435" spans="10:12" x14ac:dyDescent="0.25">
      <c r="J3435" t="str">
        <f>IF(H3435="","",IFERROR(VLOOKUP(H3435,Listas!$J$2:$K$1048576,2,FALSE),""))</f>
        <v/>
      </c>
      <c r="K3435" s="5" t="str">
        <f>IF(OR(I3435="",G3435=""),"",IF(G3435="Saída",-I3435,I3435))</f>
        <v/>
      </c>
      <c r="L3435" t="str">
        <f>IF(E3435="","",IFERROR(VLOOKUP(E3435,Listas!$A$2:$C$1048576,3,FALSE),""))</f>
        <v/>
      </c>
    </row>
    <row r="3436" spans="10:12" x14ac:dyDescent="0.25">
      <c r="J3436" t="str">
        <f>IF(H3436="","",IFERROR(VLOOKUP(H3436,Listas!$J$2:$K$1048576,2,FALSE),""))</f>
        <v/>
      </c>
      <c r="K3436" s="5" t="str">
        <f>IF(OR(I3436="",G3436=""),"",IF(G3436="Saída",-I3436,I3436))</f>
        <v/>
      </c>
      <c r="L3436" t="str">
        <f>IF(E3436="","",IFERROR(VLOOKUP(E3436,Listas!$A$2:$C$1048576,3,FALSE),""))</f>
        <v/>
      </c>
    </row>
    <row r="3437" spans="10:12" x14ac:dyDescent="0.25">
      <c r="J3437" t="str">
        <f>IF(H3437="","",IFERROR(VLOOKUP(H3437,Listas!$J$2:$K$1048576,2,FALSE),""))</f>
        <v/>
      </c>
      <c r="K3437" s="5" t="str">
        <f>IF(OR(I3437="",G3437=""),"",IF(G3437="Saída",-I3437,I3437))</f>
        <v/>
      </c>
      <c r="L3437" t="str">
        <f>IF(E3437="","",IFERROR(VLOOKUP(E3437,Listas!$A$2:$C$1048576,3,FALSE),""))</f>
        <v/>
      </c>
    </row>
    <row r="3438" spans="10:12" x14ac:dyDescent="0.25">
      <c r="J3438" t="str">
        <f>IF(H3438="","",IFERROR(VLOOKUP(H3438,Listas!$J$2:$K$1048576,2,FALSE),""))</f>
        <v/>
      </c>
      <c r="K3438" s="5" t="str">
        <f>IF(OR(I3438="",G3438=""),"",IF(G3438="Saída",-I3438,I3438))</f>
        <v/>
      </c>
      <c r="L3438" t="str">
        <f>IF(E3438="","",IFERROR(VLOOKUP(E3438,Listas!$A$2:$C$1048576,3,FALSE),""))</f>
        <v/>
      </c>
    </row>
    <row r="3439" spans="10:12" x14ac:dyDescent="0.25">
      <c r="J3439" t="str">
        <f>IF(H3439="","",IFERROR(VLOOKUP(H3439,Listas!$J$2:$K$1048576,2,FALSE),""))</f>
        <v/>
      </c>
      <c r="K3439" s="5" t="str">
        <f>IF(OR(I3439="",G3439=""),"",IF(G3439="Saída",-I3439,I3439))</f>
        <v/>
      </c>
      <c r="L3439" t="str">
        <f>IF(E3439="","",IFERROR(VLOOKUP(E3439,Listas!$A$2:$C$1048576,3,FALSE),""))</f>
        <v/>
      </c>
    </row>
    <row r="3440" spans="10:12" x14ac:dyDescent="0.25">
      <c r="J3440" t="str">
        <f>IF(H3440="","",IFERROR(VLOOKUP(H3440,Listas!$J$2:$K$1048576,2,FALSE),""))</f>
        <v/>
      </c>
      <c r="K3440" s="5" t="str">
        <f>IF(OR(I3440="",G3440=""),"",IF(G3440="Saída",-I3440,I3440))</f>
        <v/>
      </c>
      <c r="L3440" t="str">
        <f>IF(E3440="","",IFERROR(VLOOKUP(E3440,Listas!$A$2:$C$1048576,3,FALSE),""))</f>
        <v/>
      </c>
    </row>
    <row r="3441" spans="10:12" x14ac:dyDescent="0.25">
      <c r="J3441" t="str">
        <f>IF(H3441="","",IFERROR(VLOOKUP(H3441,Listas!$J$2:$K$1048576,2,FALSE),""))</f>
        <v/>
      </c>
      <c r="K3441" s="5" t="str">
        <f>IF(OR(I3441="",G3441=""),"",IF(G3441="Saída",-I3441,I3441))</f>
        <v/>
      </c>
      <c r="L3441" t="str">
        <f>IF(E3441="","",IFERROR(VLOOKUP(E3441,Listas!$A$2:$C$1048576,3,FALSE),""))</f>
        <v/>
      </c>
    </row>
    <row r="3442" spans="10:12" x14ac:dyDescent="0.25">
      <c r="J3442" t="str">
        <f>IF(H3442="","",IFERROR(VLOOKUP(H3442,Listas!$J$2:$K$1048576,2,FALSE),""))</f>
        <v/>
      </c>
      <c r="K3442" s="5" t="str">
        <f>IF(OR(I3442="",G3442=""),"",IF(G3442="Saída",-I3442,I3442))</f>
        <v/>
      </c>
      <c r="L3442" t="str">
        <f>IF(E3442="","",IFERROR(VLOOKUP(E3442,Listas!$A$2:$C$1048576,3,FALSE),""))</f>
        <v/>
      </c>
    </row>
    <row r="3443" spans="10:12" x14ac:dyDescent="0.25">
      <c r="J3443" t="str">
        <f>IF(H3443="","",IFERROR(VLOOKUP(H3443,Listas!$J$2:$K$1048576,2,FALSE),""))</f>
        <v/>
      </c>
      <c r="K3443" s="5" t="str">
        <f>IF(OR(I3443="",G3443=""),"",IF(G3443="Saída",-I3443,I3443))</f>
        <v/>
      </c>
      <c r="L3443" t="str">
        <f>IF(E3443="","",IFERROR(VLOOKUP(E3443,Listas!$A$2:$C$1048576,3,FALSE),""))</f>
        <v/>
      </c>
    </row>
    <row r="3444" spans="10:12" x14ac:dyDescent="0.25">
      <c r="J3444" t="str">
        <f>IF(H3444="","",IFERROR(VLOOKUP(H3444,Listas!$J$2:$K$1048576,2,FALSE),""))</f>
        <v/>
      </c>
      <c r="K3444" s="5" t="str">
        <f>IF(OR(I3444="",G3444=""),"",IF(G3444="Saída",-I3444,I3444))</f>
        <v/>
      </c>
      <c r="L3444" t="str">
        <f>IF(E3444="","",IFERROR(VLOOKUP(E3444,Listas!$A$2:$C$1048576,3,FALSE),""))</f>
        <v/>
      </c>
    </row>
    <row r="3445" spans="10:12" x14ac:dyDescent="0.25">
      <c r="J3445" t="str">
        <f>IF(H3445="","",IFERROR(VLOOKUP(H3445,Listas!$J$2:$K$1048576,2,FALSE),""))</f>
        <v/>
      </c>
      <c r="K3445" s="5" t="str">
        <f>IF(OR(I3445="",G3445=""),"",IF(G3445="Saída",-I3445,I3445))</f>
        <v/>
      </c>
      <c r="L3445" t="str">
        <f>IF(E3445="","",IFERROR(VLOOKUP(E3445,Listas!$A$2:$C$1048576,3,FALSE),""))</f>
        <v/>
      </c>
    </row>
    <row r="3446" spans="10:12" x14ac:dyDescent="0.25">
      <c r="J3446" t="str">
        <f>IF(H3446="","",IFERROR(VLOOKUP(H3446,Listas!$J$2:$K$1048576,2,FALSE),""))</f>
        <v/>
      </c>
      <c r="K3446" s="5" t="str">
        <f>IF(OR(I3446="",G3446=""),"",IF(G3446="Saída",-I3446,I3446))</f>
        <v/>
      </c>
      <c r="L3446" t="str">
        <f>IF(E3446="","",IFERROR(VLOOKUP(E3446,Listas!$A$2:$C$1048576,3,FALSE),""))</f>
        <v/>
      </c>
    </row>
    <row r="3447" spans="10:12" x14ac:dyDescent="0.25">
      <c r="J3447" t="str">
        <f>IF(H3447="","",IFERROR(VLOOKUP(H3447,Listas!$J$2:$K$1048576,2,FALSE),""))</f>
        <v/>
      </c>
      <c r="K3447" s="5" t="str">
        <f>IF(OR(I3447="",G3447=""),"",IF(G3447="Saída",-I3447,I3447))</f>
        <v/>
      </c>
      <c r="L3447" t="str">
        <f>IF(E3447="","",IFERROR(VLOOKUP(E3447,Listas!$A$2:$C$1048576,3,FALSE),""))</f>
        <v/>
      </c>
    </row>
    <row r="3448" spans="10:12" x14ac:dyDescent="0.25">
      <c r="J3448" t="str">
        <f>IF(H3448="","",IFERROR(VLOOKUP(H3448,Listas!$J$2:$K$1048576,2,FALSE),""))</f>
        <v/>
      </c>
      <c r="K3448" s="5" t="str">
        <f>IF(OR(I3448="",G3448=""),"",IF(G3448="Saída",-I3448,I3448))</f>
        <v/>
      </c>
      <c r="L3448" t="str">
        <f>IF(E3448="","",IFERROR(VLOOKUP(E3448,Listas!$A$2:$C$1048576,3,FALSE),""))</f>
        <v/>
      </c>
    </row>
    <row r="3449" spans="10:12" x14ac:dyDescent="0.25">
      <c r="J3449" t="str">
        <f>IF(H3449="","",IFERROR(VLOOKUP(H3449,Listas!$J$2:$K$1048576,2,FALSE),""))</f>
        <v/>
      </c>
      <c r="K3449" s="5" t="str">
        <f>IF(OR(I3449="",G3449=""),"",IF(G3449="Saída",-I3449,I3449))</f>
        <v/>
      </c>
      <c r="L3449" t="str">
        <f>IF(E3449="","",IFERROR(VLOOKUP(E3449,Listas!$A$2:$C$1048576,3,FALSE),""))</f>
        <v/>
      </c>
    </row>
    <row r="3450" spans="10:12" x14ac:dyDescent="0.25">
      <c r="J3450" t="str">
        <f>IF(H3450="","",IFERROR(VLOOKUP(H3450,Listas!$J$2:$K$1048576,2,FALSE),""))</f>
        <v/>
      </c>
      <c r="K3450" s="5" t="str">
        <f>IF(OR(I3450="",G3450=""),"",IF(G3450="Saída",-I3450,I3450))</f>
        <v/>
      </c>
      <c r="L3450" t="str">
        <f>IF(E3450="","",IFERROR(VLOOKUP(E3450,Listas!$A$2:$C$1048576,3,FALSE),""))</f>
        <v/>
      </c>
    </row>
    <row r="3451" spans="10:12" x14ac:dyDescent="0.25">
      <c r="J3451" t="str">
        <f>IF(H3451="","",IFERROR(VLOOKUP(H3451,Listas!$J$2:$K$1048576,2,FALSE),""))</f>
        <v/>
      </c>
      <c r="K3451" s="5" t="str">
        <f>IF(OR(I3451="",G3451=""),"",IF(G3451="Saída",-I3451,I3451))</f>
        <v/>
      </c>
      <c r="L3451" t="str">
        <f>IF(E3451="","",IFERROR(VLOOKUP(E3451,Listas!$A$2:$C$1048576,3,FALSE),""))</f>
        <v/>
      </c>
    </row>
    <row r="3452" spans="10:12" x14ac:dyDescent="0.25">
      <c r="J3452" t="str">
        <f>IF(H3452="","",IFERROR(VLOOKUP(H3452,Listas!$J$2:$K$1048576,2,FALSE),""))</f>
        <v/>
      </c>
      <c r="K3452" s="5" t="str">
        <f>IF(OR(I3452="",G3452=""),"",IF(G3452="Saída",-I3452,I3452))</f>
        <v/>
      </c>
      <c r="L3452" t="str">
        <f>IF(E3452="","",IFERROR(VLOOKUP(E3452,Listas!$A$2:$C$1048576,3,FALSE),""))</f>
        <v/>
      </c>
    </row>
    <row r="3453" spans="10:12" x14ac:dyDescent="0.25">
      <c r="J3453" t="str">
        <f>IF(H3453="","",IFERROR(VLOOKUP(H3453,Listas!$J$2:$K$1048576,2,FALSE),""))</f>
        <v/>
      </c>
      <c r="K3453" s="5" t="str">
        <f>IF(OR(I3453="",G3453=""),"",IF(G3453="Saída",-I3453,I3453))</f>
        <v/>
      </c>
      <c r="L3453" t="str">
        <f>IF(E3453="","",IFERROR(VLOOKUP(E3453,Listas!$A$2:$C$1048576,3,FALSE),""))</f>
        <v/>
      </c>
    </row>
    <row r="3454" spans="10:12" x14ac:dyDescent="0.25">
      <c r="J3454" t="str">
        <f>IF(H3454="","",IFERROR(VLOOKUP(H3454,Listas!$J$2:$K$1048576,2,FALSE),""))</f>
        <v/>
      </c>
      <c r="K3454" s="5" t="str">
        <f>IF(OR(I3454="",G3454=""),"",IF(G3454="Saída",-I3454,I3454))</f>
        <v/>
      </c>
      <c r="L3454" t="str">
        <f>IF(E3454="","",IFERROR(VLOOKUP(E3454,Listas!$A$2:$C$1048576,3,FALSE),""))</f>
        <v/>
      </c>
    </row>
    <row r="3455" spans="10:12" x14ac:dyDescent="0.25">
      <c r="J3455" t="str">
        <f>IF(H3455="","",IFERROR(VLOOKUP(H3455,Listas!$J$2:$K$1048576,2,FALSE),""))</f>
        <v/>
      </c>
      <c r="K3455" s="5" t="str">
        <f>IF(OR(I3455="",G3455=""),"",IF(G3455="Saída",-I3455,I3455))</f>
        <v/>
      </c>
      <c r="L3455" t="str">
        <f>IF(E3455="","",IFERROR(VLOOKUP(E3455,Listas!$A$2:$C$1048576,3,FALSE),""))</f>
        <v/>
      </c>
    </row>
    <row r="3456" spans="10:12" x14ac:dyDescent="0.25">
      <c r="J3456" t="str">
        <f>IF(H3456="","",IFERROR(VLOOKUP(H3456,Listas!$J$2:$K$1048576,2,FALSE),""))</f>
        <v/>
      </c>
      <c r="K3456" s="5" t="str">
        <f>IF(OR(I3456="",G3456=""),"",IF(G3456="Saída",-I3456,I3456))</f>
        <v/>
      </c>
      <c r="L3456" t="str">
        <f>IF(E3456="","",IFERROR(VLOOKUP(E3456,Listas!$A$2:$C$1048576,3,FALSE),""))</f>
        <v/>
      </c>
    </row>
    <row r="3457" spans="10:12" x14ac:dyDescent="0.25">
      <c r="J3457" t="str">
        <f>IF(H3457="","",IFERROR(VLOOKUP(H3457,Listas!$J$2:$K$1048576,2,FALSE),""))</f>
        <v/>
      </c>
      <c r="K3457" s="5" t="str">
        <f>IF(OR(I3457="",G3457=""),"",IF(G3457="Saída",-I3457,I3457))</f>
        <v/>
      </c>
      <c r="L3457" t="str">
        <f>IF(E3457="","",IFERROR(VLOOKUP(E3457,Listas!$A$2:$C$1048576,3,FALSE),""))</f>
        <v/>
      </c>
    </row>
    <row r="3458" spans="10:12" x14ac:dyDescent="0.25">
      <c r="J3458" t="str">
        <f>IF(H3458="","",IFERROR(VLOOKUP(H3458,Listas!$J$2:$K$1048576,2,FALSE),""))</f>
        <v/>
      </c>
      <c r="K3458" s="5" t="str">
        <f>IF(OR(I3458="",G3458=""),"",IF(G3458="Saída",-I3458,I3458))</f>
        <v/>
      </c>
      <c r="L3458" t="str">
        <f>IF(E3458="","",IFERROR(VLOOKUP(E3458,Listas!$A$2:$C$1048576,3,FALSE),""))</f>
        <v/>
      </c>
    </row>
    <row r="3459" spans="10:12" x14ac:dyDescent="0.25">
      <c r="J3459" t="str">
        <f>IF(H3459="","",IFERROR(VLOOKUP(H3459,Listas!$J$2:$K$1048576,2,FALSE),""))</f>
        <v/>
      </c>
      <c r="K3459" s="5" t="str">
        <f>IF(OR(I3459="",G3459=""),"",IF(G3459="Saída",-I3459,I3459))</f>
        <v/>
      </c>
      <c r="L3459" t="str">
        <f>IF(E3459="","",IFERROR(VLOOKUP(E3459,Listas!$A$2:$C$1048576,3,FALSE),""))</f>
        <v/>
      </c>
    </row>
    <row r="3460" spans="10:12" x14ac:dyDescent="0.25">
      <c r="J3460" t="str">
        <f>IF(H3460="","",IFERROR(VLOOKUP(H3460,Listas!$J$2:$K$1048576,2,FALSE),""))</f>
        <v/>
      </c>
      <c r="K3460" s="5" t="str">
        <f>IF(OR(I3460="",G3460=""),"",IF(G3460="Saída",-I3460,I3460))</f>
        <v/>
      </c>
      <c r="L3460" t="str">
        <f>IF(E3460="","",IFERROR(VLOOKUP(E3460,Listas!$A$2:$C$1048576,3,FALSE),""))</f>
        <v/>
      </c>
    </row>
    <row r="3461" spans="10:12" x14ac:dyDescent="0.25">
      <c r="J3461" t="str">
        <f>IF(H3461="","",IFERROR(VLOOKUP(H3461,Listas!$J$2:$K$1048576,2,FALSE),""))</f>
        <v/>
      </c>
      <c r="K3461" s="5" t="str">
        <f>IF(OR(I3461="",G3461=""),"",IF(G3461="Saída",-I3461,I3461))</f>
        <v/>
      </c>
      <c r="L3461" t="str">
        <f>IF(E3461="","",IFERROR(VLOOKUP(E3461,Listas!$A$2:$C$1048576,3,FALSE),""))</f>
        <v/>
      </c>
    </row>
    <row r="3462" spans="10:12" x14ac:dyDescent="0.25">
      <c r="J3462" t="str">
        <f>IF(H3462="","",IFERROR(VLOOKUP(H3462,Listas!$J$2:$K$1048576,2,FALSE),""))</f>
        <v/>
      </c>
      <c r="K3462" s="5" t="str">
        <f>IF(OR(I3462="",G3462=""),"",IF(G3462="Saída",-I3462,I3462))</f>
        <v/>
      </c>
      <c r="L3462" t="str">
        <f>IF(E3462="","",IFERROR(VLOOKUP(E3462,Listas!$A$2:$C$1048576,3,FALSE),""))</f>
        <v/>
      </c>
    </row>
    <row r="3463" spans="10:12" x14ac:dyDescent="0.25">
      <c r="J3463" t="str">
        <f>IF(H3463="","",IFERROR(VLOOKUP(H3463,Listas!$J$2:$K$1048576,2,FALSE),""))</f>
        <v/>
      </c>
      <c r="K3463" s="5" t="str">
        <f>IF(OR(I3463="",G3463=""),"",IF(G3463="Saída",-I3463,I3463))</f>
        <v/>
      </c>
      <c r="L3463" t="str">
        <f>IF(E3463="","",IFERROR(VLOOKUP(E3463,Listas!$A$2:$C$1048576,3,FALSE),""))</f>
        <v/>
      </c>
    </row>
    <row r="3464" spans="10:12" x14ac:dyDescent="0.25">
      <c r="J3464" t="str">
        <f>IF(H3464="","",IFERROR(VLOOKUP(H3464,Listas!$J$2:$K$1048576,2,FALSE),""))</f>
        <v/>
      </c>
      <c r="K3464" s="5" t="str">
        <f>IF(OR(I3464="",G3464=""),"",IF(G3464="Saída",-I3464,I3464))</f>
        <v/>
      </c>
      <c r="L3464" t="str">
        <f>IF(E3464="","",IFERROR(VLOOKUP(E3464,Listas!$A$2:$C$1048576,3,FALSE),""))</f>
        <v/>
      </c>
    </row>
    <row r="3465" spans="10:12" x14ac:dyDescent="0.25">
      <c r="J3465" t="str">
        <f>IF(H3465="","",IFERROR(VLOOKUP(H3465,Listas!$J$2:$K$1048576,2,FALSE),""))</f>
        <v/>
      </c>
      <c r="K3465" s="5" t="str">
        <f>IF(OR(I3465="",G3465=""),"",IF(G3465="Saída",-I3465,I3465))</f>
        <v/>
      </c>
      <c r="L3465" t="str">
        <f>IF(E3465="","",IFERROR(VLOOKUP(E3465,Listas!$A$2:$C$1048576,3,FALSE),""))</f>
        <v/>
      </c>
    </row>
    <row r="3466" spans="10:12" x14ac:dyDescent="0.25">
      <c r="J3466" t="str">
        <f>IF(H3466="","",IFERROR(VLOOKUP(H3466,Listas!$J$2:$K$1048576,2,FALSE),""))</f>
        <v/>
      </c>
      <c r="K3466" s="5" t="str">
        <f>IF(OR(I3466="",G3466=""),"",IF(G3466="Saída",-I3466,I3466))</f>
        <v/>
      </c>
      <c r="L3466" t="str">
        <f>IF(E3466="","",IFERROR(VLOOKUP(E3466,Listas!$A$2:$C$1048576,3,FALSE),""))</f>
        <v/>
      </c>
    </row>
    <row r="3467" spans="10:12" x14ac:dyDescent="0.25">
      <c r="J3467" t="str">
        <f>IF(H3467="","",IFERROR(VLOOKUP(H3467,Listas!$J$2:$K$1048576,2,FALSE),""))</f>
        <v/>
      </c>
      <c r="K3467" s="5" t="str">
        <f>IF(OR(I3467="",G3467=""),"",IF(G3467="Saída",-I3467,I3467))</f>
        <v/>
      </c>
      <c r="L3467" t="str">
        <f>IF(E3467="","",IFERROR(VLOOKUP(E3467,Listas!$A$2:$C$1048576,3,FALSE),""))</f>
        <v/>
      </c>
    </row>
    <row r="3468" spans="10:12" x14ac:dyDescent="0.25">
      <c r="J3468" t="str">
        <f>IF(H3468="","",IFERROR(VLOOKUP(H3468,Listas!$J$2:$K$1048576,2,FALSE),""))</f>
        <v/>
      </c>
      <c r="K3468" s="5" t="str">
        <f>IF(OR(I3468="",G3468=""),"",IF(G3468="Saída",-I3468,I3468))</f>
        <v/>
      </c>
      <c r="L3468" t="str">
        <f>IF(E3468="","",IFERROR(VLOOKUP(E3468,Listas!$A$2:$C$1048576,3,FALSE),""))</f>
        <v/>
      </c>
    </row>
    <row r="3469" spans="10:12" x14ac:dyDescent="0.25">
      <c r="J3469" t="str">
        <f>IF(H3469="","",IFERROR(VLOOKUP(H3469,Listas!$J$2:$K$1048576,2,FALSE),""))</f>
        <v/>
      </c>
      <c r="K3469" s="5" t="str">
        <f>IF(OR(I3469="",G3469=""),"",IF(G3469="Saída",-I3469,I3469))</f>
        <v/>
      </c>
      <c r="L3469" t="str">
        <f>IF(E3469="","",IFERROR(VLOOKUP(E3469,Listas!$A$2:$C$1048576,3,FALSE),""))</f>
        <v/>
      </c>
    </row>
    <row r="3470" spans="10:12" x14ac:dyDescent="0.25">
      <c r="J3470" t="str">
        <f>IF(H3470="","",IFERROR(VLOOKUP(H3470,Listas!$J$2:$K$1048576,2,FALSE),""))</f>
        <v/>
      </c>
      <c r="K3470" s="5" t="str">
        <f>IF(OR(I3470="",G3470=""),"",IF(G3470="Saída",-I3470,I3470))</f>
        <v/>
      </c>
      <c r="L3470" t="str">
        <f>IF(E3470="","",IFERROR(VLOOKUP(E3470,Listas!$A$2:$C$1048576,3,FALSE),""))</f>
        <v/>
      </c>
    </row>
    <row r="3471" spans="10:12" x14ac:dyDescent="0.25">
      <c r="J3471" t="str">
        <f>IF(H3471="","",IFERROR(VLOOKUP(H3471,Listas!$J$2:$K$1048576,2,FALSE),""))</f>
        <v/>
      </c>
      <c r="K3471" s="5" t="str">
        <f>IF(OR(I3471="",G3471=""),"",IF(G3471="Saída",-I3471,I3471))</f>
        <v/>
      </c>
      <c r="L3471" t="str">
        <f>IF(E3471="","",IFERROR(VLOOKUP(E3471,Listas!$A$2:$C$1048576,3,FALSE),""))</f>
        <v/>
      </c>
    </row>
    <row r="3472" spans="10:12" x14ac:dyDescent="0.25">
      <c r="J3472" t="str">
        <f>IF(H3472="","",IFERROR(VLOOKUP(H3472,Listas!$J$2:$K$1048576,2,FALSE),""))</f>
        <v/>
      </c>
      <c r="K3472" s="5" t="str">
        <f>IF(OR(I3472="",G3472=""),"",IF(G3472="Saída",-I3472,I3472))</f>
        <v/>
      </c>
      <c r="L3472" t="str">
        <f>IF(E3472="","",IFERROR(VLOOKUP(E3472,Listas!$A$2:$C$1048576,3,FALSE),""))</f>
        <v/>
      </c>
    </row>
    <row r="3473" spans="10:12" x14ac:dyDescent="0.25">
      <c r="J3473" t="str">
        <f>IF(H3473="","",IFERROR(VLOOKUP(H3473,Listas!$J$2:$K$1048576,2,FALSE),""))</f>
        <v/>
      </c>
      <c r="K3473" s="5" t="str">
        <f>IF(OR(I3473="",G3473=""),"",IF(G3473="Saída",-I3473,I3473))</f>
        <v/>
      </c>
      <c r="L3473" t="str">
        <f>IF(E3473="","",IFERROR(VLOOKUP(E3473,Listas!$A$2:$C$1048576,3,FALSE),""))</f>
        <v/>
      </c>
    </row>
    <row r="3474" spans="10:12" x14ac:dyDescent="0.25">
      <c r="J3474" t="str">
        <f>IF(H3474="","",IFERROR(VLOOKUP(H3474,Listas!$J$2:$K$1048576,2,FALSE),""))</f>
        <v/>
      </c>
      <c r="K3474" s="5" t="str">
        <f>IF(OR(I3474="",G3474=""),"",IF(G3474="Saída",-I3474,I3474))</f>
        <v/>
      </c>
      <c r="L3474" t="str">
        <f>IF(E3474="","",IFERROR(VLOOKUP(E3474,Listas!$A$2:$C$1048576,3,FALSE),""))</f>
        <v/>
      </c>
    </row>
    <row r="3475" spans="10:12" x14ac:dyDescent="0.25">
      <c r="J3475" t="str">
        <f>IF(H3475="","",IFERROR(VLOOKUP(H3475,Listas!$J$2:$K$1048576,2,FALSE),""))</f>
        <v/>
      </c>
      <c r="K3475" s="5" t="str">
        <f>IF(OR(I3475="",G3475=""),"",IF(G3475="Saída",-I3475,I3475))</f>
        <v/>
      </c>
      <c r="L3475" t="str">
        <f>IF(E3475="","",IFERROR(VLOOKUP(E3475,Listas!$A$2:$C$1048576,3,FALSE),""))</f>
        <v/>
      </c>
    </row>
    <row r="3476" spans="10:12" x14ac:dyDescent="0.25">
      <c r="J3476" t="str">
        <f>IF(H3476="","",IFERROR(VLOOKUP(H3476,Listas!$J$2:$K$1048576,2,FALSE),""))</f>
        <v/>
      </c>
      <c r="K3476" s="5" t="str">
        <f>IF(OR(I3476="",G3476=""),"",IF(G3476="Saída",-I3476,I3476))</f>
        <v/>
      </c>
      <c r="L3476" t="str">
        <f>IF(E3476="","",IFERROR(VLOOKUP(E3476,Listas!$A$2:$C$1048576,3,FALSE),""))</f>
        <v/>
      </c>
    </row>
    <row r="3477" spans="10:12" x14ac:dyDescent="0.25">
      <c r="J3477" t="str">
        <f>IF(H3477="","",IFERROR(VLOOKUP(H3477,Listas!$J$2:$K$1048576,2,FALSE),""))</f>
        <v/>
      </c>
      <c r="K3477" s="5" t="str">
        <f>IF(OR(I3477="",G3477=""),"",IF(G3477="Saída",-I3477,I3477))</f>
        <v/>
      </c>
      <c r="L3477" t="str">
        <f>IF(E3477="","",IFERROR(VLOOKUP(E3477,Listas!$A$2:$C$1048576,3,FALSE),""))</f>
        <v/>
      </c>
    </row>
    <row r="3478" spans="10:12" x14ac:dyDescent="0.25">
      <c r="J3478" t="str">
        <f>IF(H3478="","",IFERROR(VLOOKUP(H3478,Listas!$J$2:$K$1048576,2,FALSE),""))</f>
        <v/>
      </c>
      <c r="K3478" s="5" t="str">
        <f>IF(OR(I3478="",G3478=""),"",IF(G3478="Saída",-I3478,I3478))</f>
        <v/>
      </c>
      <c r="L3478" t="str">
        <f>IF(E3478="","",IFERROR(VLOOKUP(E3478,Listas!$A$2:$C$1048576,3,FALSE),""))</f>
        <v/>
      </c>
    </row>
    <row r="3479" spans="10:12" x14ac:dyDescent="0.25">
      <c r="J3479" t="str">
        <f>IF(H3479="","",IFERROR(VLOOKUP(H3479,Listas!$J$2:$K$1048576,2,FALSE),""))</f>
        <v/>
      </c>
      <c r="K3479" s="5" t="str">
        <f>IF(OR(I3479="",G3479=""),"",IF(G3479="Saída",-I3479,I3479))</f>
        <v/>
      </c>
      <c r="L3479" t="str">
        <f>IF(E3479="","",IFERROR(VLOOKUP(E3479,Listas!$A$2:$C$1048576,3,FALSE),""))</f>
        <v/>
      </c>
    </row>
    <row r="3480" spans="10:12" x14ac:dyDescent="0.25">
      <c r="J3480" t="str">
        <f>IF(H3480="","",IFERROR(VLOOKUP(H3480,Listas!$J$2:$K$1048576,2,FALSE),""))</f>
        <v/>
      </c>
      <c r="K3480" s="5" t="str">
        <f>IF(OR(I3480="",G3480=""),"",IF(G3480="Saída",-I3480,I3480))</f>
        <v/>
      </c>
      <c r="L3480" t="str">
        <f>IF(E3480="","",IFERROR(VLOOKUP(E3480,Listas!$A$2:$C$1048576,3,FALSE),""))</f>
        <v/>
      </c>
    </row>
    <row r="3481" spans="10:12" x14ac:dyDescent="0.25">
      <c r="J3481" t="str">
        <f>IF(H3481="","",IFERROR(VLOOKUP(H3481,Listas!$J$2:$K$1048576,2,FALSE),""))</f>
        <v/>
      </c>
      <c r="K3481" s="5" t="str">
        <f>IF(OR(I3481="",G3481=""),"",IF(G3481="Saída",-I3481,I3481))</f>
        <v/>
      </c>
      <c r="L3481" t="str">
        <f>IF(E3481="","",IFERROR(VLOOKUP(E3481,Listas!$A$2:$C$1048576,3,FALSE),""))</f>
        <v/>
      </c>
    </row>
    <row r="3482" spans="10:12" x14ac:dyDescent="0.25">
      <c r="J3482" t="str">
        <f>IF(H3482="","",IFERROR(VLOOKUP(H3482,Listas!$J$2:$K$1048576,2,FALSE),""))</f>
        <v/>
      </c>
      <c r="K3482" s="5" t="str">
        <f>IF(OR(I3482="",G3482=""),"",IF(G3482="Saída",-I3482,I3482))</f>
        <v/>
      </c>
      <c r="L3482" t="str">
        <f>IF(E3482="","",IFERROR(VLOOKUP(E3482,Listas!$A$2:$C$1048576,3,FALSE),""))</f>
        <v/>
      </c>
    </row>
    <row r="3483" spans="10:12" x14ac:dyDescent="0.25">
      <c r="J3483" t="str">
        <f>IF(H3483="","",IFERROR(VLOOKUP(H3483,Listas!$J$2:$K$1048576,2,FALSE),""))</f>
        <v/>
      </c>
      <c r="K3483" s="5" t="str">
        <f>IF(OR(I3483="",G3483=""),"",IF(G3483="Saída",-I3483,I3483))</f>
        <v/>
      </c>
      <c r="L3483" t="str">
        <f>IF(E3483="","",IFERROR(VLOOKUP(E3483,Listas!$A$2:$C$1048576,3,FALSE),""))</f>
        <v/>
      </c>
    </row>
    <row r="3484" spans="10:12" x14ac:dyDescent="0.25">
      <c r="J3484" t="str">
        <f>IF(H3484="","",IFERROR(VLOOKUP(H3484,Listas!$J$2:$K$1048576,2,FALSE),""))</f>
        <v/>
      </c>
      <c r="K3484" s="5" t="str">
        <f>IF(OR(I3484="",G3484=""),"",IF(G3484="Saída",-I3484,I3484))</f>
        <v/>
      </c>
      <c r="L3484" t="str">
        <f>IF(E3484="","",IFERROR(VLOOKUP(E3484,Listas!$A$2:$C$1048576,3,FALSE),""))</f>
        <v/>
      </c>
    </row>
    <row r="3485" spans="10:12" x14ac:dyDescent="0.25">
      <c r="J3485" t="str">
        <f>IF(H3485="","",IFERROR(VLOOKUP(H3485,Listas!$J$2:$K$1048576,2,FALSE),""))</f>
        <v/>
      </c>
      <c r="K3485" s="5" t="str">
        <f>IF(OR(I3485="",G3485=""),"",IF(G3485="Saída",-I3485,I3485))</f>
        <v/>
      </c>
      <c r="L3485" t="str">
        <f>IF(E3485="","",IFERROR(VLOOKUP(E3485,Listas!$A$2:$C$1048576,3,FALSE),""))</f>
        <v/>
      </c>
    </row>
    <row r="3486" spans="10:12" x14ac:dyDescent="0.25">
      <c r="J3486" t="str">
        <f>IF(H3486="","",IFERROR(VLOOKUP(H3486,Listas!$J$2:$K$1048576,2,FALSE),""))</f>
        <v/>
      </c>
      <c r="K3486" s="5" t="str">
        <f>IF(OR(I3486="",G3486=""),"",IF(G3486="Saída",-I3486,I3486))</f>
        <v/>
      </c>
      <c r="L3486" t="str">
        <f>IF(E3486="","",IFERROR(VLOOKUP(E3486,Listas!$A$2:$C$1048576,3,FALSE),""))</f>
        <v/>
      </c>
    </row>
    <row r="3487" spans="10:12" x14ac:dyDescent="0.25">
      <c r="J3487" t="str">
        <f>IF(H3487="","",IFERROR(VLOOKUP(H3487,Listas!$J$2:$K$1048576,2,FALSE),""))</f>
        <v/>
      </c>
      <c r="K3487" s="5" t="str">
        <f>IF(OR(I3487="",G3487=""),"",IF(G3487="Saída",-I3487,I3487))</f>
        <v/>
      </c>
      <c r="L3487" t="str">
        <f>IF(E3487="","",IFERROR(VLOOKUP(E3487,Listas!$A$2:$C$1048576,3,FALSE),""))</f>
        <v/>
      </c>
    </row>
    <row r="3488" spans="10:12" x14ac:dyDescent="0.25">
      <c r="J3488" t="str">
        <f>IF(H3488="","",IFERROR(VLOOKUP(H3488,Listas!$J$2:$K$1048576,2,FALSE),""))</f>
        <v/>
      </c>
      <c r="K3488" s="5" t="str">
        <f>IF(OR(I3488="",G3488=""),"",IF(G3488="Saída",-I3488,I3488))</f>
        <v/>
      </c>
      <c r="L3488" t="str">
        <f>IF(E3488="","",IFERROR(VLOOKUP(E3488,Listas!$A$2:$C$1048576,3,FALSE),""))</f>
        <v/>
      </c>
    </row>
    <row r="3489" spans="10:12" x14ac:dyDescent="0.25">
      <c r="J3489" t="str">
        <f>IF(H3489="","",IFERROR(VLOOKUP(H3489,Listas!$J$2:$K$1048576,2,FALSE),""))</f>
        <v/>
      </c>
      <c r="K3489" s="5" t="str">
        <f>IF(OR(I3489="",G3489=""),"",IF(G3489="Saída",-I3489,I3489))</f>
        <v/>
      </c>
      <c r="L3489" t="str">
        <f>IF(E3489="","",IFERROR(VLOOKUP(E3489,Listas!$A$2:$C$1048576,3,FALSE),""))</f>
        <v/>
      </c>
    </row>
    <row r="3490" spans="10:12" x14ac:dyDescent="0.25">
      <c r="J3490" t="str">
        <f>IF(H3490="","",IFERROR(VLOOKUP(H3490,Listas!$J$2:$K$1048576,2,FALSE),""))</f>
        <v/>
      </c>
      <c r="K3490" s="5" t="str">
        <f>IF(OR(I3490="",G3490=""),"",IF(G3490="Saída",-I3490,I3490))</f>
        <v/>
      </c>
      <c r="L3490" t="str">
        <f>IF(E3490="","",IFERROR(VLOOKUP(E3490,Listas!$A$2:$C$1048576,3,FALSE),""))</f>
        <v/>
      </c>
    </row>
    <row r="3491" spans="10:12" x14ac:dyDescent="0.25">
      <c r="J3491" t="str">
        <f>IF(H3491="","",IFERROR(VLOOKUP(H3491,Listas!$J$2:$K$1048576,2,FALSE),""))</f>
        <v/>
      </c>
      <c r="K3491" s="5" t="str">
        <f>IF(OR(I3491="",G3491=""),"",IF(G3491="Saída",-I3491,I3491))</f>
        <v/>
      </c>
      <c r="L3491" t="str">
        <f>IF(E3491="","",IFERROR(VLOOKUP(E3491,Listas!$A$2:$C$1048576,3,FALSE),""))</f>
        <v/>
      </c>
    </row>
    <row r="3492" spans="10:12" x14ac:dyDescent="0.25">
      <c r="J3492" t="str">
        <f>IF(H3492="","",IFERROR(VLOOKUP(H3492,Listas!$J$2:$K$1048576,2,FALSE),""))</f>
        <v/>
      </c>
      <c r="K3492" s="5" t="str">
        <f>IF(OR(I3492="",G3492=""),"",IF(G3492="Saída",-I3492,I3492))</f>
        <v/>
      </c>
      <c r="L3492" t="str">
        <f>IF(E3492="","",IFERROR(VLOOKUP(E3492,Listas!$A$2:$C$1048576,3,FALSE),""))</f>
        <v/>
      </c>
    </row>
    <row r="3493" spans="10:12" x14ac:dyDescent="0.25">
      <c r="J3493" t="str">
        <f>IF(H3493="","",IFERROR(VLOOKUP(H3493,Listas!$J$2:$K$1048576,2,FALSE),""))</f>
        <v/>
      </c>
      <c r="K3493" s="5" t="str">
        <f>IF(OR(I3493="",G3493=""),"",IF(G3493="Saída",-I3493,I3493))</f>
        <v/>
      </c>
      <c r="L3493" t="str">
        <f>IF(E3493="","",IFERROR(VLOOKUP(E3493,Listas!$A$2:$C$1048576,3,FALSE),""))</f>
        <v/>
      </c>
    </row>
    <row r="3494" spans="10:12" x14ac:dyDescent="0.25">
      <c r="J3494" t="str">
        <f>IF(H3494="","",IFERROR(VLOOKUP(H3494,Listas!$J$2:$K$1048576,2,FALSE),""))</f>
        <v/>
      </c>
      <c r="K3494" s="5" t="str">
        <f>IF(OR(I3494="",G3494=""),"",IF(G3494="Saída",-I3494,I3494))</f>
        <v/>
      </c>
      <c r="L3494" t="str">
        <f>IF(E3494="","",IFERROR(VLOOKUP(E3494,Listas!$A$2:$C$1048576,3,FALSE),""))</f>
        <v/>
      </c>
    </row>
    <row r="3495" spans="10:12" x14ac:dyDescent="0.25">
      <c r="J3495" t="str">
        <f>IF(H3495="","",IFERROR(VLOOKUP(H3495,Listas!$J$2:$K$1048576,2,FALSE),""))</f>
        <v/>
      </c>
      <c r="K3495" s="5" t="str">
        <f>IF(OR(I3495="",G3495=""),"",IF(G3495="Saída",-I3495,I3495))</f>
        <v/>
      </c>
      <c r="L3495" t="str">
        <f>IF(E3495="","",IFERROR(VLOOKUP(E3495,Listas!$A$2:$C$1048576,3,FALSE),""))</f>
        <v/>
      </c>
    </row>
    <row r="3496" spans="10:12" x14ac:dyDescent="0.25">
      <c r="J3496" t="str">
        <f>IF(H3496="","",IFERROR(VLOOKUP(H3496,Listas!$J$2:$K$1048576,2,FALSE),""))</f>
        <v/>
      </c>
      <c r="K3496" s="5" t="str">
        <f>IF(OR(I3496="",G3496=""),"",IF(G3496="Saída",-I3496,I3496))</f>
        <v/>
      </c>
      <c r="L3496" t="str">
        <f>IF(E3496="","",IFERROR(VLOOKUP(E3496,Listas!$A$2:$C$1048576,3,FALSE),""))</f>
        <v/>
      </c>
    </row>
    <row r="3497" spans="10:12" x14ac:dyDescent="0.25">
      <c r="J3497" t="str">
        <f>IF(H3497="","",IFERROR(VLOOKUP(H3497,Listas!$J$2:$K$1048576,2,FALSE),""))</f>
        <v/>
      </c>
      <c r="K3497" s="5" t="str">
        <f>IF(OR(I3497="",G3497=""),"",IF(G3497="Saída",-I3497,I3497))</f>
        <v/>
      </c>
      <c r="L3497" t="str">
        <f>IF(E3497="","",IFERROR(VLOOKUP(E3497,Listas!$A$2:$C$1048576,3,FALSE),""))</f>
        <v/>
      </c>
    </row>
    <row r="3498" spans="10:12" x14ac:dyDescent="0.25">
      <c r="J3498" t="str">
        <f>IF(H3498="","",IFERROR(VLOOKUP(H3498,Listas!$J$2:$K$1048576,2,FALSE),""))</f>
        <v/>
      </c>
      <c r="K3498" s="5" t="str">
        <f>IF(OR(I3498="",G3498=""),"",IF(G3498="Saída",-I3498,I3498))</f>
        <v/>
      </c>
      <c r="L3498" t="str">
        <f>IF(E3498="","",IFERROR(VLOOKUP(E3498,Listas!$A$2:$C$1048576,3,FALSE),""))</f>
        <v/>
      </c>
    </row>
    <row r="3499" spans="10:12" x14ac:dyDescent="0.25">
      <c r="J3499" t="str">
        <f>IF(H3499="","",IFERROR(VLOOKUP(H3499,Listas!$J$2:$K$1048576,2,FALSE),""))</f>
        <v/>
      </c>
      <c r="K3499" s="5" t="str">
        <f>IF(OR(I3499="",G3499=""),"",IF(G3499="Saída",-I3499,I3499))</f>
        <v/>
      </c>
      <c r="L3499" t="str">
        <f>IF(E3499="","",IFERROR(VLOOKUP(E3499,Listas!$A$2:$C$1048576,3,FALSE),""))</f>
        <v/>
      </c>
    </row>
    <row r="3500" spans="10:12" x14ac:dyDescent="0.25">
      <c r="J3500" t="str">
        <f>IF(H3500="","",IFERROR(VLOOKUP(H3500,Listas!$J$2:$K$1048576,2,FALSE),""))</f>
        <v/>
      </c>
      <c r="K3500" s="5" t="str">
        <f>IF(OR(I3500="",G3500=""),"",IF(G3500="Saída",-I3500,I3500))</f>
        <v/>
      </c>
      <c r="L3500" t="str">
        <f>IF(E3500="","",IFERROR(VLOOKUP(E3500,Listas!$A$2:$C$1048576,3,FALSE),""))</f>
        <v/>
      </c>
    </row>
    <row r="3501" spans="10:12" x14ac:dyDescent="0.25">
      <c r="J3501" t="str">
        <f>IF(H3501="","",IFERROR(VLOOKUP(H3501,Listas!$J$2:$K$1048576,2,FALSE),""))</f>
        <v/>
      </c>
      <c r="K3501" s="5" t="str">
        <f>IF(OR(I3501="",G3501=""),"",IF(G3501="Saída",-I3501,I3501))</f>
        <v/>
      </c>
      <c r="L3501" t="str">
        <f>IF(E3501="","",IFERROR(VLOOKUP(E3501,Listas!$A$2:$C$1048576,3,FALSE),""))</f>
        <v/>
      </c>
    </row>
    <row r="3502" spans="10:12" x14ac:dyDescent="0.25">
      <c r="J3502" t="str">
        <f>IF(H3502="","",IFERROR(VLOOKUP(H3502,Listas!$J$2:$K$1048576,2,FALSE),""))</f>
        <v/>
      </c>
      <c r="K3502" s="5" t="str">
        <f>IF(OR(I3502="",G3502=""),"",IF(G3502="Saída",-I3502,I3502))</f>
        <v/>
      </c>
      <c r="L3502" t="str">
        <f>IF(E3502="","",IFERROR(VLOOKUP(E3502,Listas!$A$2:$C$1048576,3,FALSE),""))</f>
        <v/>
      </c>
    </row>
    <row r="3503" spans="10:12" x14ac:dyDescent="0.25">
      <c r="J3503" t="str">
        <f>IF(H3503="","",IFERROR(VLOOKUP(H3503,Listas!$J$2:$K$1048576,2,FALSE),""))</f>
        <v/>
      </c>
      <c r="K3503" s="5" t="str">
        <f>IF(OR(I3503="",G3503=""),"",IF(G3503="Saída",-I3503,I3503))</f>
        <v/>
      </c>
      <c r="L3503" t="str">
        <f>IF(E3503="","",IFERROR(VLOOKUP(E3503,Listas!$A$2:$C$1048576,3,FALSE),""))</f>
        <v/>
      </c>
    </row>
    <row r="3504" spans="10:12" x14ac:dyDescent="0.25">
      <c r="J3504" t="str">
        <f>IF(H3504="","",IFERROR(VLOOKUP(H3504,Listas!$J$2:$K$1048576,2,FALSE),""))</f>
        <v/>
      </c>
      <c r="K3504" s="5" t="str">
        <f>IF(OR(I3504="",G3504=""),"",IF(G3504="Saída",-I3504,I3504))</f>
        <v/>
      </c>
      <c r="L3504" t="str">
        <f>IF(E3504="","",IFERROR(VLOOKUP(E3504,Listas!$A$2:$C$1048576,3,FALSE),""))</f>
        <v/>
      </c>
    </row>
    <row r="3505" spans="10:12" x14ac:dyDescent="0.25">
      <c r="J3505" t="str">
        <f>IF(H3505="","",IFERROR(VLOOKUP(H3505,Listas!$J$2:$K$1048576,2,FALSE),""))</f>
        <v/>
      </c>
      <c r="K3505" s="5" t="str">
        <f>IF(OR(I3505="",G3505=""),"",IF(G3505="Saída",-I3505,I3505))</f>
        <v/>
      </c>
      <c r="L3505" t="str">
        <f>IF(E3505="","",IFERROR(VLOOKUP(E3505,Listas!$A$2:$C$1048576,3,FALSE),""))</f>
        <v/>
      </c>
    </row>
    <row r="3506" spans="10:12" x14ac:dyDescent="0.25">
      <c r="J3506" t="str">
        <f>IF(H3506="","",IFERROR(VLOOKUP(H3506,Listas!$J$2:$K$1048576,2,FALSE),""))</f>
        <v/>
      </c>
      <c r="K3506" s="5" t="str">
        <f>IF(OR(I3506="",G3506=""),"",IF(G3506="Saída",-I3506,I3506))</f>
        <v/>
      </c>
      <c r="L3506" t="str">
        <f>IF(E3506="","",IFERROR(VLOOKUP(E3506,Listas!$A$2:$C$1048576,3,FALSE),""))</f>
        <v/>
      </c>
    </row>
    <row r="3507" spans="10:12" x14ac:dyDescent="0.25">
      <c r="J3507" t="str">
        <f>IF(H3507="","",IFERROR(VLOOKUP(H3507,Listas!$J$2:$K$1048576,2,FALSE),""))</f>
        <v/>
      </c>
      <c r="K3507" s="5" t="str">
        <f>IF(OR(I3507="",G3507=""),"",IF(G3507="Saída",-I3507,I3507))</f>
        <v/>
      </c>
      <c r="L3507" t="str">
        <f>IF(E3507="","",IFERROR(VLOOKUP(E3507,Listas!$A$2:$C$1048576,3,FALSE),""))</f>
        <v/>
      </c>
    </row>
    <row r="3508" spans="10:12" x14ac:dyDescent="0.25">
      <c r="J3508" t="str">
        <f>IF(H3508="","",IFERROR(VLOOKUP(H3508,Listas!$J$2:$K$1048576,2,FALSE),""))</f>
        <v/>
      </c>
      <c r="K3508" s="5" t="str">
        <f>IF(OR(I3508="",G3508=""),"",IF(G3508="Saída",-I3508,I3508))</f>
        <v/>
      </c>
      <c r="L3508" t="str">
        <f>IF(E3508="","",IFERROR(VLOOKUP(E3508,Listas!$A$2:$C$1048576,3,FALSE),""))</f>
        <v/>
      </c>
    </row>
    <row r="3509" spans="10:12" x14ac:dyDescent="0.25">
      <c r="J3509" t="str">
        <f>IF(H3509="","",IFERROR(VLOOKUP(H3509,Listas!$J$2:$K$1048576,2,FALSE),""))</f>
        <v/>
      </c>
      <c r="K3509" s="5" t="str">
        <f>IF(OR(I3509="",G3509=""),"",IF(G3509="Saída",-I3509,I3509))</f>
        <v/>
      </c>
      <c r="L3509" t="str">
        <f>IF(E3509="","",IFERROR(VLOOKUP(E3509,Listas!$A$2:$C$1048576,3,FALSE),""))</f>
        <v/>
      </c>
    </row>
    <row r="3510" spans="10:12" x14ac:dyDescent="0.25">
      <c r="J3510" t="str">
        <f>IF(H3510="","",IFERROR(VLOOKUP(H3510,Listas!$J$2:$K$1048576,2,FALSE),""))</f>
        <v/>
      </c>
      <c r="K3510" s="5" t="str">
        <f>IF(OR(I3510="",G3510=""),"",IF(G3510="Saída",-I3510,I3510))</f>
        <v/>
      </c>
      <c r="L3510" t="str">
        <f>IF(E3510="","",IFERROR(VLOOKUP(E3510,Listas!$A$2:$C$1048576,3,FALSE),""))</f>
        <v/>
      </c>
    </row>
    <row r="3511" spans="10:12" x14ac:dyDescent="0.25">
      <c r="J3511" t="str">
        <f>IF(H3511="","",IFERROR(VLOOKUP(H3511,Listas!$J$2:$K$1048576,2,FALSE),""))</f>
        <v/>
      </c>
      <c r="K3511" s="5" t="str">
        <f>IF(OR(I3511="",G3511=""),"",IF(G3511="Saída",-I3511,I3511))</f>
        <v/>
      </c>
      <c r="L3511" t="str">
        <f>IF(E3511="","",IFERROR(VLOOKUP(E3511,Listas!$A$2:$C$1048576,3,FALSE),""))</f>
        <v/>
      </c>
    </row>
    <row r="3512" spans="10:12" x14ac:dyDescent="0.25">
      <c r="J3512" t="str">
        <f>IF(H3512="","",IFERROR(VLOOKUP(H3512,Listas!$J$2:$K$1048576,2,FALSE),""))</f>
        <v/>
      </c>
      <c r="K3512" s="5" t="str">
        <f>IF(OR(I3512="",G3512=""),"",IF(G3512="Saída",-I3512,I3512))</f>
        <v/>
      </c>
      <c r="L3512" t="str">
        <f>IF(E3512="","",IFERROR(VLOOKUP(E3512,Listas!$A$2:$C$1048576,3,FALSE),""))</f>
        <v/>
      </c>
    </row>
    <row r="3513" spans="10:12" x14ac:dyDescent="0.25">
      <c r="J3513" t="str">
        <f>IF(H3513="","",IFERROR(VLOOKUP(H3513,Listas!$J$2:$K$1048576,2,FALSE),""))</f>
        <v/>
      </c>
      <c r="K3513" s="5" t="str">
        <f>IF(OR(I3513="",G3513=""),"",IF(G3513="Saída",-I3513,I3513))</f>
        <v/>
      </c>
      <c r="L3513" t="str">
        <f>IF(E3513="","",IFERROR(VLOOKUP(E3513,Listas!$A$2:$C$1048576,3,FALSE),""))</f>
        <v/>
      </c>
    </row>
    <row r="3514" spans="10:12" x14ac:dyDescent="0.25">
      <c r="J3514" t="str">
        <f>IF(H3514="","",IFERROR(VLOOKUP(H3514,Listas!$J$2:$K$1048576,2,FALSE),""))</f>
        <v/>
      </c>
      <c r="K3514" s="5" t="str">
        <f>IF(OR(I3514="",G3514=""),"",IF(G3514="Saída",-I3514,I3514))</f>
        <v/>
      </c>
      <c r="L3514" t="str">
        <f>IF(E3514="","",IFERROR(VLOOKUP(E3514,Listas!$A$2:$C$1048576,3,FALSE),""))</f>
        <v/>
      </c>
    </row>
    <row r="3515" spans="10:12" x14ac:dyDescent="0.25">
      <c r="J3515" t="str">
        <f>IF(H3515="","",IFERROR(VLOOKUP(H3515,Listas!$J$2:$K$1048576,2,FALSE),""))</f>
        <v/>
      </c>
      <c r="K3515" s="5" t="str">
        <f>IF(OR(I3515="",G3515=""),"",IF(G3515="Saída",-I3515,I3515))</f>
        <v/>
      </c>
      <c r="L3515" t="str">
        <f>IF(E3515="","",IFERROR(VLOOKUP(E3515,Listas!$A$2:$C$1048576,3,FALSE),""))</f>
        <v/>
      </c>
    </row>
    <row r="3516" spans="10:12" x14ac:dyDescent="0.25">
      <c r="J3516" t="str">
        <f>IF(H3516="","",IFERROR(VLOOKUP(H3516,Listas!$J$2:$K$1048576,2,FALSE),""))</f>
        <v/>
      </c>
      <c r="K3516" s="5" t="str">
        <f>IF(OR(I3516="",G3516=""),"",IF(G3516="Saída",-I3516,I3516))</f>
        <v/>
      </c>
      <c r="L3516" t="str">
        <f>IF(E3516="","",IFERROR(VLOOKUP(E3516,Listas!$A$2:$C$1048576,3,FALSE),""))</f>
        <v/>
      </c>
    </row>
    <row r="3517" spans="10:12" x14ac:dyDescent="0.25">
      <c r="J3517" t="str">
        <f>IF(H3517="","",IFERROR(VLOOKUP(H3517,Listas!$J$2:$K$1048576,2,FALSE),""))</f>
        <v/>
      </c>
      <c r="K3517" s="5" t="str">
        <f>IF(OR(I3517="",G3517=""),"",IF(G3517="Saída",-I3517,I3517))</f>
        <v/>
      </c>
      <c r="L3517" t="str">
        <f>IF(E3517="","",IFERROR(VLOOKUP(E3517,Listas!$A$2:$C$1048576,3,FALSE),""))</f>
        <v/>
      </c>
    </row>
    <row r="3518" spans="10:12" x14ac:dyDescent="0.25">
      <c r="J3518" t="str">
        <f>IF(H3518="","",IFERROR(VLOOKUP(H3518,Listas!$J$2:$K$1048576,2,FALSE),""))</f>
        <v/>
      </c>
      <c r="K3518" s="5" t="str">
        <f>IF(OR(I3518="",G3518=""),"",IF(G3518="Saída",-I3518,I3518))</f>
        <v/>
      </c>
      <c r="L3518" t="str">
        <f>IF(E3518="","",IFERROR(VLOOKUP(E3518,Listas!$A$2:$C$1048576,3,FALSE),""))</f>
        <v/>
      </c>
    </row>
    <row r="3519" spans="10:12" x14ac:dyDescent="0.25">
      <c r="J3519" t="str">
        <f>IF(H3519="","",IFERROR(VLOOKUP(H3519,Listas!$J$2:$K$1048576,2,FALSE),""))</f>
        <v/>
      </c>
      <c r="K3519" s="5" t="str">
        <f>IF(OR(I3519="",G3519=""),"",IF(G3519="Saída",-I3519,I3519))</f>
        <v/>
      </c>
      <c r="L3519" t="str">
        <f>IF(E3519="","",IFERROR(VLOOKUP(E3519,Listas!$A$2:$C$1048576,3,FALSE),""))</f>
        <v/>
      </c>
    </row>
    <row r="3520" spans="10:12" x14ac:dyDescent="0.25">
      <c r="J3520" t="str">
        <f>IF(H3520="","",IFERROR(VLOOKUP(H3520,Listas!$J$2:$K$1048576,2,FALSE),""))</f>
        <v/>
      </c>
      <c r="K3520" s="5" t="str">
        <f>IF(OR(I3520="",G3520=""),"",IF(G3520="Saída",-I3520,I3520))</f>
        <v/>
      </c>
      <c r="L3520" t="str">
        <f>IF(E3520="","",IFERROR(VLOOKUP(E3520,Listas!$A$2:$C$1048576,3,FALSE),""))</f>
        <v/>
      </c>
    </row>
    <row r="3521" spans="10:12" x14ac:dyDescent="0.25">
      <c r="J3521" t="str">
        <f>IF(H3521="","",IFERROR(VLOOKUP(H3521,Listas!$J$2:$K$1048576,2,FALSE),""))</f>
        <v/>
      </c>
      <c r="K3521" s="5" t="str">
        <f>IF(OR(I3521="",G3521=""),"",IF(G3521="Saída",-I3521,I3521))</f>
        <v/>
      </c>
      <c r="L3521" t="str">
        <f>IF(E3521="","",IFERROR(VLOOKUP(E3521,Listas!$A$2:$C$1048576,3,FALSE),""))</f>
        <v/>
      </c>
    </row>
    <row r="3522" spans="10:12" x14ac:dyDescent="0.25">
      <c r="J3522" t="str">
        <f>IF(H3522="","",IFERROR(VLOOKUP(H3522,Listas!$J$2:$K$1048576,2,FALSE),""))</f>
        <v/>
      </c>
      <c r="K3522" s="5" t="str">
        <f>IF(OR(I3522="",G3522=""),"",IF(G3522="Saída",-I3522,I3522))</f>
        <v/>
      </c>
      <c r="L3522" t="str">
        <f>IF(E3522="","",IFERROR(VLOOKUP(E3522,Listas!$A$2:$C$1048576,3,FALSE),""))</f>
        <v/>
      </c>
    </row>
    <row r="3523" spans="10:12" x14ac:dyDescent="0.25">
      <c r="J3523" t="str">
        <f>IF(H3523="","",IFERROR(VLOOKUP(H3523,Listas!$J$2:$K$1048576,2,FALSE),""))</f>
        <v/>
      </c>
      <c r="K3523" s="5" t="str">
        <f>IF(OR(I3523="",G3523=""),"",IF(G3523="Saída",-I3523,I3523))</f>
        <v/>
      </c>
      <c r="L3523" t="str">
        <f>IF(E3523="","",IFERROR(VLOOKUP(E3523,Listas!$A$2:$C$1048576,3,FALSE),""))</f>
        <v/>
      </c>
    </row>
    <row r="3524" spans="10:12" x14ac:dyDescent="0.25">
      <c r="J3524" t="str">
        <f>IF(H3524="","",IFERROR(VLOOKUP(H3524,Listas!$J$2:$K$1048576,2,FALSE),""))</f>
        <v/>
      </c>
      <c r="K3524" s="5" t="str">
        <f>IF(OR(I3524="",G3524=""),"",IF(G3524="Saída",-I3524,I3524))</f>
        <v/>
      </c>
      <c r="L3524" t="str">
        <f>IF(E3524="","",IFERROR(VLOOKUP(E3524,Listas!$A$2:$C$1048576,3,FALSE),""))</f>
        <v/>
      </c>
    </row>
    <row r="3525" spans="10:12" x14ac:dyDescent="0.25">
      <c r="J3525" t="str">
        <f>IF(H3525="","",IFERROR(VLOOKUP(H3525,Listas!$J$2:$K$1048576,2,FALSE),""))</f>
        <v/>
      </c>
      <c r="K3525" s="5" t="str">
        <f>IF(OR(I3525="",G3525=""),"",IF(G3525="Saída",-I3525,I3525))</f>
        <v/>
      </c>
      <c r="L3525" t="str">
        <f>IF(E3525="","",IFERROR(VLOOKUP(E3525,Listas!$A$2:$C$1048576,3,FALSE),""))</f>
        <v/>
      </c>
    </row>
    <row r="3526" spans="10:12" x14ac:dyDescent="0.25">
      <c r="J3526" t="str">
        <f>IF(H3526="","",IFERROR(VLOOKUP(H3526,Listas!$J$2:$K$1048576,2,FALSE),""))</f>
        <v/>
      </c>
      <c r="K3526" s="5" t="str">
        <f>IF(OR(I3526="",G3526=""),"",IF(G3526="Saída",-I3526,I3526))</f>
        <v/>
      </c>
      <c r="L3526" t="str">
        <f>IF(E3526="","",IFERROR(VLOOKUP(E3526,Listas!$A$2:$C$1048576,3,FALSE),""))</f>
        <v/>
      </c>
    </row>
    <row r="3527" spans="10:12" x14ac:dyDescent="0.25">
      <c r="J3527" t="str">
        <f>IF(H3527="","",IFERROR(VLOOKUP(H3527,Listas!$J$2:$K$1048576,2,FALSE),""))</f>
        <v/>
      </c>
      <c r="K3527" s="5" t="str">
        <f>IF(OR(I3527="",G3527=""),"",IF(G3527="Saída",-I3527,I3527))</f>
        <v/>
      </c>
      <c r="L3527" t="str">
        <f>IF(E3527="","",IFERROR(VLOOKUP(E3527,Listas!$A$2:$C$1048576,3,FALSE),""))</f>
        <v/>
      </c>
    </row>
    <row r="3528" spans="10:12" x14ac:dyDescent="0.25">
      <c r="J3528" t="str">
        <f>IF(H3528="","",IFERROR(VLOOKUP(H3528,Listas!$J$2:$K$1048576,2,FALSE),""))</f>
        <v/>
      </c>
      <c r="K3528" s="5" t="str">
        <f>IF(OR(I3528="",G3528=""),"",IF(G3528="Saída",-I3528,I3528))</f>
        <v/>
      </c>
      <c r="L3528" t="str">
        <f>IF(E3528="","",IFERROR(VLOOKUP(E3528,Listas!$A$2:$C$1048576,3,FALSE),""))</f>
        <v/>
      </c>
    </row>
    <row r="3529" spans="10:12" x14ac:dyDescent="0.25">
      <c r="J3529" t="str">
        <f>IF(H3529="","",IFERROR(VLOOKUP(H3529,Listas!$J$2:$K$1048576,2,FALSE),""))</f>
        <v/>
      </c>
      <c r="K3529" s="5" t="str">
        <f>IF(OR(I3529="",G3529=""),"",IF(G3529="Saída",-I3529,I3529))</f>
        <v/>
      </c>
      <c r="L3529" t="str">
        <f>IF(E3529="","",IFERROR(VLOOKUP(E3529,Listas!$A$2:$C$1048576,3,FALSE),""))</f>
        <v/>
      </c>
    </row>
    <row r="3530" spans="10:12" x14ac:dyDescent="0.25">
      <c r="J3530" t="str">
        <f>IF(H3530="","",IFERROR(VLOOKUP(H3530,Listas!$J$2:$K$1048576,2,FALSE),""))</f>
        <v/>
      </c>
      <c r="K3530" s="5" t="str">
        <f>IF(OR(I3530="",G3530=""),"",IF(G3530="Saída",-I3530,I3530))</f>
        <v/>
      </c>
      <c r="L3530" t="str">
        <f>IF(E3530="","",IFERROR(VLOOKUP(E3530,Listas!$A$2:$C$1048576,3,FALSE),""))</f>
        <v/>
      </c>
    </row>
    <row r="3531" spans="10:12" x14ac:dyDescent="0.25">
      <c r="J3531" t="str">
        <f>IF(H3531="","",IFERROR(VLOOKUP(H3531,Listas!$J$2:$K$1048576,2,FALSE),""))</f>
        <v/>
      </c>
      <c r="K3531" s="5" t="str">
        <f>IF(OR(I3531="",G3531=""),"",IF(G3531="Saída",-I3531,I3531))</f>
        <v/>
      </c>
      <c r="L3531" t="str">
        <f>IF(E3531="","",IFERROR(VLOOKUP(E3531,Listas!$A$2:$C$1048576,3,FALSE),""))</f>
        <v/>
      </c>
    </row>
    <row r="3532" spans="10:12" x14ac:dyDescent="0.25">
      <c r="J3532" t="str">
        <f>IF(H3532="","",IFERROR(VLOOKUP(H3532,Listas!$J$2:$K$1048576,2,FALSE),""))</f>
        <v/>
      </c>
      <c r="K3532" s="5" t="str">
        <f>IF(OR(I3532="",G3532=""),"",IF(G3532="Saída",-I3532,I3532))</f>
        <v/>
      </c>
      <c r="L3532" t="str">
        <f>IF(E3532="","",IFERROR(VLOOKUP(E3532,Listas!$A$2:$C$1048576,3,FALSE),""))</f>
        <v/>
      </c>
    </row>
    <row r="3533" spans="10:12" x14ac:dyDescent="0.25">
      <c r="J3533" t="str">
        <f>IF(H3533="","",IFERROR(VLOOKUP(H3533,Listas!$J$2:$K$1048576,2,FALSE),""))</f>
        <v/>
      </c>
      <c r="K3533" s="5" t="str">
        <f>IF(OR(I3533="",G3533=""),"",IF(G3533="Saída",-I3533,I3533))</f>
        <v/>
      </c>
      <c r="L3533" t="str">
        <f>IF(E3533="","",IFERROR(VLOOKUP(E3533,Listas!$A$2:$C$1048576,3,FALSE),""))</f>
        <v/>
      </c>
    </row>
    <row r="3534" spans="10:12" x14ac:dyDescent="0.25">
      <c r="J3534" t="str">
        <f>IF(H3534="","",IFERROR(VLOOKUP(H3534,Listas!$J$2:$K$1048576,2,FALSE),""))</f>
        <v/>
      </c>
      <c r="K3534" s="5" t="str">
        <f>IF(OR(I3534="",G3534=""),"",IF(G3534="Saída",-I3534,I3534))</f>
        <v/>
      </c>
      <c r="L3534" t="str">
        <f>IF(E3534="","",IFERROR(VLOOKUP(E3534,Listas!$A$2:$C$1048576,3,FALSE),""))</f>
        <v/>
      </c>
    </row>
    <row r="3535" spans="10:12" x14ac:dyDescent="0.25">
      <c r="J3535" t="str">
        <f>IF(H3535="","",IFERROR(VLOOKUP(H3535,Listas!$J$2:$K$1048576,2,FALSE),""))</f>
        <v/>
      </c>
      <c r="K3535" s="5" t="str">
        <f>IF(OR(I3535="",G3535=""),"",IF(G3535="Saída",-I3535,I3535))</f>
        <v/>
      </c>
      <c r="L3535" t="str">
        <f>IF(E3535="","",IFERROR(VLOOKUP(E3535,Listas!$A$2:$C$1048576,3,FALSE),""))</f>
        <v/>
      </c>
    </row>
    <row r="3536" spans="10:12" x14ac:dyDescent="0.25">
      <c r="J3536" t="str">
        <f>IF(H3536="","",IFERROR(VLOOKUP(H3536,Listas!$J$2:$K$1048576,2,FALSE),""))</f>
        <v/>
      </c>
      <c r="K3536" s="5" t="str">
        <f>IF(OR(I3536="",G3536=""),"",IF(G3536="Saída",-I3536,I3536))</f>
        <v/>
      </c>
      <c r="L3536" t="str">
        <f>IF(E3536="","",IFERROR(VLOOKUP(E3536,Listas!$A$2:$C$1048576,3,FALSE),""))</f>
        <v/>
      </c>
    </row>
    <row r="3537" spans="10:12" x14ac:dyDescent="0.25">
      <c r="J3537" t="str">
        <f>IF(H3537="","",IFERROR(VLOOKUP(H3537,Listas!$J$2:$K$1048576,2,FALSE),""))</f>
        <v/>
      </c>
      <c r="K3537" s="5" t="str">
        <f>IF(OR(I3537="",G3537=""),"",IF(G3537="Saída",-I3537,I3537))</f>
        <v/>
      </c>
      <c r="L3537" t="str">
        <f>IF(E3537="","",IFERROR(VLOOKUP(E3537,Listas!$A$2:$C$1048576,3,FALSE),""))</f>
        <v/>
      </c>
    </row>
    <row r="3538" spans="10:12" x14ac:dyDescent="0.25">
      <c r="J3538" t="str">
        <f>IF(H3538="","",IFERROR(VLOOKUP(H3538,Listas!$J$2:$K$1048576,2,FALSE),""))</f>
        <v/>
      </c>
      <c r="K3538" s="5" t="str">
        <f>IF(OR(I3538="",G3538=""),"",IF(G3538="Saída",-I3538,I3538))</f>
        <v/>
      </c>
      <c r="L3538" t="str">
        <f>IF(E3538="","",IFERROR(VLOOKUP(E3538,Listas!$A$2:$C$1048576,3,FALSE),""))</f>
        <v/>
      </c>
    </row>
    <row r="3539" spans="10:12" x14ac:dyDescent="0.25">
      <c r="J3539" t="str">
        <f>IF(H3539="","",IFERROR(VLOOKUP(H3539,Listas!$J$2:$K$1048576,2,FALSE),""))</f>
        <v/>
      </c>
      <c r="K3539" s="5" t="str">
        <f>IF(OR(I3539="",G3539=""),"",IF(G3539="Saída",-I3539,I3539))</f>
        <v/>
      </c>
      <c r="L3539" t="str">
        <f>IF(E3539="","",IFERROR(VLOOKUP(E3539,Listas!$A$2:$C$1048576,3,FALSE),""))</f>
        <v/>
      </c>
    </row>
    <row r="3540" spans="10:12" x14ac:dyDescent="0.25">
      <c r="J3540" t="str">
        <f>IF(H3540="","",IFERROR(VLOOKUP(H3540,Listas!$J$2:$K$1048576,2,FALSE),""))</f>
        <v/>
      </c>
      <c r="K3540" s="5" t="str">
        <f>IF(OR(I3540="",G3540=""),"",IF(G3540="Saída",-I3540,I3540))</f>
        <v/>
      </c>
      <c r="L3540" t="str">
        <f>IF(E3540="","",IFERROR(VLOOKUP(E3540,Listas!$A$2:$C$1048576,3,FALSE),""))</f>
        <v/>
      </c>
    </row>
    <row r="3541" spans="10:12" x14ac:dyDescent="0.25">
      <c r="J3541" t="str">
        <f>IF(H3541="","",IFERROR(VLOOKUP(H3541,Listas!$J$2:$K$1048576,2,FALSE),""))</f>
        <v/>
      </c>
      <c r="K3541" s="5" t="str">
        <f>IF(OR(I3541="",G3541=""),"",IF(G3541="Saída",-I3541,I3541))</f>
        <v/>
      </c>
      <c r="L3541" t="str">
        <f>IF(E3541="","",IFERROR(VLOOKUP(E3541,Listas!$A$2:$C$1048576,3,FALSE),""))</f>
        <v/>
      </c>
    </row>
    <row r="3542" spans="10:12" x14ac:dyDescent="0.25">
      <c r="J3542" t="str">
        <f>IF(H3542="","",IFERROR(VLOOKUP(H3542,Listas!$J$2:$K$1048576,2,FALSE),""))</f>
        <v/>
      </c>
      <c r="K3542" s="5" t="str">
        <f>IF(OR(I3542="",G3542=""),"",IF(G3542="Saída",-I3542,I3542))</f>
        <v/>
      </c>
      <c r="L3542" t="str">
        <f>IF(E3542="","",IFERROR(VLOOKUP(E3542,Listas!$A$2:$C$1048576,3,FALSE),""))</f>
        <v/>
      </c>
    </row>
    <row r="3543" spans="10:12" x14ac:dyDescent="0.25">
      <c r="J3543" t="str">
        <f>IF(H3543="","",IFERROR(VLOOKUP(H3543,Listas!$J$2:$K$1048576,2,FALSE),""))</f>
        <v/>
      </c>
      <c r="K3543" s="5" t="str">
        <f>IF(OR(I3543="",G3543=""),"",IF(G3543="Saída",-I3543,I3543))</f>
        <v/>
      </c>
      <c r="L3543" t="str">
        <f>IF(E3543="","",IFERROR(VLOOKUP(E3543,Listas!$A$2:$C$1048576,3,FALSE),""))</f>
        <v/>
      </c>
    </row>
    <row r="3544" spans="10:12" x14ac:dyDescent="0.25">
      <c r="J3544" t="str">
        <f>IF(H3544="","",IFERROR(VLOOKUP(H3544,Listas!$J$2:$K$1048576,2,FALSE),""))</f>
        <v/>
      </c>
      <c r="K3544" s="5" t="str">
        <f>IF(OR(I3544="",G3544=""),"",IF(G3544="Saída",-I3544,I3544))</f>
        <v/>
      </c>
      <c r="L3544" t="str">
        <f>IF(E3544="","",IFERROR(VLOOKUP(E3544,Listas!$A$2:$C$1048576,3,FALSE),""))</f>
        <v/>
      </c>
    </row>
    <row r="3545" spans="10:12" x14ac:dyDescent="0.25">
      <c r="J3545" t="str">
        <f>IF(H3545="","",IFERROR(VLOOKUP(H3545,Listas!$J$2:$K$1048576,2,FALSE),""))</f>
        <v/>
      </c>
      <c r="K3545" s="5" t="str">
        <f>IF(OR(I3545="",G3545=""),"",IF(G3545="Saída",-I3545,I3545))</f>
        <v/>
      </c>
      <c r="L3545" t="str">
        <f>IF(E3545="","",IFERROR(VLOOKUP(E3545,Listas!$A$2:$C$1048576,3,FALSE),""))</f>
        <v/>
      </c>
    </row>
    <row r="3546" spans="10:12" x14ac:dyDescent="0.25">
      <c r="J3546" t="str">
        <f>IF(H3546="","",IFERROR(VLOOKUP(H3546,Listas!$J$2:$K$1048576,2,FALSE),""))</f>
        <v/>
      </c>
      <c r="K3546" s="5" t="str">
        <f>IF(OR(I3546="",G3546=""),"",IF(G3546="Saída",-I3546,I3546))</f>
        <v/>
      </c>
      <c r="L3546" t="str">
        <f>IF(E3546="","",IFERROR(VLOOKUP(E3546,Listas!$A$2:$C$1048576,3,FALSE),""))</f>
        <v/>
      </c>
    </row>
    <row r="3547" spans="10:12" x14ac:dyDescent="0.25">
      <c r="J3547" t="str">
        <f>IF(H3547="","",IFERROR(VLOOKUP(H3547,Listas!$J$2:$K$1048576,2,FALSE),""))</f>
        <v/>
      </c>
      <c r="K3547" s="5" t="str">
        <f>IF(OR(I3547="",G3547=""),"",IF(G3547="Saída",-I3547,I3547))</f>
        <v/>
      </c>
      <c r="L3547" t="str">
        <f>IF(E3547="","",IFERROR(VLOOKUP(E3547,Listas!$A$2:$C$1048576,3,FALSE),""))</f>
        <v/>
      </c>
    </row>
    <row r="3548" spans="10:12" x14ac:dyDescent="0.25">
      <c r="J3548" t="str">
        <f>IF(H3548="","",IFERROR(VLOOKUP(H3548,Listas!$J$2:$K$1048576,2,FALSE),""))</f>
        <v/>
      </c>
      <c r="K3548" s="5" t="str">
        <f>IF(OR(I3548="",G3548=""),"",IF(G3548="Saída",-I3548,I3548))</f>
        <v/>
      </c>
      <c r="L3548" t="str">
        <f>IF(E3548="","",IFERROR(VLOOKUP(E3548,Listas!$A$2:$C$1048576,3,FALSE),""))</f>
        <v/>
      </c>
    </row>
    <row r="3549" spans="10:12" x14ac:dyDescent="0.25">
      <c r="J3549" t="str">
        <f>IF(H3549="","",IFERROR(VLOOKUP(H3549,Listas!$J$2:$K$1048576,2,FALSE),""))</f>
        <v/>
      </c>
      <c r="K3549" s="5" t="str">
        <f>IF(OR(I3549="",G3549=""),"",IF(G3549="Saída",-I3549,I3549))</f>
        <v/>
      </c>
      <c r="L3549" t="str">
        <f>IF(E3549="","",IFERROR(VLOOKUP(E3549,Listas!$A$2:$C$1048576,3,FALSE),""))</f>
        <v/>
      </c>
    </row>
    <row r="3550" spans="10:12" x14ac:dyDescent="0.25">
      <c r="J3550" t="str">
        <f>IF(H3550="","",IFERROR(VLOOKUP(H3550,Listas!$J$2:$K$1048576,2,FALSE),""))</f>
        <v/>
      </c>
      <c r="K3550" s="5" t="str">
        <f>IF(OR(I3550="",G3550=""),"",IF(G3550="Saída",-I3550,I3550))</f>
        <v/>
      </c>
      <c r="L3550" t="str">
        <f>IF(E3550="","",IFERROR(VLOOKUP(E3550,Listas!$A$2:$C$1048576,3,FALSE),""))</f>
        <v/>
      </c>
    </row>
    <row r="3551" spans="10:12" x14ac:dyDescent="0.25">
      <c r="J3551" t="str">
        <f>IF(H3551="","",IFERROR(VLOOKUP(H3551,Listas!$J$2:$K$1048576,2,FALSE),""))</f>
        <v/>
      </c>
      <c r="K3551" s="5" t="str">
        <f>IF(OR(I3551="",G3551=""),"",IF(G3551="Saída",-I3551,I3551))</f>
        <v/>
      </c>
      <c r="L3551" t="str">
        <f>IF(E3551="","",IFERROR(VLOOKUP(E3551,Listas!$A$2:$C$1048576,3,FALSE),""))</f>
        <v/>
      </c>
    </row>
    <row r="3552" spans="10:12" x14ac:dyDescent="0.25">
      <c r="J3552" t="str">
        <f>IF(H3552="","",IFERROR(VLOOKUP(H3552,Listas!$J$2:$K$1048576,2,FALSE),""))</f>
        <v/>
      </c>
      <c r="K3552" s="5" t="str">
        <f>IF(OR(I3552="",G3552=""),"",IF(G3552="Saída",-I3552,I3552))</f>
        <v/>
      </c>
      <c r="L3552" t="str">
        <f>IF(E3552="","",IFERROR(VLOOKUP(E3552,Listas!$A$2:$C$1048576,3,FALSE),""))</f>
        <v/>
      </c>
    </row>
    <row r="3553" spans="10:12" x14ac:dyDescent="0.25">
      <c r="J3553" t="str">
        <f>IF(H3553="","",IFERROR(VLOOKUP(H3553,Listas!$J$2:$K$1048576,2,FALSE),""))</f>
        <v/>
      </c>
      <c r="K3553" s="5" t="str">
        <f>IF(OR(I3553="",G3553=""),"",IF(G3553="Saída",-I3553,I3553))</f>
        <v/>
      </c>
      <c r="L3553" t="str">
        <f>IF(E3553="","",IFERROR(VLOOKUP(E3553,Listas!$A$2:$C$1048576,3,FALSE),""))</f>
        <v/>
      </c>
    </row>
    <row r="3554" spans="10:12" x14ac:dyDescent="0.25">
      <c r="J3554" t="str">
        <f>IF(H3554="","",IFERROR(VLOOKUP(H3554,Listas!$J$2:$K$1048576,2,FALSE),""))</f>
        <v/>
      </c>
      <c r="K3554" s="5" t="str">
        <f>IF(OR(I3554="",G3554=""),"",IF(G3554="Saída",-I3554,I3554))</f>
        <v/>
      </c>
      <c r="L3554" t="str">
        <f>IF(E3554="","",IFERROR(VLOOKUP(E3554,Listas!$A$2:$C$1048576,3,FALSE),""))</f>
        <v/>
      </c>
    </row>
    <row r="3555" spans="10:12" x14ac:dyDescent="0.25">
      <c r="J3555" t="str">
        <f>IF(H3555="","",IFERROR(VLOOKUP(H3555,Listas!$J$2:$K$1048576,2,FALSE),""))</f>
        <v/>
      </c>
      <c r="K3555" s="5" t="str">
        <f>IF(OR(I3555="",G3555=""),"",IF(G3555="Saída",-I3555,I3555))</f>
        <v/>
      </c>
      <c r="L3555" t="str">
        <f>IF(E3555="","",IFERROR(VLOOKUP(E3555,Listas!$A$2:$C$1048576,3,FALSE),""))</f>
        <v/>
      </c>
    </row>
    <row r="3556" spans="10:12" x14ac:dyDescent="0.25">
      <c r="J3556" t="str">
        <f>IF(H3556="","",IFERROR(VLOOKUP(H3556,Listas!$J$2:$K$1048576,2,FALSE),""))</f>
        <v/>
      </c>
      <c r="K3556" s="5" t="str">
        <f>IF(OR(I3556="",G3556=""),"",IF(G3556="Saída",-I3556,I3556))</f>
        <v/>
      </c>
      <c r="L3556" t="str">
        <f>IF(E3556="","",IFERROR(VLOOKUP(E3556,Listas!$A$2:$C$1048576,3,FALSE),""))</f>
        <v/>
      </c>
    </row>
    <row r="3557" spans="10:12" x14ac:dyDescent="0.25">
      <c r="J3557" t="str">
        <f>IF(H3557="","",IFERROR(VLOOKUP(H3557,Listas!$J$2:$K$1048576,2,FALSE),""))</f>
        <v/>
      </c>
      <c r="K3557" s="5" t="str">
        <f>IF(OR(I3557="",G3557=""),"",IF(G3557="Saída",-I3557,I3557))</f>
        <v/>
      </c>
      <c r="L3557" t="str">
        <f>IF(E3557="","",IFERROR(VLOOKUP(E3557,Listas!$A$2:$C$1048576,3,FALSE),""))</f>
        <v/>
      </c>
    </row>
    <row r="3558" spans="10:12" x14ac:dyDescent="0.25">
      <c r="J3558" t="str">
        <f>IF(H3558="","",IFERROR(VLOOKUP(H3558,Listas!$J$2:$K$1048576,2,FALSE),""))</f>
        <v/>
      </c>
      <c r="K3558" s="5" t="str">
        <f>IF(OR(I3558="",G3558=""),"",IF(G3558="Saída",-I3558,I3558))</f>
        <v/>
      </c>
      <c r="L3558" t="str">
        <f>IF(E3558="","",IFERROR(VLOOKUP(E3558,Listas!$A$2:$C$1048576,3,FALSE),""))</f>
        <v/>
      </c>
    </row>
    <row r="3559" spans="10:12" x14ac:dyDescent="0.25">
      <c r="J3559" t="str">
        <f>IF(H3559="","",IFERROR(VLOOKUP(H3559,Listas!$J$2:$K$1048576,2,FALSE),""))</f>
        <v/>
      </c>
      <c r="K3559" s="5" t="str">
        <f>IF(OR(I3559="",G3559=""),"",IF(G3559="Saída",-I3559,I3559))</f>
        <v/>
      </c>
      <c r="L3559" t="str">
        <f>IF(E3559="","",IFERROR(VLOOKUP(E3559,Listas!$A$2:$C$1048576,3,FALSE),""))</f>
        <v/>
      </c>
    </row>
    <row r="3560" spans="10:12" x14ac:dyDescent="0.25">
      <c r="J3560" t="str">
        <f>IF(H3560="","",IFERROR(VLOOKUP(H3560,Listas!$J$2:$K$1048576,2,FALSE),""))</f>
        <v/>
      </c>
      <c r="K3560" s="5" t="str">
        <f>IF(OR(I3560="",G3560=""),"",IF(G3560="Saída",-I3560,I3560))</f>
        <v/>
      </c>
      <c r="L3560" t="str">
        <f>IF(E3560="","",IFERROR(VLOOKUP(E3560,Listas!$A$2:$C$1048576,3,FALSE),""))</f>
        <v/>
      </c>
    </row>
    <row r="3561" spans="10:12" x14ac:dyDescent="0.25">
      <c r="J3561" t="str">
        <f>IF(H3561="","",IFERROR(VLOOKUP(H3561,Listas!$J$2:$K$1048576,2,FALSE),""))</f>
        <v/>
      </c>
      <c r="K3561" s="5" t="str">
        <f>IF(OR(I3561="",G3561=""),"",IF(G3561="Saída",-I3561,I3561))</f>
        <v/>
      </c>
      <c r="L3561" t="str">
        <f>IF(E3561="","",IFERROR(VLOOKUP(E3561,Listas!$A$2:$C$1048576,3,FALSE),""))</f>
        <v/>
      </c>
    </row>
    <row r="3562" spans="10:12" x14ac:dyDescent="0.25">
      <c r="J3562" t="str">
        <f>IF(H3562="","",IFERROR(VLOOKUP(H3562,Listas!$J$2:$K$1048576,2,FALSE),""))</f>
        <v/>
      </c>
      <c r="K3562" s="5" t="str">
        <f>IF(OR(I3562="",G3562=""),"",IF(G3562="Saída",-I3562,I3562))</f>
        <v/>
      </c>
      <c r="L3562" t="str">
        <f>IF(E3562="","",IFERROR(VLOOKUP(E3562,Listas!$A$2:$C$1048576,3,FALSE),""))</f>
        <v/>
      </c>
    </row>
    <row r="3563" spans="10:12" x14ac:dyDescent="0.25">
      <c r="J3563" t="str">
        <f>IF(H3563="","",IFERROR(VLOOKUP(H3563,Listas!$J$2:$K$1048576,2,FALSE),""))</f>
        <v/>
      </c>
      <c r="K3563" s="5" t="str">
        <f>IF(OR(I3563="",G3563=""),"",IF(G3563="Saída",-I3563,I3563))</f>
        <v/>
      </c>
      <c r="L3563" t="str">
        <f>IF(E3563="","",IFERROR(VLOOKUP(E3563,Listas!$A$2:$C$1048576,3,FALSE),""))</f>
        <v/>
      </c>
    </row>
    <row r="3564" spans="10:12" x14ac:dyDescent="0.25">
      <c r="J3564" t="str">
        <f>IF(H3564="","",IFERROR(VLOOKUP(H3564,Listas!$J$2:$K$1048576,2,FALSE),""))</f>
        <v/>
      </c>
      <c r="K3564" s="5" t="str">
        <f>IF(OR(I3564="",G3564=""),"",IF(G3564="Saída",-I3564,I3564))</f>
        <v/>
      </c>
      <c r="L3564" t="str">
        <f>IF(E3564="","",IFERROR(VLOOKUP(E3564,Listas!$A$2:$C$1048576,3,FALSE),""))</f>
        <v/>
      </c>
    </row>
    <row r="3565" spans="10:12" x14ac:dyDescent="0.25">
      <c r="J3565" t="str">
        <f>IF(H3565="","",IFERROR(VLOOKUP(H3565,Listas!$J$2:$K$1048576,2,FALSE),""))</f>
        <v/>
      </c>
      <c r="K3565" s="5" t="str">
        <f>IF(OR(I3565="",G3565=""),"",IF(G3565="Saída",-I3565,I3565))</f>
        <v/>
      </c>
      <c r="L3565" t="str">
        <f>IF(E3565="","",IFERROR(VLOOKUP(E3565,Listas!$A$2:$C$1048576,3,FALSE),""))</f>
        <v/>
      </c>
    </row>
    <row r="3566" spans="10:12" x14ac:dyDescent="0.25">
      <c r="J3566" t="str">
        <f>IF(H3566="","",IFERROR(VLOOKUP(H3566,Listas!$J$2:$K$1048576,2,FALSE),""))</f>
        <v/>
      </c>
      <c r="K3566" s="5" t="str">
        <f>IF(OR(I3566="",G3566=""),"",IF(G3566="Saída",-I3566,I3566))</f>
        <v/>
      </c>
      <c r="L3566" t="str">
        <f>IF(E3566="","",IFERROR(VLOOKUP(E3566,Listas!$A$2:$C$1048576,3,FALSE),""))</f>
        <v/>
      </c>
    </row>
    <row r="3567" spans="10:12" x14ac:dyDescent="0.25">
      <c r="J3567" t="str">
        <f>IF(H3567="","",IFERROR(VLOOKUP(H3567,Listas!$J$2:$K$1048576,2,FALSE),""))</f>
        <v/>
      </c>
      <c r="K3567" s="5" t="str">
        <f>IF(OR(I3567="",G3567=""),"",IF(G3567="Saída",-I3567,I3567))</f>
        <v/>
      </c>
      <c r="L3567" t="str">
        <f>IF(E3567="","",IFERROR(VLOOKUP(E3567,Listas!$A$2:$C$1048576,3,FALSE),""))</f>
        <v/>
      </c>
    </row>
    <row r="3568" spans="10:12" x14ac:dyDescent="0.25">
      <c r="J3568" t="str">
        <f>IF(H3568="","",IFERROR(VLOOKUP(H3568,Listas!$J$2:$K$1048576,2,FALSE),""))</f>
        <v/>
      </c>
      <c r="K3568" s="5" t="str">
        <f>IF(OR(I3568="",G3568=""),"",IF(G3568="Saída",-I3568,I3568))</f>
        <v/>
      </c>
      <c r="L3568" t="str">
        <f>IF(E3568="","",IFERROR(VLOOKUP(E3568,Listas!$A$2:$C$1048576,3,FALSE),""))</f>
        <v/>
      </c>
    </row>
    <row r="3569" spans="10:12" x14ac:dyDescent="0.25">
      <c r="J3569" t="str">
        <f>IF(H3569="","",IFERROR(VLOOKUP(H3569,Listas!$J$2:$K$1048576,2,FALSE),""))</f>
        <v/>
      </c>
      <c r="K3569" s="5" t="str">
        <f>IF(OR(I3569="",G3569=""),"",IF(G3569="Saída",-I3569,I3569))</f>
        <v/>
      </c>
      <c r="L3569" t="str">
        <f>IF(E3569="","",IFERROR(VLOOKUP(E3569,Listas!$A$2:$C$1048576,3,FALSE),""))</f>
        <v/>
      </c>
    </row>
    <row r="3570" spans="10:12" x14ac:dyDescent="0.25">
      <c r="J3570" t="str">
        <f>IF(H3570="","",IFERROR(VLOOKUP(H3570,Listas!$J$2:$K$1048576,2,FALSE),""))</f>
        <v/>
      </c>
      <c r="K3570" s="5" t="str">
        <f>IF(OR(I3570="",G3570=""),"",IF(G3570="Saída",-I3570,I3570))</f>
        <v/>
      </c>
      <c r="L3570" t="str">
        <f>IF(E3570="","",IFERROR(VLOOKUP(E3570,Listas!$A$2:$C$1048576,3,FALSE),""))</f>
        <v/>
      </c>
    </row>
    <row r="3571" spans="10:12" x14ac:dyDescent="0.25">
      <c r="J3571" t="str">
        <f>IF(H3571="","",IFERROR(VLOOKUP(H3571,Listas!$J$2:$K$1048576,2,FALSE),""))</f>
        <v/>
      </c>
      <c r="K3571" s="5" t="str">
        <f>IF(OR(I3571="",G3571=""),"",IF(G3571="Saída",-I3571,I3571))</f>
        <v/>
      </c>
      <c r="L3571" t="str">
        <f>IF(E3571="","",IFERROR(VLOOKUP(E3571,Listas!$A$2:$C$1048576,3,FALSE),""))</f>
        <v/>
      </c>
    </row>
    <row r="3572" spans="10:12" x14ac:dyDescent="0.25">
      <c r="J3572" t="str">
        <f>IF(H3572="","",IFERROR(VLOOKUP(H3572,Listas!$J$2:$K$1048576,2,FALSE),""))</f>
        <v/>
      </c>
      <c r="K3572" s="5" t="str">
        <f>IF(OR(I3572="",G3572=""),"",IF(G3572="Saída",-I3572,I3572))</f>
        <v/>
      </c>
      <c r="L3572" t="str">
        <f>IF(E3572="","",IFERROR(VLOOKUP(E3572,Listas!$A$2:$C$1048576,3,FALSE),""))</f>
        <v/>
      </c>
    </row>
    <row r="3573" spans="10:12" x14ac:dyDescent="0.25">
      <c r="J3573" t="str">
        <f>IF(H3573="","",IFERROR(VLOOKUP(H3573,Listas!$J$2:$K$1048576,2,FALSE),""))</f>
        <v/>
      </c>
      <c r="K3573" s="5" t="str">
        <f>IF(OR(I3573="",G3573=""),"",IF(G3573="Saída",-I3573,I3573))</f>
        <v/>
      </c>
      <c r="L3573" t="str">
        <f>IF(E3573="","",IFERROR(VLOOKUP(E3573,Listas!$A$2:$C$1048576,3,FALSE),""))</f>
        <v/>
      </c>
    </row>
    <row r="3574" spans="10:12" x14ac:dyDescent="0.25">
      <c r="J3574" t="str">
        <f>IF(H3574="","",IFERROR(VLOOKUP(H3574,Listas!$J$2:$K$1048576,2,FALSE),""))</f>
        <v/>
      </c>
      <c r="K3574" s="5" t="str">
        <f>IF(OR(I3574="",G3574=""),"",IF(G3574="Saída",-I3574,I3574))</f>
        <v/>
      </c>
      <c r="L3574" t="str">
        <f>IF(E3574="","",IFERROR(VLOOKUP(E3574,Listas!$A$2:$C$1048576,3,FALSE),""))</f>
        <v/>
      </c>
    </row>
    <row r="3575" spans="10:12" x14ac:dyDescent="0.25">
      <c r="J3575" t="str">
        <f>IF(H3575="","",IFERROR(VLOOKUP(H3575,Listas!$J$2:$K$1048576,2,FALSE),""))</f>
        <v/>
      </c>
      <c r="K3575" s="5" t="str">
        <f>IF(OR(I3575="",G3575=""),"",IF(G3575="Saída",-I3575,I3575))</f>
        <v/>
      </c>
      <c r="L3575" t="str">
        <f>IF(E3575="","",IFERROR(VLOOKUP(E3575,Listas!$A$2:$C$1048576,3,FALSE),""))</f>
        <v/>
      </c>
    </row>
    <row r="3576" spans="10:12" x14ac:dyDescent="0.25">
      <c r="J3576" t="str">
        <f>IF(H3576="","",IFERROR(VLOOKUP(H3576,Listas!$J$2:$K$1048576,2,FALSE),""))</f>
        <v/>
      </c>
      <c r="K3576" s="5" t="str">
        <f>IF(OR(I3576="",G3576=""),"",IF(G3576="Saída",-I3576,I3576))</f>
        <v/>
      </c>
      <c r="L3576" t="str">
        <f>IF(E3576="","",IFERROR(VLOOKUP(E3576,Listas!$A$2:$C$1048576,3,FALSE),""))</f>
        <v/>
      </c>
    </row>
    <row r="3577" spans="10:12" x14ac:dyDescent="0.25">
      <c r="J3577" t="str">
        <f>IF(H3577="","",IFERROR(VLOOKUP(H3577,Listas!$J$2:$K$1048576,2,FALSE),""))</f>
        <v/>
      </c>
      <c r="K3577" s="5" t="str">
        <f>IF(OR(I3577="",G3577=""),"",IF(G3577="Saída",-I3577,I3577))</f>
        <v/>
      </c>
      <c r="L3577" t="str">
        <f>IF(E3577="","",IFERROR(VLOOKUP(E3577,Listas!$A$2:$C$1048576,3,FALSE),""))</f>
        <v/>
      </c>
    </row>
    <row r="3578" spans="10:12" x14ac:dyDescent="0.25">
      <c r="J3578" t="str">
        <f>IF(H3578="","",IFERROR(VLOOKUP(H3578,Listas!$J$2:$K$1048576,2,FALSE),""))</f>
        <v/>
      </c>
      <c r="K3578" s="5" t="str">
        <f>IF(OR(I3578="",G3578=""),"",IF(G3578="Saída",-I3578,I3578))</f>
        <v/>
      </c>
      <c r="L3578" t="str">
        <f>IF(E3578="","",IFERROR(VLOOKUP(E3578,Listas!$A$2:$C$1048576,3,FALSE),""))</f>
        <v/>
      </c>
    </row>
    <row r="3579" spans="10:12" x14ac:dyDescent="0.25">
      <c r="J3579" t="str">
        <f>IF(H3579="","",IFERROR(VLOOKUP(H3579,Listas!$J$2:$K$1048576,2,FALSE),""))</f>
        <v/>
      </c>
      <c r="K3579" s="5" t="str">
        <f>IF(OR(I3579="",G3579=""),"",IF(G3579="Saída",-I3579,I3579))</f>
        <v/>
      </c>
      <c r="L3579" t="str">
        <f>IF(E3579="","",IFERROR(VLOOKUP(E3579,Listas!$A$2:$C$1048576,3,FALSE),""))</f>
        <v/>
      </c>
    </row>
    <row r="3580" spans="10:12" x14ac:dyDescent="0.25">
      <c r="J3580" t="str">
        <f>IF(H3580="","",IFERROR(VLOOKUP(H3580,Listas!$J$2:$K$1048576,2,FALSE),""))</f>
        <v/>
      </c>
      <c r="K3580" s="5" t="str">
        <f>IF(OR(I3580="",G3580=""),"",IF(G3580="Saída",-I3580,I3580))</f>
        <v/>
      </c>
      <c r="L3580" t="str">
        <f>IF(E3580="","",IFERROR(VLOOKUP(E3580,Listas!$A$2:$C$1048576,3,FALSE),""))</f>
        <v/>
      </c>
    </row>
    <row r="3581" spans="10:12" x14ac:dyDescent="0.25">
      <c r="J3581" t="str">
        <f>IF(H3581="","",IFERROR(VLOOKUP(H3581,Listas!$J$2:$K$1048576,2,FALSE),""))</f>
        <v/>
      </c>
      <c r="K3581" s="5" t="str">
        <f>IF(OR(I3581="",G3581=""),"",IF(G3581="Saída",-I3581,I3581))</f>
        <v/>
      </c>
      <c r="L3581" t="str">
        <f>IF(E3581="","",IFERROR(VLOOKUP(E3581,Listas!$A$2:$C$1048576,3,FALSE),""))</f>
        <v/>
      </c>
    </row>
    <row r="3582" spans="10:12" x14ac:dyDescent="0.25">
      <c r="J3582" t="str">
        <f>IF(H3582="","",IFERROR(VLOOKUP(H3582,Listas!$J$2:$K$1048576,2,FALSE),""))</f>
        <v/>
      </c>
      <c r="K3582" s="5" t="str">
        <f>IF(OR(I3582="",G3582=""),"",IF(G3582="Saída",-I3582,I3582))</f>
        <v/>
      </c>
      <c r="L3582" t="str">
        <f>IF(E3582="","",IFERROR(VLOOKUP(E3582,Listas!$A$2:$C$1048576,3,FALSE),""))</f>
        <v/>
      </c>
    </row>
    <row r="3583" spans="10:12" x14ac:dyDescent="0.25">
      <c r="J3583" t="str">
        <f>IF(H3583="","",IFERROR(VLOOKUP(H3583,Listas!$J$2:$K$1048576,2,FALSE),""))</f>
        <v/>
      </c>
      <c r="K3583" s="5" t="str">
        <f>IF(OR(I3583="",G3583=""),"",IF(G3583="Saída",-I3583,I3583))</f>
        <v/>
      </c>
      <c r="L3583" t="str">
        <f>IF(E3583="","",IFERROR(VLOOKUP(E3583,Listas!$A$2:$C$1048576,3,FALSE),""))</f>
        <v/>
      </c>
    </row>
    <row r="3584" spans="10:12" x14ac:dyDescent="0.25">
      <c r="J3584" t="str">
        <f>IF(H3584="","",IFERROR(VLOOKUP(H3584,Listas!$J$2:$K$1048576,2,FALSE),""))</f>
        <v/>
      </c>
      <c r="K3584" s="5" t="str">
        <f>IF(OR(I3584="",G3584=""),"",IF(G3584="Saída",-I3584,I3584))</f>
        <v/>
      </c>
      <c r="L3584" t="str">
        <f>IF(E3584="","",IFERROR(VLOOKUP(E3584,Listas!$A$2:$C$1048576,3,FALSE),""))</f>
        <v/>
      </c>
    </row>
    <row r="3585" spans="10:12" x14ac:dyDescent="0.25">
      <c r="J3585" t="str">
        <f>IF(H3585="","",IFERROR(VLOOKUP(H3585,Listas!$J$2:$K$1048576,2,FALSE),""))</f>
        <v/>
      </c>
      <c r="K3585" s="5" t="str">
        <f>IF(OR(I3585="",G3585=""),"",IF(G3585="Saída",-I3585,I3585))</f>
        <v/>
      </c>
      <c r="L3585" t="str">
        <f>IF(E3585="","",IFERROR(VLOOKUP(E3585,Listas!$A$2:$C$1048576,3,FALSE),""))</f>
        <v/>
      </c>
    </row>
    <row r="3586" spans="10:12" x14ac:dyDescent="0.25">
      <c r="J3586" t="str">
        <f>IF(H3586="","",IFERROR(VLOOKUP(H3586,Listas!$J$2:$K$1048576,2,FALSE),""))</f>
        <v/>
      </c>
      <c r="K3586" s="5" t="str">
        <f>IF(OR(I3586="",G3586=""),"",IF(G3586="Saída",-I3586,I3586))</f>
        <v/>
      </c>
      <c r="L3586" t="str">
        <f>IF(E3586="","",IFERROR(VLOOKUP(E3586,Listas!$A$2:$C$1048576,3,FALSE),""))</f>
        <v/>
      </c>
    </row>
    <row r="3587" spans="10:12" x14ac:dyDescent="0.25">
      <c r="J3587" t="str">
        <f>IF(H3587="","",IFERROR(VLOOKUP(H3587,Listas!$J$2:$K$1048576,2,FALSE),""))</f>
        <v/>
      </c>
      <c r="K3587" s="5" t="str">
        <f>IF(OR(I3587="",G3587=""),"",IF(G3587="Saída",-I3587,I3587))</f>
        <v/>
      </c>
      <c r="L3587" t="str">
        <f>IF(E3587="","",IFERROR(VLOOKUP(E3587,Listas!$A$2:$C$1048576,3,FALSE),""))</f>
        <v/>
      </c>
    </row>
    <row r="3588" spans="10:12" x14ac:dyDescent="0.25">
      <c r="J3588" t="str">
        <f>IF(H3588="","",IFERROR(VLOOKUP(H3588,Listas!$J$2:$K$1048576,2,FALSE),""))</f>
        <v/>
      </c>
      <c r="K3588" s="5" t="str">
        <f>IF(OR(I3588="",G3588=""),"",IF(G3588="Saída",-I3588,I3588))</f>
        <v/>
      </c>
      <c r="L3588" t="str">
        <f>IF(E3588="","",IFERROR(VLOOKUP(E3588,Listas!$A$2:$C$1048576,3,FALSE),""))</f>
        <v/>
      </c>
    </row>
    <row r="3589" spans="10:12" x14ac:dyDescent="0.25">
      <c r="J3589" t="str">
        <f>IF(H3589="","",IFERROR(VLOOKUP(H3589,Listas!$J$2:$K$1048576,2,FALSE),""))</f>
        <v/>
      </c>
      <c r="K3589" s="5" t="str">
        <f>IF(OR(I3589="",G3589=""),"",IF(G3589="Saída",-I3589,I3589))</f>
        <v/>
      </c>
      <c r="L3589" t="str">
        <f>IF(E3589="","",IFERROR(VLOOKUP(E3589,Listas!$A$2:$C$1048576,3,FALSE),""))</f>
        <v/>
      </c>
    </row>
    <row r="3590" spans="10:12" x14ac:dyDescent="0.25">
      <c r="J3590" t="str">
        <f>IF(H3590="","",IFERROR(VLOOKUP(H3590,Listas!$J$2:$K$1048576,2,FALSE),""))</f>
        <v/>
      </c>
      <c r="K3590" s="5" t="str">
        <f>IF(OR(I3590="",G3590=""),"",IF(G3590="Saída",-I3590,I3590))</f>
        <v/>
      </c>
      <c r="L3590" t="str">
        <f>IF(E3590="","",IFERROR(VLOOKUP(E3590,Listas!$A$2:$C$1048576,3,FALSE),""))</f>
        <v/>
      </c>
    </row>
    <row r="3591" spans="10:12" x14ac:dyDescent="0.25">
      <c r="J3591" t="str">
        <f>IF(H3591="","",IFERROR(VLOOKUP(H3591,Listas!$J$2:$K$1048576,2,FALSE),""))</f>
        <v/>
      </c>
      <c r="K3591" s="5" t="str">
        <f>IF(OR(I3591="",G3591=""),"",IF(G3591="Saída",-I3591,I3591))</f>
        <v/>
      </c>
      <c r="L3591" t="str">
        <f>IF(E3591="","",IFERROR(VLOOKUP(E3591,Listas!$A$2:$C$1048576,3,FALSE),""))</f>
        <v/>
      </c>
    </row>
    <row r="3592" spans="10:12" x14ac:dyDescent="0.25">
      <c r="J3592" t="str">
        <f>IF(H3592="","",IFERROR(VLOOKUP(H3592,Listas!$J$2:$K$1048576,2,FALSE),""))</f>
        <v/>
      </c>
      <c r="K3592" s="5" t="str">
        <f>IF(OR(I3592="",G3592=""),"",IF(G3592="Saída",-I3592,I3592))</f>
        <v/>
      </c>
      <c r="L3592" t="str">
        <f>IF(E3592="","",IFERROR(VLOOKUP(E3592,Listas!$A$2:$C$1048576,3,FALSE),""))</f>
        <v/>
      </c>
    </row>
    <row r="3593" spans="10:12" x14ac:dyDescent="0.25">
      <c r="J3593" t="str">
        <f>IF(H3593="","",IFERROR(VLOOKUP(H3593,Listas!$J$2:$K$1048576,2,FALSE),""))</f>
        <v/>
      </c>
      <c r="K3593" s="5" t="str">
        <f>IF(OR(I3593="",G3593=""),"",IF(G3593="Saída",-I3593,I3593))</f>
        <v/>
      </c>
      <c r="L3593" t="str">
        <f>IF(E3593="","",IFERROR(VLOOKUP(E3593,Listas!$A$2:$C$1048576,3,FALSE),""))</f>
        <v/>
      </c>
    </row>
    <row r="3594" spans="10:12" x14ac:dyDescent="0.25">
      <c r="J3594" t="str">
        <f>IF(H3594="","",IFERROR(VLOOKUP(H3594,Listas!$J$2:$K$1048576,2,FALSE),""))</f>
        <v/>
      </c>
      <c r="K3594" s="5" t="str">
        <f>IF(OR(I3594="",G3594=""),"",IF(G3594="Saída",-I3594,I3594))</f>
        <v/>
      </c>
      <c r="L3594" t="str">
        <f>IF(E3594="","",IFERROR(VLOOKUP(E3594,Listas!$A$2:$C$1048576,3,FALSE),""))</f>
        <v/>
      </c>
    </row>
    <row r="3595" spans="10:12" x14ac:dyDescent="0.25">
      <c r="J3595" t="str">
        <f>IF(H3595="","",IFERROR(VLOOKUP(H3595,Listas!$J$2:$K$1048576,2,FALSE),""))</f>
        <v/>
      </c>
      <c r="K3595" s="5" t="str">
        <f>IF(OR(I3595="",G3595=""),"",IF(G3595="Saída",-I3595,I3595))</f>
        <v/>
      </c>
      <c r="L3595" t="str">
        <f>IF(E3595="","",IFERROR(VLOOKUP(E3595,Listas!$A$2:$C$1048576,3,FALSE),""))</f>
        <v/>
      </c>
    </row>
    <row r="3596" spans="10:12" x14ac:dyDescent="0.25">
      <c r="J3596" t="str">
        <f>IF(H3596="","",IFERROR(VLOOKUP(H3596,Listas!$J$2:$K$1048576,2,FALSE),""))</f>
        <v/>
      </c>
      <c r="K3596" s="5" t="str">
        <f>IF(OR(I3596="",G3596=""),"",IF(G3596="Saída",-I3596,I3596))</f>
        <v/>
      </c>
      <c r="L3596" t="str">
        <f>IF(E3596="","",IFERROR(VLOOKUP(E3596,Listas!$A$2:$C$1048576,3,FALSE),""))</f>
        <v/>
      </c>
    </row>
    <row r="3597" spans="10:12" x14ac:dyDescent="0.25">
      <c r="J3597" t="str">
        <f>IF(H3597="","",IFERROR(VLOOKUP(H3597,Listas!$J$2:$K$1048576,2,FALSE),""))</f>
        <v/>
      </c>
      <c r="K3597" s="5" t="str">
        <f>IF(OR(I3597="",G3597=""),"",IF(G3597="Saída",-I3597,I3597))</f>
        <v/>
      </c>
      <c r="L3597" t="str">
        <f>IF(E3597="","",IFERROR(VLOOKUP(E3597,Listas!$A$2:$C$1048576,3,FALSE),""))</f>
        <v/>
      </c>
    </row>
    <row r="3598" spans="10:12" x14ac:dyDescent="0.25">
      <c r="J3598" t="str">
        <f>IF(H3598="","",IFERROR(VLOOKUP(H3598,Listas!$J$2:$K$1048576,2,FALSE),""))</f>
        <v/>
      </c>
      <c r="K3598" s="5" t="str">
        <f>IF(OR(I3598="",G3598=""),"",IF(G3598="Saída",-I3598,I3598))</f>
        <v/>
      </c>
      <c r="L3598" t="str">
        <f>IF(E3598="","",IFERROR(VLOOKUP(E3598,Listas!$A$2:$C$1048576,3,FALSE),""))</f>
        <v/>
      </c>
    </row>
    <row r="3599" spans="10:12" x14ac:dyDescent="0.25">
      <c r="J3599" t="str">
        <f>IF(H3599="","",IFERROR(VLOOKUP(H3599,Listas!$J$2:$K$1048576,2,FALSE),""))</f>
        <v/>
      </c>
      <c r="K3599" s="5" t="str">
        <f>IF(OR(I3599="",G3599=""),"",IF(G3599="Saída",-I3599,I3599))</f>
        <v/>
      </c>
      <c r="L3599" t="str">
        <f>IF(E3599="","",IFERROR(VLOOKUP(E3599,Listas!$A$2:$C$1048576,3,FALSE),""))</f>
        <v/>
      </c>
    </row>
    <row r="3600" spans="10:12" x14ac:dyDescent="0.25">
      <c r="J3600" t="str">
        <f>IF(H3600="","",IFERROR(VLOOKUP(H3600,Listas!$J$2:$K$1048576,2,FALSE),""))</f>
        <v/>
      </c>
      <c r="K3600" s="5" t="str">
        <f>IF(OR(I3600="",G3600=""),"",IF(G3600="Saída",-I3600,I3600))</f>
        <v/>
      </c>
      <c r="L3600" t="str">
        <f>IF(E3600="","",IFERROR(VLOOKUP(E3600,Listas!$A$2:$C$1048576,3,FALSE),""))</f>
        <v/>
      </c>
    </row>
    <row r="3601" spans="10:12" x14ac:dyDescent="0.25">
      <c r="J3601" t="str">
        <f>IF(H3601="","",IFERROR(VLOOKUP(H3601,Listas!$J$2:$K$1048576,2,FALSE),""))</f>
        <v/>
      </c>
      <c r="K3601" s="5" t="str">
        <f>IF(OR(I3601="",G3601=""),"",IF(G3601="Saída",-I3601,I3601))</f>
        <v/>
      </c>
      <c r="L3601" t="str">
        <f>IF(E3601="","",IFERROR(VLOOKUP(E3601,Listas!$A$2:$C$1048576,3,FALSE),""))</f>
        <v/>
      </c>
    </row>
    <row r="3602" spans="10:12" x14ac:dyDescent="0.25">
      <c r="J3602" t="str">
        <f>IF(H3602="","",IFERROR(VLOOKUP(H3602,Listas!$J$2:$K$1048576,2,FALSE),""))</f>
        <v/>
      </c>
      <c r="K3602" s="5" t="str">
        <f>IF(OR(I3602="",G3602=""),"",IF(G3602="Saída",-I3602,I3602))</f>
        <v/>
      </c>
      <c r="L3602" t="str">
        <f>IF(E3602="","",IFERROR(VLOOKUP(E3602,Listas!$A$2:$C$1048576,3,FALSE),""))</f>
        <v/>
      </c>
    </row>
    <row r="3603" spans="10:12" x14ac:dyDescent="0.25">
      <c r="J3603" t="str">
        <f>IF(H3603="","",IFERROR(VLOOKUP(H3603,Listas!$J$2:$K$1048576,2,FALSE),""))</f>
        <v/>
      </c>
      <c r="K3603" s="5" t="str">
        <f>IF(OR(I3603="",G3603=""),"",IF(G3603="Saída",-I3603,I3603))</f>
        <v/>
      </c>
      <c r="L3603" t="str">
        <f>IF(E3603="","",IFERROR(VLOOKUP(E3603,Listas!$A$2:$C$1048576,3,FALSE),""))</f>
        <v/>
      </c>
    </row>
    <row r="3604" spans="10:12" x14ac:dyDescent="0.25">
      <c r="J3604" t="str">
        <f>IF(H3604="","",IFERROR(VLOOKUP(H3604,Listas!$J$2:$K$1048576,2,FALSE),""))</f>
        <v/>
      </c>
      <c r="K3604" s="5" t="str">
        <f>IF(OR(I3604="",G3604=""),"",IF(G3604="Saída",-I3604,I3604))</f>
        <v/>
      </c>
      <c r="L3604" t="str">
        <f>IF(E3604="","",IFERROR(VLOOKUP(E3604,Listas!$A$2:$C$1048576,3,FALSE),""))</f>
        <v/>
      </c>
    </row>
    <row r="3605" spans="10:12" x14ac:dyDescent="0.25">
      <c r="J3605" t="str">
        <f>IF(H3605="","",IFERROR(VLOOKUP(H3605,Listas!$J$2:$K$1048576,2,FALSE),""))</f>
        <v/>
      </c>
      <c r="K3605" s="5" t="str">
        <f>IF(OR(I3605="",G3605=""),"",IF(G3605="Saída",-I3605,I3605))</f>
        <v/>
      </c>
      <c r="L3605" t="str">
        <f>IF(E3605="","",IFERROR(VLOOKUP(E3605,Listas!$A$2:$C$1048576,3,FALSE),""))</f>
        <v/>
      </c>
    </row>
    <row r="3606" spans="10:12" x14ac:dyDescent="0.25">
      <c r="J3606" t="str">
        <f>IF(H3606="","",IFERROR(VLOOKUP(H3606,Listas!$J$2:$K$1048576,2,FALSE),""))</f>
        <v/>
      </c>
      <c r="K3606" s="5" t="str">
        <f>IF(OR(I3606="",G3606=""),"",IF(G3606="Saída",-I3606,I3606))</f>
        <v/>
      </c>
      <c r="L3606" t="str">
        <f>IF(E3606="","",IFERROR(VLOOKUP(E3606,Listas!$A$2:$C$1048576,3,FALSE),""))</f>
        <v/>
      </c>
    </row>
    <row r="3607" spans="10:12" x14ac:dyDescent="0.25">
      <c r="J3607" t="str">
        <f>IF(H3607="","",IFERROR(VLOOKUP(H3607,Listas!$J$2:$K$1048576,2,FALSE),""))</f>
        <v/>
      </c>
      <c r="K3607" s="5" t="str">
        <f>IF(OR(I3607="",G3607=""),"",IF(G3607="Saída",-I3607,I3607))</f>
        <v/>
      </c>
      <c r="L3607" t="str">
        <f>IF(E3607="","",IFERROR(VLOOKUP(E3607,Listas!$A$2:$C$1048576,3,FALSE),""))</f>
        <v/>
      </c>
    </row>
    <row r="3608" spans="10:12" x14ac:dyDescent="0.25">
      <c r="J3608" t="str">
        <f>IF(H3608="","",IFERROR(VLOOKUP(H3608,Listas!$J$2:$K$1048576,2,FALSE),""))</f>
        <v/>
      </c>
      <c r="K3608" s="5" t="str">
        <f>IF(OR(I3608="",G3608=""),"",IF(G3608="Saída",-I3608,I3608))</f>
        <v/>
      </c>
      <c r="L3608" t="str">
        <f>IF(E3608="","",IFERROR(VLOOKUP(E3608,Listas!$A$2:$C$1048576,3,FALSE),""))</f>
        <v/>
      </c>
    </row>
    <row r="3609" spans="10:12" x14ac:dyDescent="0.25">
      <c r="J3609" t="str">
        <f>IF(H3609="","",IFERROR(VLOOKUP(H3609,Listas!$J$2:$K$1048576,2,FALSE),""))</f>
        <v/>
      </c>
      <c r="K3609" s="5" t="str">
        <f>IF(OR(I3609="",G3609=""),"",IF(G3609="Saída",-I3609,I3609))</f>
        <v/>
      </c>
      <c r="L3609" t="str">
        <f>IF(E3609="","",IFERROR(VLOOKUP(E3609,Listas!$A$2:$C$1048576,3,FALSE),""))</f>
        <v/>
      </c>
    </row>
    <row r="3610" spans="10:12" x14ac:dyDescent="0.25">
      <c r="J3610" t="str">
        <f>IF(H3610="","",IFERROR(VLOOKUP(H3610,Listas!$J$2:$K$1048576,2,FALSE),""))</f>
        <v/>
      </c>
      <c r="K3610" s="5" t="str">
        <f>IF(OR(I3610="",G3610=""),"",IF(G3610="Saída",-I3610,I3610))</f>
        <v/>
      </c>
      <c r="L3610" t="str">
        <f>IF(E3610="","",IFERROR(VLOOKUP(E3610,Listas!$A$2:$C$1048576,3,FALSE),""))</f>
        <v/>
      </c>
    </row>
    <row r="3611" spans="10:12" x14ac:dyDescent="0.25">
      <c r="J3611" t="str">
        <f>IF(H3611="","",IFERROR(VLOOKUP(H3611,Listas!$J$2:$K$1048576,2,FALSE),""))</f>
        <v/>
      </c>
      <c r="K3611" s="5" t="str">
        <f>IF(OR(I3611="",G3611=""),"",IF(G3611="Saída",-I3611,I3611))</f>
        <v/>
      </c>
      <c r="L3611" t="str">
        <f>IF(E3611="","",IFERROR(VLOOKUP(E3611,Listas!$A$2:$C$1048576,3,FALSE),""))</f>
        <v/>
      </c>
    </row>
    <row r="3612" spans="10:12" x14ac:dyDescent="0.25">
      <c r="J3612" t="str">
        <f>IF(H3612="","",IFERROR(VLOOKUP(H3612,Listas!$J$2:$K$1048576,2,FALSE),""))</f>
        <v/>
      </c>
      <c r="K3612" s="5" t="str">
        <f>IF(OR(I3612="",G3612=""),"",IF(G3612="Saída",-I3612,I3612))</f>
        <v/>
      </c>
      <c r="L3612" t="str">
        <f>IF(E3612="","",IFERROR(VLOOKUP(E3612,Listas!$A$2:$C$1048576,3,FALSE),""))</f>
        <v/>
      </c>
    </row>
    <row r="3613" spans="10:12" x14ac:dyDescent="0.25">
      <c r="J3613" t="str">
        <f>IF(H3613="","",IFERROR(VLOOKUP(H3613,Listas!$J$2:$K$1048576,2,FALSE),""))</f>
        <v/>
      </c>
      <c r="K3613" s="5" t="str">
        <f>IF(OR(I3613="",G3613=""),"",IF(G3613="Saída",-I3613,I3613))</f>
        <v/>
      </c>
      <c r="L3613" t="str">
        <f>IF(E3613="","",IFERROR(VLOOKUP(E3613,Listas!$A$2:$C$1048576,3,FALSE),""))</f>
        <v/>
      </c>
    </row>
    <row r="3614" spans="10:12" x14ac:dyDescent="0.25">
      <c r="J3614" t="str">
        <f>IF(H3614="","",IFERROR(VLOOKUP(H3614,Listas!$J$2:$K$1048576,2,FALSE),""))</f>
        <v/>
      </c>
      <c r="K3614" s="5" t="str">
        <f>IF(OR(I3614="",G3614=""),"",IF(G3614="Saída",-I3614,I3614))</f>
        <v/>
      </c>
      <c r="L3614" t="str">
        <f>IF(E3614="","",IFERROR(VLOOKUP(E3614,Listas!$A$2:$C$1048576,3,FALSE),""))</f>
        <v/>
      </c>
    </row>
    <row r="3615" spans="10:12" x14ac:dyDescent="0.25">
      <c r="J3615" t="str">
        <f>IF(H3615="","",IFERROR(VLOOKUP(H3615,Listas!$J$2:$K$1048576,2,FALSE),""))</f>
        <v/>
      </c>
      <c r="K3615" s="5" t="str">
        <f>IF(OR(I3615="",G3615=""),"",IF(G3615="Saída",-I3615,I3615))</f>
        <v/>
      </c>
      <c r="L3615" t="str">
        <f>IF(E3615="","",IFERROR(VLOOKUP(E3615,Listas!$A$2:$C$1048576,3,FALSE),""))</f>
        <v/>
      </c>
    </row>
    <row r="3616" spans="10:12" x14ac:dyDescent="0.25">
      <c r="J3616" t="str">
        <f>IF(H3616="","",IFERROR(VLOOKUP(H3616,Listas!$J$2:$K$1048576,2,FALSE),""))</f>
        <v/>
      </c>
      <c r="K3616" s="5" t="str">
        <f>IF(OR(I3616="",G3616=""),"",IF(G3616="Saída",-I3616,I3616))</f>
        <v/>
      </c>
      <c r="L3616" t="str">
        <f>IF(E3616="","",IFERROR(VLOOKUP(E3616,Listas!$A$2:$C$1048576,3,FALSE),""))</f>
        <v/>
      </c>
    </row>
    <row r="3617" spans="10:12" x14ac:dyDescent="0.25">
      <c r="J3617" t="str">
        <f>IF(H3617="","",IFERROR(VLOOKUP(H3617,Listas!$J$2:$K$1048576,2,FALSE),""))</f>
        <v/>
      </c>
      <c r="K3617" s="5" t="str">
        <f>IF(OR(I3617="",G3617=""),"",IF(G3617="Saída",-I3617,I3617))</f>
        <v/>
      </c>
      <c r="L3617" t="str">
        <f>IF(E3617="","",IFERROR(VLOOKUP(E3617,Listas!$A$2:$C$1048576,3,FALSE),""))</f>
        <v/>
      </c>
    </row>
    <row r="3618" spans="10:12" x14ac:dyDescent="0.25">
      <c r="J3618" t="str">
        <f>IF(H3618="","",IFERROR(VLOOKUP(H3618,Listas!$J$2:$K$1048576,2,FALSE),""))</f>
        <v/>
      </c>
      <c r="K3618" s="5" t="str">
        <f>IF(OR(I3618="",G3618=""),"",IF(G3618="Saída",-I3618,I3618))</f>
        <v/>
      </c>
      <c r="L3618" t="str">
        <f>IF(E3618="","",IFERROR(VLOOKUP(E3618,Listas!$A$2:$C$1048576,3,FALSE),""))</f>
        <v/>
      </c>
    </row>
    <row r="3619" spans="10:12" x14ac:dyDescent="0.25">
      <c r="J3619" t="str">
        <f>IF(H3619="","",IFERROR(VLOOKUP(H3619,Listas!$J$2:$K$1048576,2,FALSE),""))</f>
        <v/>
      </c>
      <c r="K3619" s="5" t="str">
        <f>IF(OR(I3619="",G3619=""),"",IF(G3619="Saída",-I3619,I3619))</f>
        <v/>
      </c>
      <c r="L3619" t="str">
        <f>IF(E3619="","",IFERROR(VLOOKUP(E3619,Listas!$A$2:$C$1048576,3,FALSE),""))</f>
        <v/>
      </c>
    </row>
    <row r="3620" spans="10:12" x14ac:dyDescent="0.25">
      <c r="J3620" t="str">
        <f>IF(H3620="","",IFERROR(VLOOKUP(H3620,Listas!$J$2:$K$1048576,2,FALSE),""))</f>
        <v/>
      </c>
      <c r="K3620" s="5" t="str">
        <f>IF(OR(I3620="",G3620=""),"",IF(G3620="Saída",-I3620,I3620))</f>
        <v/>
      </c>
      <c r="L3620" t="str">
        <f>IF(E3620="","",IFERROR(VLOOKUP(E3620,Listas!$A$2:$C$1048576,3,FALSE),""))</f>
        <v/>
      </c>
    </row>
    <row r="3621" spans="10:12" x14ac:dyDescent="0.25">
      <c r="J3621" t="str">
        <f>IF(H3621="","",IFERROR(VLOOKUP(H3621,Listas!$J$2:$K$1048576,2,FALSE),""))</f>
        <v/>
      </c>
      <c r="K3621" s="5" t="str">
        <f>IF(OR(I3621="",G3621=""),"",IF(G3621="Saída",-I3621,I3621))</f>
        <v/>
      </c>
      <c r="L3621" t="str">
        <f>IF(E3621="","",IFERROR(VLOOKUP(E3621,Listas!$A$2:$C$1048576,3,FALSE),""))</f>
        <v/>
      </c>
    </row>
    <row r="3622" spans="10:12" x14ac:dyDescent="0.25">
      <c r="J3622" t="str">
        <f>IF(H3622="","",IFERROR(VLOOKUP(H3622,Listas!$J$2:$K$1048576,2,FALSE),""))</f>
        <v/>
      </c>
      <c r="K3622" s="5" t="str">
        <f>IF(OR(I3622="",G3622=""),"",IF(G3622="Saída",-I3622,I3622))</f>
        <v/>
      </c>
      <c r="L3622" t="str">
        <f>IF(E3622="","",IFERROR(VLOOKUP(E3622,Listas!$A$2:$C$1048576,3,FALSE),""))</f>
        <v/>
      </c>
    </row>
    <row r="3623" spans="10:12" x14ac:dyDescent="0.25">
      <c r="J3623" t="str">
        <f>IF(H3623="","",IFERROR(VLOOKUP(H3623,Listas!$J$2:$K$1048576,2,FALSE),""))</f>
        <v/>
      </c>
      <c r="K3623" s="5" t="str">
        <f>IF(OR(I3623="",G3623=""),"",IF(G3623="Saída",-I3623,I3623))</f>
        <v/>
      </c>
      <c r="L3623" t="str">
        <f>IF(E3623="","",IFERROR(VLOOKUP(E3623,Listas!$A$2:$C$1048576,3,FALSE),""))</f>
        <v/>
      </c>
    </row>
    <row r="3624" spans="10:12" x14ac:dyDescent="0.25">
      <c r="J3624" t="str">
        <f>IF(H3624="","",IFERROR(VLOOKUP(H3624,Listas!$J$2:$K$1048576,2,FALSE),""))</f>
        <v/>
      </c>
      <c r="K3624" s="5" t="str">
        <f>IF(OR(I3624="",G3624=""),"",IF(G3624="Saída",-I3624,I3624))</f>
        <v/>
      </c>
      <c r="L3624" t="str">
        <f>IF(E3624="","",IFERROR(VLOOKUP(E3624,Listas!$A$2:$C$1048576,3,FALSE),""))</f>
        <v/>
      </c>
    </row>
    <row r="3625" spans="10:12" x14ac:dyDescent="0.25">
      <c r="J3625" t="str">
        <f>IF(H3625="","",IFERROR(VLOOKUP(H3625,Listas!$J$2:$K$1048576,2,FALSE),""))</f>
        <v/>
      </c>
      <c r="K3625" s="5" t="str">
        <f>IF(OR(I3625="",G3625=""),"",IF(G3625="Saída",-I3625,I3625))</f>
        <v/>
      </c>
      <c r="L3625" t="str">
        <f>IF(E3625="","",IFERROR(VLOOKUP(E3625,Listas!$A$2:$C$1048576,3,FALSE),""))</f>
        <v/>
      </c>
    </row>
    <row r="3626" spans="10:12" x14ac:dyDescent="0.25">
      <c r="J3626" t="str">
        <f>IF(H3626="","",IFERROR(VLOOKUP(H3626,Listas!$J$2:$K$1048576,2,FALSE),""))</f>
        <v/>
      </c>
      <c r="K3626" s="5" t="str">
        <f>IF(OR(I3626="",G3626=""),"",IF(G3626="Saída",-I3626,I3626))</f>
        <v/>
      </c>
      <c r="L3626" t="str">
        <f>IF(E3626="","",IFERROR(VLOOKUP(E3626,Listas!$A$2:$C$1048576,3,FALSE),""))</f>
        <v/>
      </c>
    </row>
    <row r="3627" spans="10:12" x14ac:dyDescent="0.25">
      <c r="J3627" t="str">
        <f>IF(H3627="","",IFERROR(VLOOKUP(H3627,Listas!$J$2:$K$1048576,2,FALSE),""))</f>
        <v/>
      </c>
      <c r="K3627" s="5" t="str">
        <f>IF(OR(I3627="",G3627=""),"",IF(G3627="Saída",-I3627,I3627))</f>
        <v/>
      </c>
      <c r="L3627" t="str">
        <f>IF(E3627="","",IFERROR(VLOOKUP(E3627,Listas!$A$2:$C$1048576,3,FALSE),""))</f>
        <v/>
      </c>
    </row>
    <row r="3628" spans="10:12" x14ac:dyDescent="0.25">
      <c r="J3628" t="str">
        <f>IF(H3628="","",IFERROR(VLOOKUP(H3628,Listas!$J$2:$K$1048576,2,FALSE),""))</f>
        <v/>
      </c>
      <c r="K3628" s="5" t="str">
        <f>IF(OR(I3628="",G3628=""),"",IF(G3628="Saída",-I3628,I3628))</f>
        <v/>
      </c>
      <c r="L3628" t="str">
        <f>IF(E3628="","",IFERROR(VLOOKUP(E3628,Listas!$A$2:$C$1048576,3,FALSE),""))</f>
        <v/>
      </c>
    </row>
    <row r="3629" spans="10:12" x14ac:dyDescent="0.25">
      <c r="J3629" t="str">
        <f>IF(H3629="","",IFERROR(VLOOKUP(H3629,Listas!$J$2:$K$1048576,2,FALSE),""))</f>
        <v/>
      </c>
      <c r="K3629" s="5" t="str">
        <f>IF(OR(I3629="",G3629=""),"",IF(G3629="Saída",-I3629,I3629))</f>
        <v/>
      </c>
      <c r="L3629" t="str">
        <f>IF(E3629="","",IFERROR(VLOOKUP(E3629,Listas!$A$2:$C$1048576,3,FALSE),""))</f>
        <v/>
      </c>
    </row>
    <row r="3630" spans="10:12" x14ac:dyDescent="0.25">
      <c r="J3630" t="str">
        <f>IF(H3630="","",IFERROR(VLOOKUP(H3630,Listas!$J$2:$K$1048576,2,FALSE),""))</f>
        <v/>
      </c>
      <c r="K3630" s="5" t="str">
        <f>IF(OR(I3630="",G3630=""),"",IF(G3630="Saída",-I3630,I3630))</f>
        <v/>
      </c>
      <c r="L3630" t="str">
        <f>IF(E3630="","",IFERROR(VLOOKUP(E3630,Listas!$A$2:$C$1048576,3,FALSE),""))</f>
        <v/>
      </c>
    </row>
    <row r="3631" spans="10:12" x14ac:dyDescent="0.25">
      <c r="J3631" t="str">
        <f>IF(H3631="","",IFERROR(VLOOKUP(H3631,Listas!$J$2:$K$1048576,2,FALSE),""))</f>
        <v/>
      </c>
      <c r="K3631" s="5" t="str">
        <f>IF(OR(I3631="",G3631=""),"",IF(G3631="Saída",-I3631,I3631))</f>
        <v/>
      </c>
      <c r="L3631" t="str">
        <f>IF(E3631="","",IFERROR(VLOOKUP(E3631,Listas!$A$2:$C$1048576,3,FALSE),""))</f>
        <v/>
      </c>
    </row>
    <row r="3632" spans="10:12" x14ac:dyDescent="0.25">
      <c r="J3632" t="str">
        <f>IF(H3632="","",IFERROR(VLOOKUP(H3632,Listas!$J$2:$K$1048576,2,FALSE),""))</f>
        <v/>
      </c>
      <c r="K3632" s="5" t="str">
        <f>IF(OR(I3632="",G3632=""),"",IF(G3632="Saída",-I3632,I3632))</f>
        <v/>
      </c>
      <c r="L3632" t="str">
        <f>IF(E3632="","",IFERROR(VLOOKUP(E3632,Listas!$A$2:$C$1048576,3,FALSE),""))</f>
        <v/>
      </c>
    </row>
    <row r="3633" spans="10:12" x14ac:dyDescent="0.25">
      <c r="J3633" t="str">
        <f>IF(H3633="","",IFERROR(VLOOKUP(H3633,Listas!$J$2:$K$1048576,2,FALSE),""))</f>
        <v/>
      </c>
      <c r="K3633" s="5" t="str">
        <f>IF(OR(I3633="",G3633=""),"",IF(G3633="Saída",-I3633,I3633))</f>
        <v/>
      </c>
      <c r="L3633" t="str">
        <f>IF(E3633="","",IFERROR(VLOOKUP(E3633,Listas!$A$2:$C$1048576,3,FALSE),""))</f>
        <v/>
      </c>
    </row>
    <row r="3634" spans="10:12" x14ac:dyDescent="0.25">
      <c r="J3634" t="str">
        <f>IF(H3634="","",IFERROR(VLOOKUP(H3634,Listas!$J$2:$K$1048576,2,FALSE),""))</f>
        <v/>
      </c>
      <c r="K3634" s="5" t="str">
        <f>IF(OR(I3634="",G3634=""),"",IF(G3634="Saída",-I3634,I3634))</f>
        <v/>
      </c>
      <c r="L3634" t="str">
        <f>IF(E3634="","",IFERROR(VLOOKUP(E3634,Listas!$A$2:$C$1048576,3,FALSE),""))</f>
        <v/>
      </c>
    </row>
    <row r="3635" spans="10:12" x14ac:dyDescent="0.25">
      <c r="J3635" t="str">
        <f>IF(H3635="","",IFERROR(VLOOKUP(H3635,Listas!$J$2:$K$1048576,2,FALSE),""))</f>
        <v/>
      </c>
      <c r="K3635" s="5" t="str">
        <f>IF(OR(I3635="",G3635=""),"",IF(G3635="Saída",-I3635,I3635))</f>
        <v/>
      </c>
      <c r="L3635" t="str">
        <f>IF(E3635="","",IFERROR(VLOOKUP(E3635,Listas!$A$2:$C$1048576,3,FALSE),""))</f>
        <v/>
      </c>
    </row>
    <row r="3636" spans="10:12" x14ac:dyDescent="0.25">
      <c r="J3636" t="str">
        <f>IF(H3636="","",IFERROR(VLOOKUP(H3636,Listas!$J$2:$K$1048576,2,FALSE),""))</f>
        <v/>
      </c>
      <c r="K3636" s="5" t="str">
        <f>IF(OR(I3636="",G3636=""),"",IF(G3636="Saída",-I3636,I3636))</f>
        <v/>
      </c>
      <c r="L3636" t="str">
        <f>IF(E3636="","",IFERROR(VLOOKUP(E3636,Listas!$A$2:$C$1048576,3,FALSE),""))</f>
        <v/>
      </c>
    </row>
    <row r="3637" spans="10:12" x14ac:dyDescent="0.25">
      <c r="J3637" t="str">
        <f>IF(H3637="","",IFERROR(VLOOKUP(H3637,Listas!$J$2:$K$1048576,2,FALSE),""))</f>
        <v/>
      </c>
      <c r="K3637" s="5" t="str">
        <f>IF(OR(I3637="",G3637=""),"",IF(G3637="Saída",-I3637,I3637))</f>
        <v/>
      </c>
      <c r="L3637" t="str">
        <f>IF(E3637="","",IFERROR(VLOOKUP(E3637,Listas!$A$2:$C$1048576,3,FALSE),""))</f>
        <v/>
      </c>
    </row>
    <row r="3638" spans="10:12" x14ac:dyDescent="0.25">
      <c r="J3638" t="str">
        <f>IF(H3638="","",IFERROR(VLOOKUP(H3638,Listas!$J$2:$K$1048576,2,FALSE),""))</f>
        <v/>
      </c>
      <c r="K3638" s="5" t="str">
        <f>IF(OR(I3638="",G3638=""),"",IF(G3638="Saída",-I3638,I3638))</f>
        <v/>
      </c>
      <c r="L3638" t="str">
        <f>IF(E3638="","",IFERROR(VLOOKUP(E3638,Listas!$A$2:$C$1048576,3,FALSE),""))</f>
        <v/>
      </c>
    </row>
    <row r="3639" spans="10:12" x14ac:dyDescent="0.25">
      <c r="J3639" t="str">
        <f>IF(H3639="","",IFERROR(VLOOKUP(H3639,Listas!$J$2:$K$1048576,2,FALSE),""))</f>
        <v/>
      </c>
      <c r="K3639" s="5" t="str">
        <f>IF(OR(I3639="",G3639=""),"",IF(G3639="Saída",-I3639,I3639))</f>
        <v/>
      </c>
      <c r="L3639" t="str">
        <f>IF(E3639="","",IFERROR(VLOOKUP(E3639,Listas!$A$2:$C$1048576,3,FALSE),""))</f>
        <v/>
      </c>
    </row>
    <row r="3640" spans="10:12" x14ac:dyDescent="0.25">
      <c r="J3640" t="str">
        <f>IF(H3640="","",IFERROR(VLOOKUP(H3640,Listas!$J$2:$K$1048576,2,FALSE),""))</f>
        <v/>
      </c>
      <c r="K3640" s="5" t="str">
        <f>IF(OR(I3640="",G3640=""),"",IF(G3640="Saída",-I3640,I3640))</f>
        <v/>
      </c>
      <c r="L3640" t="str">
        <f>IF(E3640="","",IFERROR(VLOOKUP(E3640,Listas!$A$2:$C$1048576,3,FALSE),""))</f>
        <v/>
      </c>
    </row>
    <row r="3641" spans="10:12" x14ac:dyDescent="0.25">
      <c r="J3641" t="str">
        <f>IF(H3641="","",IFERROR(VLOOKUP(H3641,Listas!$J$2:$K$1048576,2,FALSE),""))</f>
        <v/>
      </c>
      <c r="K3641" s="5" t="str">
        <f>IF(OR(I3641="",G3641=""),"",IF(G3641="Saída",-I3641,I3641))</f>
        <v/>
      </c>
      <c r="L3641" t="str">
        <f>IF(E3641="","",IFERROR(VLOOKUP(E3641,Listas!$A$2:$C$1048576,3,FALSE),""))</f>
        <v/>
      </c>
    </row>
    <row r="3642" spans="10:12" x14ac:dyDescent="0.25">
      <c r="J3642" t="str">
        <f>IF(H3642="","",IFERROR(VLOOKUP(H3642,Listas!$J$2:$K$1048576,2,FALSE),""))</f>
        <v/>
      </c>
      <c r="K3642" s="5" t="str">
        <f>IF(OR(I3642="",G3642=""),"",IF(G3642="Saída",-I3642,I3642))</f>
        <v/>
      </c>
      <c r="L3642" t="str">
        <f>IF(E3642="","",IFERROR(VLOOKUP(E3642,Listas!$A$2:$C$1048576,3,FALSE),""))</f>
        <v/>
      </c>
    </row>
    <row r="3643" spans="10:12" x14ac:dyDescent="0.25">
      <c r="J3643" t="str">
        <f>IF(H3643="","",IFERROR(VLOOKUP(H3643,Listas!$J$2:$K$1048576,2,FALSE),""))</f>
        <v/>
      </c>
      <c r="K3643" s="5" t="str">
        <f>IF(OR(I3643="",G3643=""),"",IF(G3643="Saída",-I3643,I3643))</f>
        <v/>
      </c>
      <c r="L3643" t="str">
        <f>IF(E3643="","",IFERROR(VLOOKUP(E3643,Listas!$A$2:$C$1048576,3,FALSE),""))</f>
        <v/>
      </c>
    </row>
    <row r="3644" spans="10:12" x14ac:dyDescent="0.25">
      <c r="J3644" t="str">
        <f>IF(H3644="","",IFERROR(VLOOKUP(H3644,Listas!$J$2:$K$1048576,2,FALSE),""))</f>
        <v/>
      </c>
      <c r="K3644" s="5" t="str">
        <f>IF(OR(I3644="",G3644=""),"",IF(G3644="Saída",-I3644,I3644))</f>
        <v/>
      </c>
      <c r="L3644" t="str">
        <f>IF(E3644="","",IFERROR(VLOOKUP(E3644,Listas!$A$2:$C$1048576,3,FALSE),""))</f>
        <v/>
      </c>
    </row>
    <row r="3645" spans="10:12" x14ac:dyDescent="0.25">
      <c r="J3645" t="str">
        <f>IF(H3645="","",IFERROR(VLOOKUP(H3645,Listas!$J$2:$K$1048576,2,FALSE),""))</f>
        <v/>
      </c>
      <c r="K3645" s="5" t="str">
        <f>IF(OR(I3645="",G3645=""),"",IF(G3645="Saída",-I3645,I3645))</f>
        <v/>
      </c>
      <c r="L3645" t="str">
        <f>IF(E3645="","",IFERROR(VLOOKUP(E3645,Listas!$A$2:$C$1048576,3,FALSE),""))</f>
        <v/>
      </c>
    </row>
    <row r="3646" spans="10:12" x14ac:dyDescent="0.25">
      <c r="J3646" t="str">
        <f>IF(H3646="","",IFERROR(VLOOKUP(H3646,Listas!$J$2:$K$1048576,2,FALSE),""))</f>
        <v/>
      </c>
      <c r="K3646" s="5" t="str">
        <f>IF(OR(I3646="",G3646=""),"",IF(G3646="Saída",-I3646,I3646))</f>
        <v/>
      </c>
      <c r="L3646" t="str">
        <f>IF(E3646="","",IFERROR(VLOOKUP(E3646,Listas!$A$2:$C$1048576,3,FALSE),""))</f>
        <v/>
      </c>
    </row>
    <row r="3647" spans="10:12" x14ac:dyDescent="0.25">
      <c r="J3647" t="str">
        <f>IF(H3647="","",IFERROR(VLOOKUP(H3647,Listas!$J$2:$K$1048576,2,FALSE),""))</f>
        <v/>
      </c>
      <c r="K3647" s="5" t="str">
        <f>IF(OR(I3647="",G3647=""),"",IF(G3647="Saída",-I3647,I3647))</f>
        <v/>
      </c>
      <c r="L3647" t="str">
        <f>IF(E3647="","",IFERROR(VLOOKUP(E3647,Listas!$A$2:$C$1048576,3,FALSE),""))</f>
        <v/>
      </c>
    </row>
    <row r="3648" spans="10:12" x14ac:dyDescent="0.25">
      <c r="J3648" t="str">
        <f>IF(H3648="","",IFERROR(VLOOKUP(H3648,Listas!$J$2:$K$1048576,2,FALSE),""))</f>
        <v/>
      </c>
      <c r="K3648" s="5" t="str">
        <f>IF(OR(I3648="",G3648=""),"",IF(G3648="Saída",-I3648,I3648))</f>
        <v/>
      </c>
      <c r="L3648" t="str">
        <f>IF(E3648="","",IFERROR(VLOOKUP(E3648,Listas!$A$2:$C$1048576,3,FALSE),""))</f>
        <v/>
      </c>
    </row>
    <row r="3649" spans="10:12" x14ac:dyDescent="0.25">
      <c r="J3649" t="str">
        <f>IF(H3649="","",IFERROR(VLOOKUP(H3649,Listas!$J$2:$K$1048576,2,FALSE),""))</f>
        <v/>
      </c>
      <c r="K3649" s="5" t="str">
        <f>IF(OR(I3649="",G3649=""),"",IF(G3649="Saída",-I3649,I3649))</f>
        <v/>
      </c>
      <c r="L3649" t="str">
        <f>IF(E3649="","",IFERROR(VLOOKUP(E3649,Listas!$A$2:$C$1048576,3,FALSE),""))</f>
        <v/>
      </c>
    </row>
    <row r="3650" spans="10:12" x14ac:dyDescent="0.25">
      <c r="J3650" t="str">
        <f>IF(H3650="","",IFERROR(VLOOKUP(H3650,Listas!$J$2:$K$1048576,2,FALSE),""))</f>
        <v/>
      </c>
      <c r="K3650" s="5" t="str">
        <f>IF(OR(I3650="",G3650=""),"",IF(G3650="Saída",-I3650,I3650))</f>
        <v/>
      </c>
      <c r="L3650" t="str">
        <f>IF(E3650="","",IFERROR(VLOOKUP(E3650,Listas!$A$2:$C$1048576,3,FALSE),""))</f>
        <v/>
      </c>
    </row>
    <row r="3651" spans="10:12" x14ac:dyDescent="0.25">
      <c r="J3651" t="str">
        <f>IF(H3651="","",IFERROR(VLOOKUP(H3651,Listas!$J$2:$K$1048576,2,FALSE),""))</f>
        <v/>
      </c>
      <c r="K3651" s="5" t="str">
        <f>IF(OR(I3651="",G3651=""),"",IF(G3651="Saída",-I3651,I3651))</f>
        <v/>
      </c>
      <c r="L3651" t="str">
        <f>IF(E3651="","",IFERROR(VLOOKUP(E3651,Listas!$A$2:$C$1048576,3,FALSE),""))</f>
        <v/>
      </c>
    </row>
    <row r="3652" spans="10:12" x14ac:dyDescent="0.25">
      <c r="J3652" t="str">
        <f>IF(H3652="","",IFERROR(VLOOKUP(H3652,Listas!$J$2:$K$1048576,2,FALSE),""))</f>
        <v/>
      </c>
      <c r="K3652" s="5" t="str">
        <f>IF(OR(I3652="",G3652=""),"",IF(G3652="Saída",-I3652,I3652))</f>
        <v/>
      </c>
      <c r="L3652" t="str">
        <f>IF(E3652="","",IFERROR(VLOOKUP(E3652,Listas!$A$2:$C$1048576,3,FALSE),""))</f>
        <v/>
      </c>
    </row>
    <row r="3653" spans="10:12" x14ac:dyDescent="0.25">
      <c r="J3653" t="str">
        <f>IF(H3653="","",IFERROR(VLOOKUP(H3653,Listas!$J$2:$K$1048576,2,FALSE),""))</f>
        <v/>
      </c>
      <c r="K3653" s="5" t="str">
        <f>IF(OR(I3653="",G3653=""),"",IF(G3653="Saída",-I3653,I3653))</f>
        <v/>
      </c>
      <c r="L3653" t="str">
        <f>IF(E3653="","",IFERROR(VLOOKUP(E3653,Listas!$A$2:$C$1048576,3,FALSE),""))</f>
        <v/>
      </c>
    </row>
    <row r="3654" spans="10:12" x14ac:dyDescent="0.25">
      <c r="J3654" t="str">
        <f>IF(H3654="","",IFERROR(VLOOKUP(H3654,Listas!$J$2:$K$1048576,2,FALSE),""))</f>
        <v/>
      </c>
      <c r="K3654" s="5" t="str">
        <f>IF(OR(I3654="",G3654=""),"",IF(G3654="Saída",-I3654,I3654))</f>
        <v/>
      </c>
      <c r="L3654" t="str">
        <f>IF(E3654="","",IFERROR(VLOOKUP(E3654,Listas!$A$2:$C$1048576,3,FALSE),""))</f>
        <v/>
      </c>
    </row>
    <row r="3655" spans="10:12" x14ac:dyDescent="0.25">
      <c r="J3655" t="str">
        <f>IF(H3655="","",IFERROR(VLOOKUP(H3655,Listas!$J$2:$K$1048576,2,FALSE),""))</f>
        <v/>
      </c>
      <c r="K3655" s="5" t="str">
        <f>IF(OR(I3655="",G3655=""),"",IF(G3655="Saída",-I3655,I3655))</f>
        <v/>
      </c>
      <c r="L3655" t="str">
        <f>IF(E3655="","",IFERROR(VLOOKUP(E3655,Listas!$A$2:$C$1048576,3,FALSE),""))</f>
        <v/>
      </c>
    </row>
    <row r="3656" spans="10:12" x14ac:dyDescent="0.25">
      <c r="J3656" t="str">
        <f>IF(H3656="","",IFERROR(VLOOKUP(H3656,Listas!$J$2:$K$1048576,2,FALSE),""))</f>
        <v/>
      </c>
      <c r="K3656" s="5" t="str">
        <f>IF(OR(I3656="",G3656=""),"",IF(G3656="Saída",-I3656,I3656))</f>
        <v/>
      </c>
      <c r="L3656" t="str">
        <f>IF(E3656="","",IFERROR(VLOOKUP(E3656,Listas!$A$2:$C$1048576,3,FALSE),""))</f>
        <v/>
      </c>
    </row>
    <row r="3657" spans="10:12" x14ac:dyDescent="0.25">
      <c r="J3657" t="str">
        <f>IF(H3657="","",IFERROR(VLOOKUP(H3657,Listas!$J$2:$K$1048576,2,FALSE),""))</f>
        <v/>
      </c>
      <c r="K3657" s="5" t="str">
        <f>IF(OR(I3657="",G3657=""),"",IF(G3657="Saída",-I3657,I3657))</f>
        <v/>
      </c>
      <c r="L3657" t="str">
        <f>IF(E3657="","",IFERROR(VLOOKUP(E3657,Listas!$A$2:$C$1048576,3,FALSE),""))</f>
        <v/>
      </c>
    </row>
    <row r="3658" spans="10:12" x14ac:dyDescent="0.25">
      <c r="J3658" t="str">
        <f>IF(H3658="","",IFERROR(VLOOKUP(H3658,Listas!$J$2:$K$1048576,2,FALSE),""))</f>
        <v/>
      </c>
      <c r="K3658" s="5" t="str">
        <f>IF(OR(I3658="",G3658=""),"",IF(G3658="Saída",-I3658,I3658))</f>
        <v/>
      </c>
      <c r="L3658" t="str">
        <f>IF(E3658="","",IFERROR(VLOOKUP(E3658,Listas!$A$2:$C$1048576,3,FALSE),""))</f>
        <v/>
      </c>
    </row>
    <row r="3659" spans="10:12" x14ac:dyDescent="0.25">
      <c r="J3659" t="str">
        <f>IF(H3659="","",IFERROR(VLOOKUP(H3659,Listas!$J$2:$K$1048576,2,FALSE),""))</f>
        <v/>
      </c>
      <c r="K3659" s="5" t="str">
        <f>IF(OR(I3659="",G3659=""),"",IF(G3659="Saída",-I3659,I3659))</f>
        <v/>
      </c>
      <c r="L3659" t="str">
        <f>IF(E3659="","",IFERROR(VLOOKUP(E3659,Listas!$A$2:$C$1048576,3,FALSE),""))</f>
        <v/>
      </c>
    </row>
    <row r="3660" spans="10:12" x14ac:dyDescent="0.25">
      <c r="J3660" t="str">
        <f>IF(H3660="","",IFERROR(VLOOKUP(H3660,Listas!$J$2:$K$1048576,2,FALSE),""))</f>
        <v/>
      </c>
      <c r="K3660" s="5" t="str">
        <f>IF(OR(I3660="",G3660=""),"",IF(G3660="Saída",-I3660,I3660))</f>
        <v/>
      </c>
      <c r="L3660" t="str">
        <f>IF(E3660="","",IFERROR(VLOOKUP(E3660,Listas!$A$2:$C$1048576,3,FALSE),""))</f>
        <v/>
      </c>
    </row>
    <row r="3661" spans="10:12" x14ac:dyDescent="0.25">
      <c r="J3661" t="str">
        <f>IF(H3661="","",IFERROR(VLOOKUP(H3661,Listas!$J$2:$K$1048576,2,FALSE),""))</f>
        <v/>
      </c>
      <c r="K3661" s="5" t="str">
        <f>IF(OR(I3661="",G3661=""),"",IF(G3661="Saída",-I3661,I3661))</f>
        <v/>
      </c>
      <c r="L3661" t="str">
        <f>IF(E3661="","",IFERROR(VLOOKUP(E3661,Listas!$A$2:$C$1048576,3,FALSE),""))</f>
        <v/>
      </c>
    </row>
    <row r="3662" spans="10:12" x14ac:dyDescent="0.25">
      <c r="J3662" t="str">
        <f>IF(H3662="","",IFERROR(VLOOKUP(H3662,Listas!$J$2:$K$1048576,2,FALSE),""))</f>
        <v/>
      </c>
      <c r="K3662" s="5" t="str">
        <f>IF(OR(I3662="",G3662=""),"",IF(G3662="Saída",-I3662,I3662))</f>
        <v/>
      </c>
      <c r="L3662" t="str">
        <f>IF(E3662="","",IFERROR(VLOOKUP(E3662,Listas!$A$2:$C$1048576,3,FALSE),""))</f>
        <v/>
      </c>
    </row>
    <row r="3663" spans="10:12" x14ac:dyDescent="0.25">
      <c r="J3663" t="str">
        <f>IF(H3663="","",IFERROR(VLOOKUP(H3663,Listas!$J$2:$K$1048576,2,FALSE),""))</f>
        <v/>
      </c>
      <c r="K3663" s="5" t="str">
        <f>IF(OR(I3663="",G3663=""),"",IF(G3663="Saída",-I3663,I3663))</f>
        <v/>
      </c>
      <c r="L3663" t="str">
        <f>IF(E3663="","",IFERROR(VLOOKUP(E3663,Listas!$A$2:$C$1048576,3,FALSE),""))</f>
        <v/>
      </c>
    </row>
    <row r="3664" spans="10:12" x14ac:dyDescent="0.25">
      <c r="J3664" t="str">
        <f>IF(H3664="","",IFERROR(VLOOKUP(H3664,Listas!$J$2:$K$1048576,2,FALSE),""))</f>
        <v/>
      </c>
      <c r="K3664" s="5" t="str">
        <f>IF(OR(I3664="",G3664=""),"",IF(G3664="Saída",-I3664,I3664))</f>
        <v/>
      </c>
      <c r="L3664" t="str">
        <f>IF(E3664="","",IFERROR(VLOOKUP(E3664,Listas!$A$2:$C$1048576,3,FALSE),""))</f>
        <v/>
      </c>
    </row>
    <row r="3665" spans="10:12" x14ac:dyDescent="0.25">
      <c r="J3665" t="str">
        <f>IF(H3665="","",IFERROR(VLOOKUP(H3665,Listas!$J$2:$K$1048576,2,FALSE),""))</f>
        <v/>
      </c>
      <c r="K3665" s="5" t="str">
        <f>IF(OR(I3665="",G3665=""),"",IF(G3665="Saída",-I3665,I3665))</f>
        <v/>
      </c>
      <c r="L3665" t="str">
        <f>IF(E3665="","",IFERROR(VLOOKUP(E3665,Listas!$A$2:$C$1048576,3,FALSE),""))</f>
        <v/>
      </c>
    </row>
    <row r="3666" spans="10:12" x14ac:dyDescent="0.25">
      <c r="J3666" t="str">
        <f>IF(H3666="","",IFERROR(VLOOKUP(H3666,Listas!$J$2:$K$1048576,2,FALSE),""))</f>
        <v/>
      </c>
      <c r="K3666" s="5" t="str">
        <f>IF(OR(I3666="",G3666=""),"",IF(G3666="Saída",-I3666,I3666))</f>
        <v/>
      </c>
      <c r="L3666" t="str">
        <f>IF(E3666="","",IFERROR(VLOOKUP(E3666,Listas!$A$2:$C$1048576,3,FALSE),""))</f>
        <v/>
      </c>
    </row>
    <row r="3667" spans="10:12" x14ac:dyDescent="0.25">
      <c r="J3667" t="str">
        <f>IF(H3667="","",IFERROR(VLOOKUP(H3667,Listas!$J$2:$K$1048576,2,FALSE),""))</f>
        <v/>
      </c>
      <c r="K3667" s="5" t="str">
        <f>IF(OR(I3667="",G3667=""),"",IF(G3667="Saída",-I3667,I3667))</f>
        <v/>
      </c>
      <c r="L3667" t="str">
        <f>IF(E3667="","",IFERROR(VLOOKUP(E3667,Listas!$A$2:$C$1048576,3,FALSE),""))</f>
        <v/>
      </c>
    </row>
    <row r="3668" spans="10:12" x14ac:dyDescent="0.25">
      <c r="J3668" t="str">
        <f>IF(H3668="","",IFERROR(VLOOKUP(H3668,Listas!$J$2:$K$1048576,2,FALSE),""))</f>
        <v/>
      </c>
      <c r="K3668" s="5" t="str">
        <f>IF(OR(I3668="",G3668=""),"",IF(G3668="Saída",-I3668,I3668))</f>
        <v/>
      </c>
      <c r="L3668" t="str">
        <f>IF(E3668="","",IFERROR(VLOOKUP(E3668,Listas!$A$2:$C$1048576,3,FALSE),""))</f>
        <v/>
      </c>
    </row>
    <row r="3669" spans="10:12" x14ac:dyDescent="0.25">
      <c r="J3669" t="str">
        <f>IF(H3669="","",IFERROR(VLOOKUP(H3669,Listas!$J$2:$K$1048576,2,FALSE),""))</f>
        <v/>
      </c>
      <c r="K3669" s="5" t="str">
        <f>IF(OR(I3669="",G3669=""),"",IF(G3669="Saída",-I3669,I3669))</f>
        <v/>
      </c>
      <c r="L3669" t="str">
        <f>IF(E3669="","",IFERROR(VLOOKUP(E3669,Listas!$A$2:$C$1048576,3,FALSE),""))</f>
        <v/>
      </c>
    </row>
    <row r="3670" spans="10:12" x14ac:dyDescent="0.25">
      <c r="J3670" t="str">
        <f>IF(H3670="","",IFERROR(VLOOKUP(H3670,Listas!$J$2:$K$1048576,2,FALSE),""))</f>
        <v/>
      </c>
      <c r="K3670" s="5" t="str">
        <f>IF(OR(I3670="",G3670=""),"",IF(G3670="Saída",-I3670,I3670))</f>
        <v/>
      </c>
      <c r="L3670" t="str">
        <f>IF(E3670="","",IFERROR(VLOOKUP(E3670,Listas!$A$2:$C$1048576,3,FALSE),""))</f>
        <v/>
      </c>
    </row>
    <row r="3671" spans="10:12" x14ac:dyDescent="0.25">
      <c r="J3671" t="str">
        <f>IF(H3671="","",IFERROR(VLOOKUP(H3671,Listas!$J$2:$K$1048576,2,FALSE),""))</f>
        <v/>
      </c>
      <c r="K3671" s="5" t="str">
        <f>IF(OR(I3671="",G3671=""),"",IF(G3671="Saída",-I3671,I3671))</f>
        <v/>
      </c>
      <c r="L3671" t="str">
        <f>IF(E3671="","",IFERROR(VLOOKUP(E3671,Listas!$A$2:$C$1048576,3,FALSE),""))</f>
        <v/>
      </c>
    </row>
    <row r="3672" spans="10:12" x14ac:dyDescent="0.25">
      <c r="J3672" t="str">
        <f>IF(H3672="","",IFERROR(VLOOKUP(H3672,Listas!$J$2:$K$1048576,2,FALSE),""))</f>
        <v/>
      </c>
      <c r="K3672" s="5" t="str">
        <f>IF(OR(I3672="",G3672=""),"",IF(G3672="Saída",-I3672,I3672))</f>
        <v/>
      </c>
      <c r="L3672" t="str">
        <f>IF(E3672="","",IFERROR(VLOOKUP(E3672,Listas!$A$2:$C$1048576,3,FALSE),""))</f>
        <v/>
      </c>
    </row>
    <row r="3673" spans="10:12" x14ac:dyDescent="0.25">
      <c r="J3673" t="str">
        <f>IF(H3673="","",IFERROR(VLOOKUP(H3673,Listas!$J$2:$K$1048576,2,FALSE),""))</f>
        <v/>
      </c>
      <c r="K3673" s="5" t="str">
        <f>IF(OR(I3673="",G3673=""),"",IF(G3673="Saída",-I3673,I3673))</f>
        <v/>
      </c>
      <c r="L3673" t="str">
        <f>IF(E3673="","",IFERROR(VLOOKUP(E3673,Listas!$A$2:$C$1048576,3,FALSE),""))</f>
        <v/>
      </c>
    </row>
    <row r="3674" spans="10:12" x14ac:dyDescent="0.25">
      <c r="J3674" t="str">
        <f>IF(H3674="","",IFERROR(VLOOKUP(H3674,Listas!$J$2:$K$1048576,2,FALSE),""))</f>
        <v/>
      </c>
      <c r="K3674" s="5" t="str">
        <f>IF(OR(I3674="",G3674=""),"",IF(G3674="Saída",-I3674,I3674))</f>
        <v/>
      </c>
      <c r="L3674" t="str">
        <f>IF(E3674="","",IFERROR(VLOOKUP(E3674,Listas!$A$2:$C$1048576,3,FALSE),""))</f>
        <v/>
      </c>
    </row>
    <row r="3675" spans="10:12" x14ac:dyDescent="0.25">
      <c r="J3675" t="str">
        <f>IF(H3675="","",IFERROR(VLOOKUP(H3675,Listas!$J$2:$K$1048576,2,FALSE),""))</f>
        <v/>
      </c>
      <c r="K3675" s="5" t="str">
        <f>IF(OR(I3675="",G3675=""),"",IF(G3675="Saída",-I3675,I3675))</f>
        <v/>
      </c>
      <c r="L3675" t="str">
        <f>IF(E3675="","",IFERROR(VLOOKUP(E3675,Listas!$A$2:$C$1048576,3,FALSE),""))</f>
        <v/>
      </c>
    </row>
    <row r="3676" spans="10:12" x14ac:dyDescent="0.25">
      <c r="J3676" t="str">
        <f>IF(H3676="","",IFERROR(VLOOKUP(H3676,Listas!$J$2:$K$1048576,2,FALSE),""))</f>
        <v/>
      </c>
      <c r="K3676" s="5" t="str">
        <f>IF(OR(I3676="",G3676=""),"",IF(G3676="Saída",-I3676,I3676))</f>
        <v/>
      </c>
      <c r="L3676" t="str">
        <f>IF(E3676="","",IFERROR(VLOOKUP(E3676,Listas!$A$2:$C$1048576,3,FALSE),""))</f>
        <v/>
      </c>
    </row>
    <row r="3677" spans="10:12" x14ac:dyDescent="0.25">
      <c r="J3677" t="str">
        <f>IF(H3677="","",IFERROR(VLOOKUP(H3677,Listas!$J$2:$K$1048576,2,FALSE),""))</f>
        <v/>
      </c>
      <c r="K3677" s="5" t="str">
        <f>IF(OR(I3677="",G3677=""),"",IF(G3677="Saída",-I3677,I3677))</f>
        <v/>
      </c>
      <c r="L3677" t="str">
        <f>IF(E3677="","",IFERROR(VLOOKUP(E3677,Listas!$A$2:$C$1048576,3,FALSE),""))</f>
        <v/>
      </c>
    </row>
    <row r="3678" spans="10:12" x14ac:dyDescent="0.25">
      <c r="J3678" t="str">
        <f>IF(H3678="","",IFERROR(VLOOKUP(H3678,Listas!$J$2:$K$1048576,2,FALSE),""))</f>
        <v/>
      </c>
      <c r="K3678" s="5" t="str">
        <f>IF(OR(I3678="",G3678=""),"",IF(G3678="Saída",-I3678,I3678))</f>
        <v/>
      </c>
      <c r="L3678" t="str">
        <f>IF(E3678="","",IFERROR(VLOOKUP(E3678,Listas!$A$2:$C$1048576,3,FALSE),""))</f>
        <v/>
      </c>
    </row>
    <row r="3679" spans="10:12" x14ac:dyDescent="0.25">
      <c r="J3679" t="str">
        <f>IF(H3679="","",IFERROR(VLOOKUP(H3679,Listas!$J$2:$K$1048576,2,FALSE),""))</f>
        <v/>
      </c>
      <c r="K3679" s="5" t="str">
        <f>IF(OR(I3679="",G3679=""),"",IF(G3679="Saída",-I3679,I3679))</f>
        <v/>
      </c>
      <c r="L3679" t="str">
        <f>IF(E3679="","",IFERROR(VLOOKUP(E3679,Listas!$A$2:$C$1048576,3,FALSE),""))</f>
        <v/>
      </c>
    </row>
    <row r="3680" spans="10:12" x14ac:dyDescent="0.25">
      <c r="J3680" t="str">
        <f>IF(H3680="","",IFERROR(VLOOKUP(H3680,Listas!$J$2:$K$1048576,2,FALSE),""))</f>
        <v/>
      </c>
      <c r="K3680" s="5" t="str">
        <f>IF(OR(I3680="",G3680=""),"",IF(G3680="Saída",-I3680,I3680))</f>
        <v/>
      </c>
      <c r="L3680" t="str">
        <f>IF(E3680="","",IFERROR(VLOOKUP(E3680,Listas!$A$2:$C$1048576,3,FALSE),""))</f>
        <v/>
      </c>
    </row>
    <row r="3681" spans="10:12" x14ac:dyDescent="0.25">
      <c r="J3681" t="str">
        <f>IF(H3681="","",IFERROR(VLOOKUP(H3681,Listas!$J$2:$K$1048576,2,FALSE),""))</f>
        <v/>
      </c>
      <c r="K3681" s="5" t="str">
        <f>IF(OR(I3681="",G3681=""),"",IF(G3681="Saída",-I3681,I3681))</f>
        <v/>
      </c>
      <c r="L3681" t="str">
        <f>IF(E3681="","",IFERROR(VLOOKUP(E3681,Listas!$A$2:$C$1048576,3,FALSE),""))</f>
        <v/>
      </c>
    </row>
    <row r="3682" spans="10:12" x14ac:dyDescent="0.25">
      <c r="J3682" t="str">
        <f>IF(H3682="","",IFERROR(VLOOKUP(H3682,Listas!$J$2:$K$1048576,2,FALSE),""))</f>
        <v/>
      </c>
      <c r="K3682" s="5" t="str">
        <f>IF(OR(I3682="",G3682=""),"",IF(G3682="Saída",-I3682,I3682))</f>
        <v/>
      </c>
      <c r="L3682" t="str">
        <f>IF(E3682="","",IFERROR(VLOOKUP(E3682,Listas!$A$2:$C$1048576,3,FALSE),""))</f>
        <v/>
      </c>
    </row>
    <row r="3683" spans="10:12" x14ac:dyDescent="0.25">
      <c r="J3683" t="str">
        <f>IF(H3683="","",IFERROR(VLOOKUP(H3683,Listas!$J$2:$K$1048576,2,FALSE),""))</f>
        <v/>
      </c>
      <c r="K3683" s="5" t="str">
        <f>IF(OR(I3683="",G3683=""),"",IF(G3683="Saída",-I3683,I3683))</f>
        <v/>
      </c>
      <c r="L3683" t="str">
        <f>IF(E3683="","",IFERROR(VLOOKUP(E3683,Listas!$A$2:$C$1048576,3,FALSE),""))</f>
        <v/>
      </c>
    </row>
    <row r="3684" spans="10:12" x14ac:dyDescent="0.25">
      <c r="J3684" t="str">
        <f>IF(H3684="","",IFERROR(VLOOKUP(H3684,Listas!$J$2:$K$1048576,2,FALSE),""))</f>
        <v/>
      </c>
      <c r="K3684" s="5" t="str">
        <f>IF(OR(I3684="",G3684=""),"",IF(G3684="Saída",-I3684,I3684))</f>
        <v/>
      </c>
      <c r="L3684" t="str">
        <f>IF(E3684="","",IFERROR(VLOOKUP(E3684,Listas!$A$2:$C$1048576,3,FALSE),""))</f>
        <v/>
      </c>
    </row>
    <row r="3685" spans="10:12" x14ac:dyDescent="0.25">
      <c r="J3685" t="str">
        <f>IF(H3685="","",IFERROR(VLOOKUP(H3685,Listas!$J$2:$K$1048576,2,FALSE),""))</f>
        <v/>
      </c>
      <c r="K3685" s="5" t="str">
        <f>IF(OR(I3685="",G3685=""),"",IF(G3685="Saída",-I3685,I3685))</f>
        <v/>
      </c>
      <c r="L3685" t="str">
        <f>IF(E3685="","",IFERROR(VLOOKUP(E3685,Listas!$A$2:$C$1048576,3,FALSE),""))</f>
        <v/>
      </c>
    </row>
    <row r="3686" spans="10:12" x14ac:dyDescent="0.25">
      <c r="J3686" t="str">
        <f>IF(H3686="","",IFERROR(VLOOKUP(H3686,Listas!$J$2:$K$1048576,2,FALSE),""))</f>
        <v/>
      </c>
      <c r="K3686" s="5" t="str">
        <f>IF(OR(I3686="",G3686=""),"",IF(G3686="Saída",-I3686,I3686))</f>
        <v/>
      </c>
      <c r="L3686" t="str">
        <f>IF(E3686="","",IFERROR(VLOOKUP(E3686,Listas!$A$2:$C$1048576,3,FALSE),""))</f>
        <v/>
      </c>
    </row>
    <row r="3687" spans="10:12" x14ac:dyDescent="0.25">
      <c r="J3687" t="str">
        <f>IF(H3687="","",IFERROR(VLOOKUP(H3687,Listas!$J$2:$K$1048576,2,FALSE),""))</f>
        <v/>
      </c>
      <c r="K3687" s="5" t="str">
        <f>IF(OR(I3687="",G3687=""),"",IF(G3687="Saída",-I3687,I3687))</f>
        <v/>
      </c>
      <c r="L3687" t="str">
        <f>IF(E3687="","",IFERROR(VLOOKUP(E3687,Listas!$A$2:$C$1048576,3,FALSE),""))</f>
        <v/>
      </c>
    </row>
    <row r="3688" spans="10:12" x14ac:dyDescent="0.25">
      <c r="J3688" t="str">
        <f>IF(H3688="","",IFERROR(VLOOKUP(H3688,Listas!$J$2:$K$1048576,2,FALSE),""))</f>
        <v/>
      </c>
      <c r="K3688" s="5" t="str">
        <f>IF(OR(I3688="",G3688=""),"",IF(G3688="Saída",-I3688,I3688))</f>
        <v/>
      </c>
      <c r="L3688" t="str">
        <f>IF(E3688="","",IFERROR(VLOOKUP(E3688,Listas!$A$2:$C$1048576,3,FALSE),""))</f>
        <v/>
      </c>
    </row>
    <row r="3689" spans="10:12" x14ac:dyDescent="0.25">
      <c r="J3689" t="str">
        <f>IF(H3689="","",IFERROR(VLOOKUP(H3689,Listas!$J$2:$K$1048576,2,FALSE),""))</f>
        <v/>
      </c>
      <c r="K3689" s="5" t="str">
        <f>IF(OR(I3689="",G3689=""),"",IF(G3689="Saída",-I3689,I3689))</f>
        <v/>
      </c>
      <c r="L3689" t="str">
        <f>IF(E3689="","",IFERROR(VLOOKUP(E3689,Listas!$A$2:$C$1048576,3,FALSE),""))</f>
        <v/>
      </c>
    </row>
    <row r="3690" spans="10:12" x14ac:dyDescent="0.25">
      <c r="J3690" t="str">
        <f>IF(H3690="","",IFERROR(VLOOKUP(H3690,Listas!$J$2:$K$1048576,2,FALSE),""))</f>
        <v/>
      </c>
      <c r="K3690" s="5" t="str">
        <f>IF(OR(I3690="",G3690=""),"",IF(G3690="Saída",-I3690,I3690))</f>
        <v/>
      </c>
      <c r="L3690" t="str">
        <f>IF(E3690="","",IFERROR(VLOOKUP(E3690,Listas!$A$2:$C$1048576,3,FALSE),""))</f>
        <v/>
      </c>
    </row>
    <row r="3691" spans="10:12" x14ac:dyDescent="0.25">
      <c r="J3691" t="str">
        <f>IF(H3691="","",IFERROR(VLOOKUP(H3691,Listas!$J$2:$K$1048576,2,FALSE),""))</f>
        <v/>
      </c>
      <c r="K3691" s="5" t="str">
        <f>IF(OR(I3691="",G3691=""),"",IF(G3691="Saída",-I3691,I3691))</f>
        <v/>
      </c>
      <c r="L3691" t="str">
        <f>IF(E3691="","",IFERROR(VLOOKUP(E3691,Listas!$A$2:$C$1048576,3,FALSE),""))</f>
        <v/>
      </c>
    </row>
    <row r="3692" spans="10:12" x14ac:dyDescent="0.25">
      <c r="J3692" t="str">
        <f>IF(H3692="","",IFERROR(VLOOKUP(H3692,Listas!$J$2:$K$1048576,2,FALSE),""))</f>
        <v/>
      </c>
      <c r="K3692" s="5" t="str">
        <f>IF(OR(I3692="",G3692=""),"",IF(G3692="Saída",-I3692,I3692))</f>
        <v/>
      </c>
      <c r="L3692" t="str">
        <f>IF(E3692="","",IFERROR(VLOOKUP(E3692,Listas!$A$2:$C$1048576,3,FALSE),""))</f>
        <v/>
      </c>
    </row>
    <row r="3693" spans="10:12" x14ac:dyDescent="0.25">
      <c r="J3693" t="str">
        <f>IF(H3693="","",IFERROR(VLOOKUP(H3693,Listas!$J$2:$K$1048576,2,FALSE),""))</f>
        <v/>
      </c>
      <c r="K3693" s="5" t="str">
        <f>IF(OR(I3693="",G3693=""),"",IF(G3693="Saída",-I3693,I3693))</f>
        <v/>
      </c>
      <c r="L3693" t="str">
        <f>IF(E3693="","",IFERROR(VLOOKUP(E3693,Listas!$A$2:$C$1048576,3,FALSE),""))</f>
        <v/>
      </c>
    </row>
    <row r="3694" spans="10:12" x14ac:dyDescent="0.25">
      <c r="J3694" t="str">
        <f>IF(H3694="","",IFERROR(VLOOKUP(H3694,Listas!$J$2:$K$1048576,2,FALSE),""))</f>
        <v/>
      </c>
      <c r="K3694" s="5" t="str">
        <f>IF(OR(I3694="",G3694=""),"",IF(G3694="Saída",-I3694,I3694))</f>
        <v/>
      </c>
      <c r="L3694" t="str">
        <f>IF(E3694="","",IFERROR(VLOOKUP(E3694,Listas!$A$2:$C$1048576,3,FALSE),""))</f>
        <v/>
      </c>
    </row>
    <row r="3695" spans="10:12" x14ac:dyDescent="0.25">
      <c r="J3695" t="str">
        <f>IF(H3695="","",IFERROR(VLOOKUP(H3695,Listas!$J$2:$K$1048576,2,FALSE),""))</f>
        <v/>
      </c>
      <c r="K3695" s="5" t="str">
        <f>IF(OR(I3695="",G3695=""),"",IF(G3695="Saída",-I3695,I3695))</f>
        <v/>
      </c>
      <c r="L3695" t="str">
        <f>IF(E3695="","",IFERROR(VLOOKUP(E3695,Listas!$A$2:$C$1048576,3,FALSE),""))</f>
        <v/>
      </c>
    </row>
    <row r="3696" spans="10:12" x14ac:dyDescent="0.25">
      <c r="J3696" t="str">
        <f>IF(H3696="","",IFERROR(VLOOKUP(H3696,Listas!$J$2:$K$1048576,2,FALSE),""))</f>
        <v/>
      </c>
      <c r="K3696" s="5" t="str">
        <f>IF(OR(I3696="",G3696=""),"",IF(G3696="Saída",-I3696,I3696))</f>
        <v/>
      </c>
      <c r="L3696" t="str">
        <f>IF(E3696="","",IFERROR(VLOOKUP(E3696,Listas!$A$2:$C$1048576,3,FALSE),""))</f>
        <v/>
      </c>
    </row>
    <row r="3697" spans="10:12" x14ac:dyDescent="0.25">
      <c r="J3697" t="str">
        <f>IF(H3697="","",IFERROR(VLOOKUP(H3697,Listas!$J$2:$K$1048576,2,FALSE),""))</f>
        <v/>
      </c>
      <c r="K3697" s="5" t="str">
        <f>IF(OR(I3697="",G3697=""),"",IF(G3697="Saída",-I3697,I3697))</f>
        <v/>
      </c>
      <c r="L3697" t="str">
        <f>IF(E3697="","",IFERROR(VLOOKUP(E3697,Listas!$A$2:$C$1048576,3,FALSE),""))</f>
        <v/>
      </c>
    </row>
    <row r="3698" spans="10:12" x14ac:dyDescent="0.25">
      <c r="J3698" t="str">
        <f>IF(H3698="","",IFERROR(VLOOKUP(H3698,Listas!$J$2:$K$1048576,2,FALSE),""))</f>
        <v/>
      </c>
      <c r="K3698" s="5" t="str">
        <f>IF(OR(I3698="",G3698=""),"",IF(G3698="Saída",-I3698,I3698))</f>
        <v/>
      </c>
      <c r="L3698" t="str">
        <f>IF(E3698="","",IFERROR(VLOOKUP(E3698,Listas!$A$2:$C$1048576,3,FALSE),""))</f>
        <v/>
      </c>
    </row>
    <row r="3699" spans="10:12" x14ac:dyDescent="0.25">
      <c r="J3699" t="str">
        <f>IF(H3699="","",IFERROR(VLOOKUP(H3699,Listas!$J$2:$K$1048576,2,FALSE),""))</f>
        <v/>
      </c>
      <c r="K3699" s="5" t="str">
        <f>IF(OR(I3699="",G3699=""),"",IF(G3699="Saída",-I3699,I3699))</f>
        <v/>
      </c>
      <c r="L3699" t="str">
        <f>IF(E3699="","",IFERROR(VLOOKUP(E3699,Listas!$A$2:$C$1048576,3,FALSE),""))</f>
        <v/>
      </c>
    </row>
    <row r="3700" spans="10:12" x14ac:dyDescent="0.25">
      <c r="J3700" t="str">
        <f>IF(H3700="","",IFERROR(VLOOKUP(H3700,Listas!$J$2:$K$1048576,2,FALSE),""))</f>
        <v/>
      </c>
      <c r="K3700" s="5" t="str">
        <f>IF(OR(I3700="",G3700=""),"",IF(G3700="Saída",-I3700,I3700))</f>
        <v/>
      </c>
      <c r="L3700" t="str">
        <f>IF(E3700="","",IFERROR(VLOOKUP(E3700,Listas!$A$2:$C$1048576,3,FALSE),""))</f>
        <v/>
      </c>
    </row>
    <row r="3701" spans="10:12" x14ac:dyDescent="0.25">
      <c r="J3701" t="str">
        <f>IF(H3701="","",IFERROR(VLOOKUP(H3701,Listas!$J$2:$K$1048576,2,FALSE),""))</f>
        <v/>
      </c>
      <c r="K3701" s="5" t="str">
        <f>IF(OR(I3701="",G3701=""),"",IF(G3701="Saída",-I3701,I3701))</f>
        <v/>
      </c>
      <c r="L3701" t="str">
        <f>IF(E3701="","",IFERROR(VLOOKUP(E3701,Listas!$A$2:$C$1048576,3,FALSE),""))</f>
        <v/>
      </c>
    </row>
    <row r="3702" spans="10:12" x14ac:dyDescent="0.25">
      <c r="J3702" t="str">
        <f>IF(H3702="","",IFERROR(VLOOKUP(H3702,Listas!$J$2:$K$1048576,2,FALSE),""))</f>
        <v/>
      </c>
      <c r="K3702" s="5" t="str">
        <f>IF(OR(I3702="",G3702=""),"",IF(G3702="Saída",-I3702,I3702))</f>
        <v/>
      </c>
      <c r="L3702" t="str">
        <f>IF(E3702="","",IFERROR(VLOOKUP(E3702,Listas!$A$2:$C$1048576,3,FALSE),""))</f>
        <v/>
      </c>
    </row>
    <row r="3703" spans="10:12" x14ac:dyDescent="0.25">
      <c r="J3703" t="str">
        <f>IF(H3703="","",IFERROR(VLOOKUP(H3703,Listas!$J$2:$K$1048576,2,FALSE),""))</f>
        <v/>
      </c>
      <c r="K3703" s="5" t="str">
        <f>IF(OR(I3703="",G3703=""),"",IF(G3703="Saída",-I3703,I3703))</f>
        <v/>
      </c>
      <c r="L3703" t="str">
        <f>IF(E3703="","",IFERROR(VLOOKUP(E3703,Listas!$A$2:$C$1048576,3,FALSE),""))</f>
        <v/>
      </c>
    </row>
    <row r="3704" spans="10:12" x14ac:dyDescent="0.25">
      <c r="J3704" t="str">
        <f>IF(H3704="","",IFERROR(VLOOKUP(H3704,Listas!$J$2:$K$1048576,2,FALSE),""))</f>
        <v/>
      </c>
      <c r="K3704" s="5" t="str">
        <f>IF(OR(I3704="",G3704=""),"",IF(G3704="Saída",-I3704,I3704))</f>
        <v/>
      </c>
      <c r="L3704" t="str">
        <f>IF(E3704="","",IFERROR(VLOOKUP(E3704,Listas!$A$2:$C$1048576,3,FALSE),""))</f>
        <v/>
      </c>
    </row>
    <row r="3705" spans="10:12" x14ac:dyDescent="0.25">
      <c r="J3705" t="str">
        <f>IF(H3705="","",IFERROR(VLOOKUP(H3705,Listas!$J$2:$K$1048576,2,FALSE),""))</f>
        <v/>
      </c>
      <c r="K3705" s="5" t="str">
        <f>IF(OR(I3705="",G3705=""),"",IF(G3705="Saída",-I3705,I3705))</f>
        <v/>
      </c>
      <c r="L3705" t="str">
        <f>IF(E3705="","",IFERROR(VLOOKUP(E3705,Listas!$A$2:$C$1048576,3,FALSE),""))</f>
        <v/>
      </c>
    </row>
    <row r="3706" spans="10:12" x14ac:dyDescent="0.25">
      <c r="J3706" t="str">
        <f>IF(H3706="","",IFERROR(VLOOKUP(H3706,Listas!$J$2:$K$1048576,2,FALSE),""))</f>
        <v/>
      </c>
      <c r="K3706" s="5" t="str">
        <f>IF(OR(I3706="",G3706=""),"",IF(G3706="Saída",-I3706,I3706))</f>
        <v/>
      </c>
      <c r="L3706" t="str">
        <f>IF(E3706="","",IFERROR(VLOOKUP(E3706,Listas!$A$2:$C$1048576,3,FALSE),""))</f>
        <v/>
      </c>
    </row>
    <row r="3707" spans="10:12" x14ac:dyDescent="0.25">
      <c r="J3707" t="str">
        <f>IF(H3707="","",IFERROR(VLOOKUP(H3707,Listas!$J$2:$K$1048576,2,FALSE),""))</f>
        <v/>
      </c>
      <c r="K3707" s="5" t="str">
        <f>IF(OR(I3707="",G3707=""),"",IF(G3707="Saída",-I3707,I3707))</f>
        <v/>
      </c>
      <c r="L3707" t="str">
        <f>IF(E3707="","",IFERROR(VLOOKUP(E3707,Listas!$A$2:$C$1048576,3,FALSE),""))</f>
        <v/>
      </c>
    </row>
    <row r="3708" spans="10:12" x14ac:dyDescent="0.25">
      <c r="J3708" t="str">
        <f>IF(H3708="","",IFERROR(VLOOKUP(H3708,Listas!$J$2:$K$1048576,2,FALSE),""))</f>
        <v/>
      </c>
      <c r="K3708" s="5" t="str">
        <f>IF(OR(I3708="",G3708=""),"",IF(G3708="Saída",-I3708,I3708))</f>
        <v/>
      </c>
      <c r="L3708" t="str">
        <f>IF(E3708="","",IFERROR(VLOOKUP(E3708,Listas!$A$2:$C$1048576,3,FALSE),""))</f>
        <v/>
      </c>
    </row>
    <row r="3709" spans="10:12" x14ac:dyDescent="0.25">
      <c r="J3709" t="str">
        <f>IF(H3709="","",IFERROR(VLOOKUP(H3709,Listas!$J$2:$K$1048576,2,FALSE),""))</f>
        <v/>
      </c>
      <c r="K3709" s="5" t="str">
        <f>IF(OR(I3709="",G3709=""),"",IF(G3709="Saída",-I3709,I3709))</f>
        <v/>
      </c>
      <c r="L3709" t="str">
        <f>IF(E3709="","",IFERROR(VLOOKUP(E3709,Listas!$A$2:$C$1048576,3,FALSE),""))</f>
        <v/>
      </c>
    </row>
    <row r="3710" spans="10:12" x14ac:dyDescent="0.25">
      <c r="J3710" t="str">
        <f>IF(H3710="","",IFERROR(VLOOKUP(H3710,Listas!$J$2:$K$1048576,2,FALSE),""))</f>
        <v/>
      </c>
      <c r="K3710" s="5" t="str">
        <f>IF(OR(I3710="",G3710=""),"",IF(G3710="Saída",-I3710,I3710))</f>
        <v/>
      </c>
      <c r="L3710" t="str">
        <f>IF(E3710="","",IFERROR(VLOOKUP(E3710,Listas!$A$2:$C$1048576,3,FALSE),""))</f>
        <v/>
      </c>
    </row>
    <row r="3711" spans="10:12" x14ac:dyDescent="0.25">
      <c r="J3711" t="str">
        <f>IF(H3711="","",IFERROR(VLOOKUP(H3711,Listas!$J$2:$K$1048576,2,FALSE),""))</f>
        <v/>
      </c>
      <c r="K3711" s="5" t="str">
        <f>IF(OR(I3711="",G3711=""),"",IF(G3711="Saída",-I3711,I3711))</f>
        <v/>
      </c>
      <c r="L3711" t="str">
        <f>IF(E3711="","",IFERROR(VLOOKUP(E3711,Listas!$A$2:$C$1048576,3,FALSE),""))</f>
        <v/>
      </c>
    </row>
    <row r="3712" spans="10:12" x14ac:dyDescent="0.25">
      <c r="J3712" t="str">
        <f>IF(H3712="","",IFERROR(VLOOKUP(H3712,Listas!$J$2:$K$1048576,2,FALSE),""))</f>
        <v/>
      </c>
      <c r="K3712" s="5" t="str">
        <f>IF(OR(I3712="",G3712=""),"",IF(G3712="Saída",-I3712,I3712))</f>
        <v/>
      </c>
      <c r="L3712" t="str">
        <f>IF(E3712="","",IFERROR(VLOOKUP(E3712,Listas!$A$2:$C$1048576,3,FALSE),""))</f>
        <v/>
      </c>
    </row>
    <row r="3713" spans="10:12" x14ac:dyDescent="0.25">
      <c r="J3713" t="str">
        <f>IF(H3713="","",IFERROR(VLOOKUP(H3713,Listas!$J$2:$K$1048576,2,FALSE),""))</f>
        <v/>
      </c>
      <c r="K3713" s="5" t="str">
        <f>IF(OR(I3713="",G3713=""),"",IF(G3713="Saída",-I3713,I3713))</f>
        <v/>
      </c>
      <c r="L3713" t="str">
        <f>IF(E3713="","",IFERROR(VLOOKUP(E3713,Listas!$A$2:$C$1048576,3,FALSE),""))</f>
        <v/>
      </c>
    </row>
    <row r="3714" spans="10:12" x14ac:dyDescent="0.25">
      <c r="J3714" t="str">
        <f>IF(H3714="","",IFERROR(VLOOKUP(H3714,Listas!$J$2:$K$1048576,2,FALSE),""))</f>
        <v/>
      </c>
      <c r="K3714" s="5" t="str">
        <f>IF(OR(I3714="",G3714=""),"",IF(G3714="Saída",-I3714,I3714))</f>
        <v/>
      </c>
      <c r="L3714" t="str">
        <f>IF(E3714="","",IFERROR(VLOOKUP(E3714,Listas!$A$2:$C$1048576,3,FALSE),""))</f>
        <v/>
      </c>
    </row>
    <row r="3715" spans="10:12" x14ac:dyDescent="0.25">
      <c r="J3715" t="str">
        <f>IF(H3715="","",IFERROR(VLOOKUP(H3715,Listas!$J$2:$K$1048576,2,FALSE),""))</f>
        <v/>
      </c>
      <c r="K3715" s="5" t="str">
        <f>IF(OR(I3715="",G3715=""),"",IF(G3715="Saída",-I3715,I3715))</f>
        <v/>
      </c>
      <c r="L3715" t="str">
        <f>IF(E3715="","",IFERROR(VLOOKUP(E3715,Listas!$A$2:$C$1048576,3,FALSE),""))</f>
        <v/>
      </c>
    </row>
    <row r="3716" spans="10:12" x14ac:dyDescent="0.25">
      <c r="J3716" t="str">
        <f>IF(H3716="","",IFERROR(VLOOKUP(H3716,Listas!$J$2:$K$1048576,2,FALSE),""))</f>
        <v/>
      </c>
      <c r="K3716" s="5" t="str">
        <f>IF(OR(I3716="",G3716=""),"",IF(G3716="Saída",-I3716,I3716))</f>
        <v/>
      </c>
      <c r="L3716" t="str">
        <f>IF(E3716="","",IFERROR(VLOOKUP(E3716,Listas!$A$2:$C$1048576,3,FALSE),""))</f>
        <v/>
      </c>
    </row>
    <row r="3717" spans="10:12" x14ac:dyDescent="0.25">
      <c r="J3717" t="str">
        <f>IF(H3717="","",IFERROR(VLOOKUP(H3717,Listas!$J$2:$K$1048576,2,FALSE),""))</f>
        <v/>
      </c>
      <c r="K3717" s="5" t="str">
        <f>IF(OR(I3717="",G3717=""),"",IF(G3717="Saída",-I3717,I3717))</f>
        <v/>
      </c>
      <c r="L3717" t="str">
        <f>IF(E3717="","",IFERROR(VLOOKUP(E3717,Listas!$A$2:$C$1048576,3,FALSE),""))</f>
        <v/>
      </c>
    </row>
    <row r="3718" spans="10:12" x14ac:dyDescent="0.25">
      <c r="J3718" t="str">
        <f>IF(H3718="","",IFERROR(VLOOKUP(H3718,Listas!$J$2:$K$1048576,2,FALSE),""))</f>
        <v/>
      </c>
      <c r="K3718" s="5" t="str">
        <f>IF(OR(I3718="",G3718=""),"",IF(G3718="Saída",-I3718,I3718))</f>
        <v/>
      </c>
      <c r="L3718" t="str">
        <f>IF(E3718="","",IFERROR(VLOOKUP(E3718,Listas!$A$2:$C$1048576,3,FALSE),""))</f>
        <v/>
      </c>
    </row>
    <row r="3719" spans="10:12" x14ac:dyDescent="0.25">
      <c r="J3719" t="str">
        <f>IF(H3719="","",IFERROR(VLOOKUP(H3719,Listas!$J$2:$K$1048576,2,FALSE),""))</f>
        <v/>
      </c>
      <c r="K3719" s="5" t="str">
        <f>IF(OR(I3719="",G3719=""),"",IF(G3719="Saída",-I3719,I3719))</f>
        <v/>
      </c>
      <c r="L3719" t="str">
        <f>IF(E3719="","",IFERROR(VLOOKUP(E3719,Listas!$A$2:$C$1048576,3,FALSE),""))</f>
        <v/>
      </c>
    </row>
    <row r="3720" spans="10:12" x14ac:dyDescent="0.25">
      <c r="J3720" t="str">
        <f>IF(H3720="","",IFERROR(VLOOKUP(H3720,Listas!$J$2:$K$1048576,2,FALSE),""))</f>
        <v/>
      </c>
      <c r="K3720" s="5" t="str">
        <f>IF(OR(I3720="",G3720=""),"",IF(G3720="Saída",-I3720,I3720))</f>
        <v/>
      </c>
      <c r="L3720" t="str">
        <f>IF(E3720="","",IFERROR(VLOOKUP(E3720,Listas!$A$2:$C$1048576,3,FALSE),""))</f>
        <v/>
      </c>
    </row>
    <row r="3721" spans="10:12" x14ac:dyDescent="0.25">
      <c r="J3721" t="str">
        <f>IF(H3721="","",IFERROR(VLOOKUP(H3721,Listas!$J$2:$K$1048576,2,FALSE),""))</f>
        <v/>
      </c>
      <c r="K3721" s="5" t="str">
        <f>IF(OR(I3721="",G3721=""),"",IF(G3721="Saída",-I3721,I3721))</f>
        <v/>
      </c>
      <c r="L3721" t="str">
        <f>IF(E3721="","",IFERROR(VLOOKUP(E3721,Listas!$A$2:$C$1048576,3,FALSE),""))</f>
        <v/>
      </c>
    </row>
    <row r="3722" spans="10:12" x14ac:dyDescent="0.25">
      <c r="J3722" t="str">
        <f>IF(H3722="","",IFERROR(VLOOKUP(H3722,Listas!$J$2:$K$1048576,2,FALSE),""))</f>
        <v/>
      </c>
      <c r="K3722" s="5" t="str">
        <f>IF(OR(I3722="",G3722=""),"",IF(G3722="Saída",-I3722,I3722))</f>
        <v/>
      </c>
      <c r="L3722" t="str">
        <f>IF(E3722="","",IFERROR(VLOOKUP(E3722,Listas!$A$2:$C$1048576,3,FALSE),""))</f>
        <v/>
      </c>
    </row>
    <row r="3723" spans="10:12" x14ac:dyDescent="0.25">
      <c r="J3723" t="str">
        <f>IF(H3723="","",IFERROR(VLOOKUP(H3723,Listas!$J$2:$K$1048576,2,FALSE),""))</f>
        <v/>
      </c>
      <c r="K3723" s="5" t="str">
        <f>IF(OR(I3723="",G3723=""),"",IF(G3723="Saída",-I3723,I3723))</f>
        <v/>
      </c>
      <c r="L3723" t="str">
        <f>IF(E3723="","",IFERROR(VLOOKUP(E3723,Listas!$A$2:$C$1048576,3,FALSE),""))</f>
        <v/>
      </c>
    </row>
    <row r="3724" spans="10:12" x14ac:dyDescent="0.25">
      <c r="J3724" t="str">
        <f>IF(H3724="","",IFERROR(VLOOKUP(H3724,Listas!$J$2:$K$1048576,2,FALSE),""))</f>
        <v/>
      </c>
      <c r="K3724" s="5" t="str">
        <f>IF(OR(I3724="",G3724=""),"",IF(G3724="Saída",-I3724,I3724))</f>
        <v/>
      </c>
      <c r="L3724" t="str">
        <f>IF(E3724="","",IFERROR(VLOOKUP(E3724,Listas!$A$2:$C$1048576,3,FALSE),""))</f>
        <v/>
      </c>
    </row>
    <row r="3725" spans="10:12" x14ac:dyDescent="0.25">
      <c r="J3725" t="str">
        <f>IF(H3725="","",IFERROR(VLOOKUP(H3725,Listas!$J$2:$K$1048576,2,FALSE),""))</f>
        <v/>
      </c>
      <c r="K3725" s="5" t="str">
        <f>IF(OR(I3725="",G3725=""),"",IF(G3725="Saída",-I3725,I3725))</f>
        <v/>
      </c>
      <c r="L3725" t="str">
        <f>IF(E3725="","",IFERROR(VLOOKUP(E3725,Listas!$A$2:$C$1048576,3,FALSE),""))</f>
        <v/>
      </c>
    </row>
    <row r="3726" spans="10:12" x14ac:dyDescent="0.25">
      <c r="J3726" t="str">
        <f>IF(H3726="","",IFERROR(VLOOKUP(H3726,Listas!$J$2:$K$1048576,2,FALSE),""))</f>
        <v/>
      </c>
      <c r="K3726" s="5" t="str">
        <f>IF(OR(I3726="",G3726=""),"",IF(G3726="Saída",-I3726,I3726))</f>
        <v/>
      </c>
      <c r="L3726" t="str">
        <f>IF(E3726="","",IFERROR(VLOOKUP(E3726,Listas!$A$2:$C$1048576,3,FALSE),""))</f>
        <v/>
      </c>
    </row>
    <row r="3727" spans="10:12" x14ac:dyDescent="0.25">
      <c r="J3727" t="str">
        <f>IF(H3727="","",IFERROR(VLOOKUP(H3727,Listas!$J$2:$K$1048576,2,FALSE),""))</f>
        <v/>
      </c>
      <c r="K3727" s="5" t="str">
        <f>IF(OR(I3727="",G3727=""),"",IF(G3727="Saída",-I3727,I3727))</f>
        <v/>
      </c>
      <c r="L3727" t="str">
        <f>IF(E3727="","",IFERROR(VLOOKUP(E3727,Listas!$A$2:$C$1048576,3,FALSE),""))</f>
        <v/>
      </c>
    </row>
    <row r="3728" spans="10:12" x14ac:dyDescent="0.25">
      <c r="J3728" t="str">
        <f>IF(H3728="","",IFERROR(VLOOKUP(H3728,Listas!$J$2:$K$1048576,2,FALSE),""))</f>
        <v/>
      </c>
      <c r="K3728" s="5" t="str">
        <f>IF(OR(I3728="",G3728=""),"",IF(G3728="Saída",-I3728,I3728))</f>
        <v/>
      </c>
      <c r="L3728" t="str">
        <f>IF(E3728="","",IFERROR(VLOOKUP(E3728,Listas!$A$2:$C$1048576,3,FALSE),""))</f>
        <v/>
      </c>
    </row>
    <row r="3729" spans="10:12" x14ac:dyDescent="0.25">
      <c r="J3729" t="str">
        <f>IF(H3729="","",IFERROR(VLOOKUP(H3729,Listas!$J$2:$K$1048576,2,FALSE),""))</f>
        <v/>
      </c>
      <c r="K3729" s="5" t="str">
        <f>IF(OR(I3729="",G3729=""),"",IF(G3729="Saída",-I3729,I3729))</f>
        <v/>
      </c>
      <c r="L3729" t="str">
        <f>IF(E3729="","",IFERROR(VLOOKUP(E3729,Listas!$A$2:$C$1048576,3,FALSE),""))</f>
        <v/>
      </c>
    </row>
    <row r="3730" spans="10:12" x14ac:dyDescent="0.25">
      <c r="J3730" t="str">
        <f>IF(H3730="","",IFERROR(VLOOKUP(H3730,Listas!$J$2:$K$1048576,2,FALSE),""))</f>
        <v/>
      </c>
      <c r="K3730" s="5" t="str">
        <f>IF(OR(I3730="",G3730=""),"",IF(G3730="Saída",-I3730,I3730))</f>
        <v/>
      </c>
      <c r="L3730" t="str">
        <f>IF(E3730="","",IFERROR(VLOOKUP(E3730,Listas!$A$2:$C$1048576,3,FALSE),""))</f>
        <v/>
      </c>
    </row>
    <row r="3731" spans="10:12" x14ac:dyDescent="0.25">
      <c r="J3731" t="str">
        <f>IF(H3731="","",IFERROR(VLOOKUP(H3731,Listas!$J$2:$K$1048576,2,FALSE),""))</f>
        <v/>
      </c>
      <c r="K3731" s="5" t="str">
        <f>IF(OR(I3731="",G3731=""),"",IF(G3731="Saída",-I3731,I3731))</f>
        <v/>
      </c>
      <c r="L3731" t="str">
        <f>IF(E3731="","",IFERROR(VLOOKUP(E3731,Listas!$A$2:$C$1048576,3,FALSE),""))</f>
        <v/>
      </c>
    </row>
    <row r="3732" spans="10:12" x14ac:dyDescent="0.25">
      <c r="J3732" t="str">
        <f>IF(H3732="","",IFERROR(VLOOKUP(H3732,Listas!$J$2:$K$1048576,2,FALSE),""))</f>
        <v/>
      </c>
      <c r="K3732" s="5" t="str">
        <f>IF(OR(I3732="",G3732=""),"",IF(G3732="Saída",-I3732,I3732))</f>
        <v/>
      </c>
      <c r="L3732" t="str">
        <f>IF(E3732="","",IFERROR(VLOOKUP(E3732,Listas!$A$2:$C$1048576,3,FALSE),""))</f>
        <v/>
      </c>
    </row>
    <row r="3733" spans="10:12" x14ac:dyDescent="0.25">
      <c r="J3733" t="str">
        <f>IF(H3733="","",IFERROR(VLOOKUP(H3733,Listas!$J$2:$K$1048576,2,FALSE),""))</f>
        <v/>
      </c>
      <c r="K3733" s="5" t="str">
        <f>IF(OR(I3733="",G3733=""),"",IF(G3733="Saída",-I3733,I3733))</f>
        <v/>
      </c>
      <c r="L3733" t="str">
        <f>IF(E3733="","",IFERROR(VLOOKUP(E3733,Listas!$A$2:$C$1048576,3,FALSE),""))</f>
        <v/>
      </c>
    </row>
    <row r="3734" spans="10:12" x14ac:dyDescent="0.25">
      <c r="J3734" t="str">
        <f>IF(H3734="","",IFERROR(VLOOKUP(H3734,Listas!$J$2:$K$1048576,2,FALSE),""))</f>
        <v/>
      </c>
      <c r="K3734" s="5" t="str">
        <f>IF(OR(I3734="",G3734=""),"",IF(G3734="Saída",-I3734,I3734))</f>
        <v/>
      </c>
      <c r="L3734" t="str">
        <f>IF(E3734="","",IFERROR(VLOOKUP(E3734,Listas!$A$2:$C$1048576,3,FALSE),""))</f>
        <v/>
      </c>
    </row>
    <row r="3735" spans="10:12" x14ac:dyDescent="0.25">
      <c r="J3735" t="str">
        <f>IF(H3735="","",IFERROR(VLOOKUP(H3735,Listas!$J$2:$K$1048576,2,FALSE),""))</f>
        <v/>
      </c>
      <c r="K3735" s="5" t="str">
        <f>IF(OR(I3735="",G3735=""),"",IF(G3735="Saída",-I3735,I3735))</f>
        <v/>
      </c>
      <c r="L3735" t="str">
        <f>IF(E3735="","",IFERROR(VLOOKUP(E3735,Listas!$A$2:$C$1048576,3,FALSE),""))</f>
        <v/>
      </c>
    </row>
    <row r="3736" spans="10:12" x14ac:dyDescent="0.25">
      <c r="J3736" t="str">
        <f>IF(H3736="","",IFERROR(VLOOKUP(H3736,Listas!$J$2:$K$1048576,2,FALSE),""))</f>
        <v/>
      </c>
      <c r="K3736" s="5" t="str">
        <f>IF(OR(I3736="",G3736=""),"",IF(G3736="Saída",-I3736,I3736))</f>
        <v/>
      </c>
      <c r="L3736" t="str">
        <f>IF(E3736="","",IFERROR(VLOOKUP(E3736,Listas!$A$2:$C$1048576,3,FALSE),""))</f>
        <v/>
      </c>
    </row>
    <row r="3737" spans="10:12" x14ac:dyDescent="0.25">
      <c r="J3737" t="str">
        <f>IF(H3737="","",IFERROR(VLOOKUP(H3737,Listas!$J$2:$K$1048576,2,FALSE),""))</f>
        <v/>
      </c>
      <c r="K3737" s="5" t="str">
        <f>IF(OR(I3737="",G3737=""),"",IF(G3737="Saída",-I3737,I3737))</f>
        <v/>
      </c>
      <c r="L3737" t="str">
        <f>IF(E3737="","",IFERROR(VLOOKUP(E3737,Listas!$A$2:$C$1048576,3,FALSE),""))</f>
        <v/>
      </c>
    </row>
    <row r="3738" spans="10:12" x14ac:dyDescent="0.25">
      <c r="J3738" t="str">
        <f>IF(H3738="","",IFERROR(VLOOKUP(H3738,Listas!$J$2:$K$1048576,2,FALSE),""))</f>
        <v/>
      </c>
      <c r="K3738" s="5" t="str">
        <f>IF(OR(I3738="",G3738=""),"",IF(G3738="Saída",-I3738,I3738))</f>
        <v/>
      </c>
      <c r="L3738" t="str">
        <f>IF(E3738="","",IFERROR(VLOOKUP(E3738,Listas!$A$2:$C$1048576,3,FALSE),""))</f>
        <v/>
      </c>
    </row>
    <row r="3739" spans="10:12" x14ac:dyDescent="0.25">
      <c r="J3739" t="str">
        <f>IF(H3739="","",IFERROR(VLOOKUP(H3739,Listas!$J$2:$K$1048576,2,FALSE),""))</f>
        <v/>
      </c>
      <c r="K3739" s="5" t="str">
        <f>IF(OR(I3739="",G3739=""),"",IF(G3739="Saída",-I3739,I3739))</f>
        <v/>
      </c>
      <c r="L3739" t="str">
        <f>IF(E3739="","",IFERROR(VLOOKUP(E3739,Listas!$A$2:$C$1048576,3,FALSE),""))</f>
        <v/>
      </c>
    </row>
    <row r="3740" spans="10:12" x14ac:dyDescent="0.25">
      <c r="J3740" t="str">
        <f>IF(H3740="","",IFERROR(VLOOKUP(H3740,Listas!$J$2:$K$1048576,2,FALSE),""))</f>
        <v/>
      </c>
      <c r="K3740" s="5" t="str">
        <f>IF(OR(I3740="",G3740=""),"",IF(G3740="Saída",-I3740,I3740))</f>
        <v/>
      </c>
      <c r="L3740" t="str">
        <f>IF(E3740="","",IFERROR(VLOOKUP(E3740,Listas!$A$2:$C$1048576,3,FALSE),""))</f>
        <v/>
      </c>
    </row>
    <row r="3741" spans="10:12" x14ac:dyDescent="0.25">
      <c r="J3741" t="str">
        <f>IF(H3741="","",IFERROR(VLOOKUP(H3741,Listas!$J$2:$K$1048576,2,FALSE),""))</f>
        <v/>
      </c>
      <c r="K3741" s="5" t="str">
        <f>IF(OR(I3741="",G3741=""),"",IF(G3741="Saída",-I3741,I3741))</f>
        <v/>
      </c>
      <c r="L3741" t="str">
        <f>IF(E3741="","",IFERROR(VLOOKUP(E3741,Listas!$A$2:$C$1048576,3,FALSE),""))</f>
        <v/>
      </c>
    </row>
    <row r="3742" spans="10:12" x14ac:dyDescent="0.25">
      <c r="J3742" t="str">
        <f>IF(H3742="","",IFERROR(VLOOKUP(H3742,Listas!$J$2:$K$1048576,2,FALSE),""))</f>
        <v/>
      </c>
      <c r="K3742" s="5" t="str">
        <f>IF(OR(I3742="",G3742=""),"",IF(G3742="Saída",-I3742,I3742))</f>
        <v/>
      </c>
      <c r="L3742" t="str">
        <f>IF(E3742="","",IFERROR(VLOOKUP(E3742,Listas!$A$2:$C$1048576,3,FALSE),""))</f>
        <v/>
      </c>
    </row>
    <row r="3743" spans="10:12" x14ac:dyDescent="0.25">
      <c r="J3743" t="str">
        <f>IF(H3743="","",IFERROR(VLOOKUP(H3743,Listas!$J$2:$K$1048576,2,FALSE),""))</f>
        <v/>
      </c>
      <c r="K3743" s="5" t="str">
        <f>IF(OR(I3743="",G3743=""),"",IF(G3743="Saída",-I3743,I3743))</f>
        <v/>
      </c>
      <c r="L3743" t="str">
        <f>IF(E3743="","",IFERROR(VLOOKUP(E3743,Listas!$A$2:$C$1048576,3,FALSE),""))</f>
        <v/>
      </c>
    </row>
    <row r="3744" spans="10:12" x14ac:dyDescent="0.25">
      <c r="J3744" t="str">
        <f>IF(H3744="","",IFERROR(VLOOKUP(H3744,Listas!$J$2:$K$1048576,2,FALSE),""))</f>
        <v/>
      </c>
      <c r="K3744" s="5" t="str">
        <f>IF(OR(I3744="",G3744=""),"",IF(G3744="Saída",-I3744,I3744))</f>
        <v/>
      </c>
      <c r="L3744" t="str">
        <f>IF(E3744="","",IFERROR(VLOOKUP(E3744,Listas!$A$2:$C$1048576,3,FALSE),""))</f>
        <v/>
      </c>
    </row>
    <row r="3745" spans="10:12" x14ac:dyDescent="0.25">
      <c r="J3745" t="str">
        <f>IF(H3745="","",IFERROR(VLOOKUP(H3745,Listas!$J$2:$K$1048576,2,FALSE),""))</f>
        <v/>
      </c>
      <c r="K3745" s="5" t="str">
        <f>IF(OR(I3745="",G3745=""),"",IF(G3745="Saída",-I3745,I3745))</f>
        <v/>
      </c>
      <c r="L3745" t="str">
        <f>IF(E3745="","",IFERROR(VLOOKUP(E3745,Listas!$A$2:$C$1048576,3,FALSE),""))</f>
        <v/>
      </c>
    </row>
    <row r="3746" spans="10:12" x14ac:dyDescent="0.25">
      <c r="J3746" t="str">
        <f>IF(H3746="","",IFERROR(VLOOKUP(H3746,Listas!$J$2:$K$1048576,2,FALSE),""))</f>
        <v/>
      </c>
      <c r="K3746" s="5" t="str">
        <f>IF(OR(I3746="",G3746=""),"",IF(G3746="Saída",-I3746,I3746))</f>
        <v/>
      </c>
      <c r="L3746" t="str">
        <f>IF(E3746="","",IFERROR(VLOOKUP(E3746,Listas!$A$2:$C$1048576,3,FALSE),""))</f>
        <v/>
      </c>
    </row>
    <row r="3747" spans="10:12" x14ac:dyDescent="0.25">
      <c r="J3747" t="str">
        <f>IF(H3747="","",IFERROR(VLOOKUP(H3747,Listas!$J$2:$K$1048576,2,FALSE),""))</f>
        <v/>
      </c>
      <c r="K3747" s="5" t="str">
        <f>IF(OR(I3747="",G3747=""),"",IF(G3747="Saída",-I3747,I3747))</f>
        <v/>
      </c>
      <c r="L3747" t="str">
        <f>IF(E3747="","",IFERROR(VLOOKUP(E3747,Listas!$A$2:$C$1048576,3,FALSE),""))</f>
        <v/>
      </c>
    </row>
    <row r="3748" spans="10:12" x14ac:dyDescent="0.25">
      <c r="J3748" t="str">
        <f>IF(H3748="","",IFERROR(VLOOKUP(H3748,Listas!$J$2:$K$1048576,2,FALSE),""))</f>
        <v/>
      </c>
      <c r="K3748" s="5" t="str">
        <f>IF(OR(I3748="",G3748=""),"",IF(G3748="Saída",-I3748,I3748))</f>
        <v/>
      </c>
      <c r="L3748" t="str">
        <f>IF(E3748="","",IFERROR(VLOOKUP(E3748,Listas!$A$2:$C$1048576,3,FALSE),""))</f>
        <v/>
      </c>
    </row>
    <row r="3749" spans="10:12" x14ac:dyDescent="0.25">
      <c r="J3749" t="str">
        <f>IF(H3749="","",IFERROR(VLOOKUP(H3749,Listas!$J$2:$K$1048576,2,FALSE),""))</f>
        <v/>
      </c>
      <c r="K3749" s="5" t="str">
        <f>IF(OR(I3749="",G3749=""),"",IF(G3749="Saída",-I3749,I3749))</f>
        <v/>
      </c>
      <c r="L3749" t="str">
        <f>IF(E3749="","",IFERROR(VLOOKUP(E3749,Listas!$A$2:$C$1048576,3,FALSE),""))</f>
        <v/>
      </c>
    </row>
    <row r="3750" spans="10:12" x14ac:dyDescent="0.25">
      <c r="J3750" t="str">
        <f>IF(H3750="","",IFERROR(VLOOKUP(H3750,Listas!$J$2:$K$1048576,2,FALSE),""))</f>
        <v/>
      </c>
      <c r="K3750" s="5" t="str">
        <f>IF(OR(I3750="",G3750=""),"",IF(G3750="Saída",-I3750,I3750))</f>
        <v/>
      </c>
      <c r="L3750" t="str">
        <f>IF(E3750="","",IFERROR(VLOOKUP(E3750,Listas!$A$2:$C$1048576,3,FALSE),""))</f>
        <v/>
      </c>
    </row>
    <row r="3751" spans="10:12" x14ac:dyDescent="0.25">
      <c r="J3751" t="str">
        <f>IF(H3751="","",IFERROR(VLOOKUP(H3751,Listas!$J$2:$K$1048576,2,FALSE),""))</f>
        <v/>
      </c>
      <c r="K3751" s="5" t="str">
        <f>IF(OR(I3751="",G3751=""),"",IF(G3751="Saída",-I3751,I3751))</f>
        <v/>
      </c>
      <c r="L3751" t="str">
        <f>IF(E3751="","",IFERROR(VLOOKUP(E3751,Listas!$A$2:$C$1048576,3,FALSE),""))</f>
        <v/>
      </c>
    </row>
    <row r="3752" spans="10:12" x14ac:dyDescent="0.25">
      <c r="J3752" t="str">
        <f>IF(H3752="","",IFERROR(VLOOKUP(H3752,Listas!$J$2:$K$1048576,2,FALSE),""))</f>
        <v/>
      </c>
      <c r="K3752" s="5" t="str">
        <f>IF(OR(I3752="",G3752=""),"",IF(G3752="Saída",-I3752,I3752))</f>
        <v/>
      </c>
      <c r="L3752" t="str">
        <f>IF(E3752="","",IFERROR(VLOOKUP(E3752,Listas!$A$2:$C$1048576,3,FALSE),""))</f>
        <v/>
      </c>
    </row>
    <row r="3753" spans="10:12" x14ac:dyDescent="0.25">
      <c r="J3753" t="str">
        <f>IF(H3753="","",IFERROR(VLOOKUP(H3753,Listas!$J$2:$K$1048576,2,FALSE),""))</f>
        <v/>
      </c>
      <c r="K3753" s="5" t="str">
        <f>IF(OR(I3753="",G3753=""),"",IF(G3753="Saída",-I3753,I3753))</f>
        <v/>
      </c>
      <c r="L3753" t="str">
        <f>IF(E3753="","",IFERROR(VLOOKUP(E3753,Listas!$A$2:$C$1048576,3,FALSE),""))</f>
        <v/>
      </c>
    </row>
    <row r="3754" spans="10:12" x14ac:dyDescent="0.25">
      <c r="J3754" t="str">
        <f>IF(H3754="","",IFERROR(VLOOKUP(H3754,Listas!$J$2:$K$1048576,2,FALSE),""))</f>
        <v/>
      </c>
      <c r="K3754" s="5" t="str">
        <f>IF(OR(I3754="",G3754=""),"",IF(G3754="Saída",-I3754,I3754))</f>
        <v/>
      </c>
      <c r="L3754" t="str">
        <f>IF(E3754="","",IFERROR(VLOOKUP(E3754,Listas!$A$2:$C$1048576,3,FALSE),""))</f>
        <v/>
      </c>
    </row>
    <row r="3755" spans="10:12" x14ac:dyDescent="0.25">
      <c r="J3755" t="str">
        <f>IF(H3755="","",IFERROR(VLOOKUP(H3755,Listas!$J$2:$K$1048576,2,FALSE),""))</f>
        <v/>
      </c>
      <c r="K3755" s="5" t="str">
        <f>IF(OR(I3755="",G3755=""),"",IF(G3755="Saída",-I3755,I3755))</f>
        <v/>
      </c>
      <c r="L3755" t="str">
        <f>IF(E3755="","",IFERROR(VLOOKUP(E3755,Listas!$A$2:$C$1048576,3,FALSE),""))</f>
        <v/>
      </c>
    </row>
    <row r="3756" spans="10:12" x14ac:dyDescent="0.25">
      <c r="J3756" t="str">
        <f>IF(H3756="","",IFERROR(VLOOKUP(H3756,Listas!$J$2:$K$1048576,2,FALSE),""))</f>
        <v/>
      </c>
      <c r="K3756" s="5" t="str">
        <f>IF(OR(I3756="",G3756=""),"",IF(G3756="Saída",-I3756,I3756))</f>
        <v/>
      </c>
      <c r="L3756" t="str">
        <f>IF(E3756="","",IFERROR(VLOOKUP(E3756,Listas!$A$2:$C$1048576,3,FALSE),""))</f>
        <v/>
      </c>
    </row>
    <row r="3757" spans="10:12" x14ac:dyDescent="0.25">
      <c r="J3757" t="str">
        <f>IF(H3757="","",IFERROR(VLOOKUP(H3757,Listas!$J$2:$K$1048576,2,FALSE),""))</f>
        <v/>
      </c>
      <c r="K3757" s="5" t="str">
        <f>IF(OR(I3757="",G3757=""),"",IF(G3757="Saída",-I3757,I3757))</f>
        <v/>
      </c>
      <c r="L3757" t="str">
        <f>IF(E3757="","",IFERROR(VLOOKUP(E3757,Listas!$A$2:$C$1048576,3,FALSE),""))</f>
        <v/>
      </c>
    </row>
    <row r="3758" spans="10:12" x14ac:dyDescent="0.25">
      <c r="J3758" t="str">
        <f>IF(H3758="","",IFERROR(VLOOKUP(H3758,Listas!$J$2:$K$1048576,2,FALSE),""))</f>
        <v/>
      </c>
      <c r="K3758" s="5" t="str">
        <f>IF(OR(I3758="",G3758=""),"",IF(G3758="Saída",-I3758,I3758))</f>
        <v/>
      </c>
      <c r="L3758" t="str">
        <f>IF(E3758="","",IFERROR(VLOOKUP(E3758,Listas!$A$2:$C$1048576,3,FALSE),""))</f>
        <v/>
      </c>
    </row>
    <row r="3759" spans="10:12" x14ac:dyDescent="0.25">
      <c r="J3759" t="str">
        <f>IF(H3759="","",IFERROR(VLOOKUP(H3759,Listas!$J$2:$K$1048576,2,FALSE),""))</f>
        <v/>
      </c>
      <c r="K3759" s="5" t="str">
        <f>IF(OR(I3759="",G3759=""),"",IF(G3759="Saída",-I3759,I3759))</f>
        <v/>
      </c>
      <c r="L3759" t="str">
        <f>IF(E3759="","",IFERROR(VLOOKUP(E3759,Listas!$A$2:$C$1048576,3,FALSE),""))</f>
        <v/>
      </c>
    </row>
    <row r="3760" spans="10:12" x14ac:dyDescent="0.25">
      <c r="J3760" t="str">
        <f>IF(H3760="","",IFERROR(VLOOKUP(H3760,Listas!$J$2:$K$1048576,2,FALSE),""))</f>
        <v/>
      </c>
      <c r="K3760" s="5" t="str">
        <f>IF(OR(I3760="",G3760=""),"",IF(G3760="Saída",-I3760,I3760))</f>
        <v/>
      </c>
      <c r="L3760" t="str">
        <f>IF(E3760="","",IFERROR(VLOOKUP(E3760,Listas!$A$2:$C$1048576,3,FALSE),""))</f>
        <v/>
      </c>
    </row>
    <row r="3761" spans="10:12" x14ac:dyDescent="0.25">
      <c r="J3761" t="str">
        <f>IF(H3761="","",IFERROR(VLOOKUP(H3761,Listas!$J$2:$K$1048576,2,FALSE),""))</f>
        <v/>
      </c>
      <c r="K3761" s="5" t="str">
        <f>IF(OR(I3761="",G3761=""),"",IF(G3761="Saída",-I3761,I3761))</f>
        <v/>
      </c>
      <c r="L3761" t="str">
        <f>IF(E3761="","",IFERROR(VLOOKUP(E3761,Listas!$A$2:$C$1048576,3,FALSE),""))</f>
        <v/>
      </c>
    </row>
    <row r="3762" spans="10:12" x14ac:dyDescent="0.25">
      <c r="J3762" t="str">
        <f>IF(H3762="","",IFERROR(VLOOKUP(H3762,Listas!$J$2:$K$1048576,2,FALSE),""))</f>
        <v/>
      </c>
      <c r="K3762" s="5" t="str">
        <f>IF(OR(I3762="",G3762=""),"",IF(G3762="Saída",-I3762,I3762))</f>
        <v/>
      </c>
      <c r="L3762" t="str">
        <f>IF(E3762="","",IFERROR(VLOOKUP(E3762,Listas!$A$2:$C$1048576,3,FALSE),""))</f>
        <v/>
      </c>
    </row>
    <row r="3763" spans="10:12" x14ac:dyDescent="0.25">
      <c r="J3763" t="str">
        <f>IF(H3763="","",IFERROR(VLOOKUP(H3763,Listas!$J$2:$K$1048576,2,FALSE),""))</f>
        <v/>
      </c>
      <c r="K3763" s="5" t="str">
        <f>IF(OR(I3763="",G3763=""),"",IF(G3763="Saída",-I3763,I3763))</f>
        <v/>
      </c>
      <c r="L3763" t="str">
        <f>IF(E3763="","",IFERROR(VLOOKUP(E3763,Listas!$A$2:$C$1048576,3,FALSE),""))</f>
        <v/>
      </c>
    </row>
    <row r="3764" spans="10:12" x14ac:dyDescent="0.25">
      <c r="J3764" t="str">
        <f>IF(H3764="","",IFERROR(VLOOKUP(H3764,Listas!$J$2:$K$1048576,2,FALSE),""))</f>
        <v/>
      </c>
      <c r="K3764" s="5" t="str">
        <f>IF(OR(I3764="",G3764=""),"",IF(G3764="Saída",-I3764,I3764))</f>
        <v/>
      </c>
      <c r="L3764" t="str">
        <f>IF(E3764="","",IFERROR(VLOOKUP(E3764,Listas!$A$2:$C$1048576,3,FALSE),""))</f>
        <v/>
      </c>
    </row>
    <row r="3765" spans="10:12" x14ac:dyDescent="0.25">
      <c r="J3765" t="str">
        <f>IF(H3765="","",IFERROR(VLOOKUP(H3765,Listas!$J$2:$K$1048576,2,FALSE),""))</f>
        <v/>
      </c>
      <c r="K3765" s="5" t="str">
        <f>IF(OR(I3765="",G3765=""),"",IF(G3765="Saída",-I3765,I3765))</f>
        <v/>
      </c>
      <c r="L3765" t="str">
        <f>IF(E3765="","",IFERROR(VLOOKUP(E3765,Listas!$A$2:$C$1048576,3,FALSE),""))</f>
        <v/>
      </c>
    </row>
    <row r="3766" spans="10:12" x14ac:dyDescent="0.25">
      <c r="J3766" t="str">
        <f>IF(H3766="","",IFERROR(VLOOKUP(H3766,Listas!$J$2:$K$1048576,2,FALSE),""))</f>
        <v/>
      </c>
      <c r="K3766" s="5" t="str">
        <f>IF(OR(I3766="",G3766=""),"",IF(G3766="Saída",-I3766,I3766))</f>
        <v/>
      </c>
      <c r="L3766" t="str">
        <f>IF(E3766="","",IFERROR(VLOOKUP(E3766,Listas!$A$2:$C$1048576,3,FALSE),""))</f>
        <v/>
      </c>
    </row>
    <row r="3767" spans="10:12" x14ac:dyDescent="0.25">
      <c r="J3767" t="str">
        <f>IF(H3767="","",IFERROR(VLOOKUP(H3767,Listas!$J$2:$K$1048576,2,FALSE),""))</f>
        <v/>
      </c>
      <c r="K3767" s="5" t="str">
        <f>IF(OR(I3767="",G3767=""),"",IF(G3767="Saída",-I3767,I3767))</f>
        <v/>
      </c>
      <c r="L3767" t="str">
        <f>IF(E3767="","",IFERROR(VLOOKUP(E3767,Listas!$A$2:$C$1048576,3,FALSE),""))</f>
        <v/>
      </c>
    </row>
    <row r="3768" spans="10:12" x14ac:dyDescent="0.25">
      <c r="J3768" t="str">
        <f>IF(H3768="","",IFERROR(VLOOKUP(H3768,Listas!$J$2:$K$1048576,2,FALSE),""))</f>
        <v/>
      </c>
      <c r="K3768" s="5" t="str">
        <f>IF(OR(I3768="",G3768=""),"",IF(G3768="Saída",-I3768,I3768))</f>
        <v/>
      </c>
      <c r="L3768" t="str">
        <f>IF(E3768="","",IFERROR(VLOOKUP(E3768,Listas!$A$2:$C$1048576,3,FALSE),""))</f>
        <v/>
      </c>
    </row>
    <row r="3769" spans="10:12" x14ac:dyDescent="0.25">
      <c r="J3769" t="str">
        <f>IF(H3769="","",IFERROR(VLOOKUP(H3769,Listas!$J$2:$K$1048576,2,FALSE),""))</f>
        <v/>
      </c>
      <c r="K3769" s="5" t="str">
        <f>IF(OR(I3769="",G3769=""),"",IF(G3769="Saída",-I3769,I3769))</f>
        <v/>
      </c>
      <c r="L3769" t="str">
        <f>IF(E3769="","",IFERROR(VLOOKUP(E3769,Listas!$A$2:$C$1048576,3,FALSE),""))</f>
        <v/>
      </c>
    </row>
    <row r="3770" spans="10:12" x14ac:dyDescent="0.25">
      <c r="J3770" t="str">
        <f>IF(H3770="","",IFERROR(VLOOKUP(H3770,Listas!$J$2:$K$1048576,2,FALSE),""))</f>
        <v/>
      </c>
      <c r="K3770" s="5" t="str">
        <f>IF(OR(I3770="",G3770=""),"",IF(G3770="Saída",-I3770,I3770))</f>
        <v/>
      </c>
      <c r="L3770" t="str">
        <f>IF(E3770="","",IFERROR(VLOOKUP(E3770,Listas!$A$2:$C$1048576,3,FALSE),""))</f>
        <v/>
      </c>
    </row>
    <row r="3771" spans="10:12" x14ac:dyDescent="0.25">
      <c r="J3771" t="str">
        <f>IF(H3771="","",IFERROR(VLOOKUP(H3771,Listas!$J$2:$K$1048576,2,FALSE),""))</f>
        <v/>
      </c>
      <c r="K3771" s="5" t="str">
        <f>IF(OR(I3771="",G3771=""),"",IF(G3771="Saída",-I3771,I3771))</f>
        <v/>
      </c>
      <c r="L3771" t="str">
        <f>IF(E3771="","",IFERROR(VLOOKUP(E3771,Listas!$A$2:$C$1048576,3,FALSE),""))</f>
        <v/>
      </c>
    </row>
    <row r="3772" spans="10:12" x14ac:dyDescent="0.25">
      <c r="J3772" t="str">
        <f>IF(H3772="","",IFERROR(VLOOKUP(H3772,Listas!$J$2:$K$1048576,2,FALSE),""))</f>
        <v/>
      </c>
      <c r="K3772" s="5" t="str">
        <f>IF(OR(I3772="",G3772=""),"",IF(G3772="Saída",-I3772,I3772))</f>
        <v/>
      </c>
      <c r="L3772" t="str">
        <f>IF(E3772="","",IFERROR(VLOOKUP(E3772,Listas!$A$2:$C$1048576,3,FALSE),""))</f>
        <v/>
      </c>
    </row>
    <row r="3773" spans="10:12" x14ac:dyDescent="0.25">
      <c r="J3773" t="str">
        <f>IF(H3773="","",IFERROR(VLOOKUP(H3773,Listas!$J$2:$K$1048576,2,FALSE),""))</f>
        <v/>
      </c>
      <c r="K3773" s="5" t="str">
        <f>IF(OR(I3773="",G3773=""),"",IF(G3773="Saída",-I3773,I3773))</f>
        <v/>
      </c>
      <c r="L3773" t="str">
        <f>IF(E3773="","",IFERROR(VLOOKUP(E3773,Listas!$A$2:$C$1048576,3,FALSE),""))</f>
        <v/>
      </c>
    </row>
    <row r="3774" spans="10:12" x14ac:dyDescent="0.25">
      <c r="J3774" t="str">
        <f>IF(H3774="","",IFERROR(VLOOKUP(H3774,Listas!$J$2:$K$1048576,2,FALSE),""))</f>
        <v/>
      </c>
      <c r="K3774" s="5" t="str">
        <f>IF(OR(I3774="",G3774=""),"",IF(G3774="Saída",-I3774,I3774))</f>
        <v/>
      </c>
      <c r="L3774" t="str">
        <f>IF(E3774="","",IFERROR(VLOOKUP(E3774,Listas!$A$2:$C$1048576,3,FALSE),""))</f>
        <v/>
      </c>
    </row>
    <row r="3775" spans="10:12" x14ac:dyDescent="0.25">
      <c r="J3775" t="str">
        <f>IF(H3775="","",IFERROR(VLOOKUP(H3775,Listas!$J$2:$K$1048576,2,FALSE),""))</f>
        <v/>
      </c>
      <c r="K3775" s="5" t="str">
        <f>IF(OR(I3775="",G3775=""),"",IF(G3775="Saída",-I3775,I3775))</f>
        <v/>
      </c>
      <c r="L3775" t="str">
        <f>IF(E3775="","",IFERROR(VLOOKUP(E3775,Listas!$A$2:$C$1048576,3,FALSE),""))</f>
        <v/>
      </c>
    </row>
    <row r="3776" spans="10:12" x14ac:dyDescent="0.25">
      <c r="J3776" t="str">
        <f>IF(H3776="","",IFERROR(VLOOKUP(H3776,Listas!$J$2:$K$1048576,2,FALSE),""))</f>
        <v/>
      </c>
      <c r="K3776" s="5" t="str">
        <f>IF(OR(I3776="",G3776=""),"",IF(G3776="Saída",-I3776,I3776))</f>
        <v/>
      </c>
      <c r="L3776" t="str">
        <f>IF(E3776="","",IFERROR(VLOOKUP(E3776,Listas!$A$2:$C$1048576,3,FALSE),""))</f>
        <v/>
      </c>
    </row>
    <row r="3777" spans="10:12" x14ac:dyDescent="0.25">
      <c r="J3777" t="str">
        <f>IF(H3777="","",IFERROR(VLOOKUP(H3777,Listas!$J$2:$K$1048576,2,FALSE),""))</f>
        <v/>
      </c>
      <c r="K3777" s="5" t="str">
        <f>IF(OR(I3777="",G3777=""),"",IF(G3777="Saída",-I3777,I3777))</f>
        <v/>
      </c>
      <c r="L3777" t="str">
        <f>IF(E3777="","",IFERROR(VLOOKUP(E3777,Listas!$A$2:$C$1048576,3,FALSE),""))</f>
        <v/>
      </c>
    </row>
    <row r="3778" spans="10:12" x14ac:dyDescent="0.25">
      <c r="J3778" t="str">
        <f>IF(H3778="","",IFERROR(VLOOKUP(H3778,Listas!$J$2:$K$1048576,2,FALSE),""))</f>
        <v/>
      </c>
      <c r="K3778" s="5" t="str">
        <f>IF(OR(I3778="",G3778=""),"",IF(G3778="Saída",-I3778,I3778))</f>
        <v/>
      </c>
      <c r="L3778" t="str">
        <f>IF(E3778="","",IFERROR(VLOOKUP(E3778,Listas!$A$2:$C$1048576,3,FALSE),""))</f>
        <v/>
      </c>
    </row>
    <row r="3779" spans="10:12" x14ac:dyDescent="0.25">
      <c r="J3779" t="str">
        <f>IF(H3779="","",IFERROR(VLOOKUP(H3779,Listas!$J$2:$K$1048576,2,FALSE),""))</f>
        <v/>
      </c>
      <c r="K3779" s="5" t="str">
        <f>IF(OR(I3779="",G3779=""),"",IF(G3779="Saída",-I3779,I3779))</f>
        <v/>
      </c>
      <c r="L3779" t="str">
        <f>IF(E3779="","",IFERROR(VLOOKUP(E3779,Listas!$A$2:$C$1048576,3,FALSE),""))</f>
        <v/>
      </c>
    </row>
    <row r="3780" spans="10:12" x14ac:dyDescent="0.25">
      <c r="J3780" t="str">
        <f>IF(H3780="","",IFERROR(VLOOKUP(H3780,Listas!$J$2:$K$1048576,2,FALSE),""))</f>
        <v/>
      </c>
      <c r="K3780" s="5" t="str">
        <f>IF(OR(I3780="",G3780=""),"",IF(G3780="Saída",-I3780,I3780))</f>
        <v/>
      </c>
      <c r="L3780" t="str">
        <f>IF(E3780="","",IFERROR(VLOOKUP(E3780,Listas!$A$2:$C$1048576,3,FALSE),""))</f>
        <v/>
      </c>
    </row>
    <row r="3781" spans="10:12" x14ac:dyDescent="0.25">
      <c r="J3781" t="str">
        <f>IF(H3781="","",IFERROR(VLOOKUP(H3781,Listas!$J$2:$K$1048576,2,FALSE),""))</f>
        <v/>
      </c>
      <c r="K3781" s="5" t="str">
        <f>IF(OR(I3781="",G3781=""),"",IF(G3781="Saída",-I3781,I3781))</f>
        <v/>
      </c>
      <c r="L3781" t="str">
        <f>IF(E3781="","",IFERROR(VLOOKUP(E3781,Listas!$A$2:$C$1048576,3,FALSE),""))</f>
        <v/>
      </c>
    </row>
    <row r="3782" spans="10:12" x14ac:dyDescent="0.25">
      <c r="J3782" t="str">
        <f>IF(H3782="","",IFERROR(VLOOKUP(H3782,Listas!$J$2:$K$1048576,2,FALSE),""))</f>
        <v/>
      </c>
      <c r="K3782" s="5" t="str">
        <f>IF(OR(I3782="",G3782=""),"",IF(G3782="Saída",-I3782,I3782))</f>
        <v/>
      </c>
      <c r="L3782" t="str">
        <f>IF(E3782="","",IFERROR(VLOOKUP(E3782,Listas!$A$2:$C$1048576,3,FALSE),""))</f>
        <v/>
      </c>
    </row>
    <row r="3783" spans="10:12" x14ac:dyDescent="0.25">
      <c r="J3783" t="str">
        <f>IF(H3783="","",IFERROR(VLOOKUP(H3783,Listas!$J$2:$K$1048576,2,FALSE),""))</f>
        <v/>
      </c>
      <c r="K3783" s="5" t="str">
        <f>IF(OR(I3783="",G3783=""),"",IF(G3783="Saída",-I3783,I3783))</f>
        <v/>
      </c>
      <c r="L3783" t="str">
        <f>IF(E3783="","",IFERROR(VLOOKUP(E3783,Listas!$A$2:$C$1048576,3,FALSE),""))</f>
        <v/>
      </c>
    </row>
    <row r="3784" spans="10:12" x14ac:dyDescent="0.25">
      <c r="J3784" t="str">
        <f>IF(H3784="","",IFERROR(VLOOKUP(H3784,Listas!$J$2:$K$1048576,2,FALSE),""))</f>
        <v/>
      </c>
      <c r="K3784" s="5" t="str">
        <f>IF(OR(I3784="",G3784=""),"",IF(G3784="Saída",-I3784,I3784))</f>
        <v/>
      </c>
      <c r="L3784" t="str">
        <f>IF(E3784="","",IFERROR(VLOOKUP(E3784,Listas!$A$2:$C$1048576,3,FALSE),""))</f>
        <v/>
      </c>
    </row>
    <row r="3785" spans="10:12" x14ac:dyDescent="0.25">
      <c r="J3785" t="str">
        <f>IF(H3785="","",IFERROR(VLOOKUP(H3785,Listas!$J$2:$K$1048576,2,FALSE),""))</f>
        <v/>
      </c>
      <c r="K3785" s="5" t="str">
        <f>IF(OR(I3785="",G3785=""),"",IF(G3785="Saída",-I3785,I3785))</f>
        <v/>
      </c>
      <c r="L3785" t="str">
        <f>IF(E3785="","",IFERROR(VLOOKUP(E3785,Listas!$A$2:$C$1048576,3,FALSE),""))</f>
        <v/>
      </c>
    </row>
    <row r="3786" spans="10:12" x14ac:dyDescent="0.25">
      <c r="J3786" t="str">
        <f>IF(H3786="","",IFERROR(VLOOKUP(H3786,Listas!$J$2:$K$1048576,2,FALSE),""))</f>
        <v/>
      </c>
      <c r="K3786" s="5" t="str">
        <f>IF(OR(I3786="",G3786=""),"",IF(G3786="Saída",-I3786,I3786))</f>
        <v/>
      </c>
      <c r="L3786" t="str">
        <f>IF(E3786="","",IFERROR(VLOOKUP(E3786,Listas!$A$2:$C$1048576,3,FALSE),""))</f>
        <v/>
      </c>
    </row>
    <row r="3787" spans="10:12" x14ac:dyDescent="0.25">
      <c r="J3787" t="str">
        <f>IF(H3787="","",IFERROR(VLOOKUP(H3787,Listas!$J$2:$K$1048576,2,FALSE),""))</f>
        <v/>
      </c>
      <c r="K3787" s="5" t="str">
        <f>IF(OR(I3787="",G3787=""),"",IF(G3787="Saída",-I3787,I3787))</f>
        <v/>
      </c>
      <c r="L3787" t="str">
        <f>IF(E3787="","",IFERROR(VLOOKUP(E3787,Listas!$A$2:$C$1048576,3,FALSE),""))</f>
        <v/>
      </c>
    </row>
    <row r="3788" spans="10:12" x14ac:dyDescent="0.25">
      <c r="J3788" t="str">
        <f>IF(H3788="","",IFERROR(VLOOKUP(H3788,Listas!$J$2:$K$1048576,2,FALSE),""))</f>
        <v/>
      </c>
      <c r="K3788" s="5" t="str">
        <f>IF(OR(I3788="",G3788=""),"",IF(G3788="Saída",-I3788,I3788))</f>
        <v/>
      </c>
      <c r="L3788" t="str">
        <f>IF(E3788="","",IFERROR(VLOOKUP(E3788,Listas!$A$2:$C$1048576,3,FALSE),""))</f>
        <v/>
      </c>
    </row>
    <row r="3789" spans="10:12" x14ac:dyDescent="0.25">
      <c r="J3789" t="str">
        <f>IF(H3789="","",IFERROR(VLOOKUP(H3789,Listas!$J$2:$K$1048576,2,FALSE),""))</f>
        <v/>
      </c>
      <c r="K3789" s="5" t="str">
        <f>IF(OR(I3789="",G3789=""),"",IF(G3789="Saída",-I3789,I3789))</f>
        <v/>
      </c>
      <c r="L3789" t="str">
        <f>IF(E3789="","",IFERROR(VLOOKUP(E3789,Listas!$A$2:$C$1048576,3,FALSE),""))</f>
        <v/>
      </c>
    </row>
    <row r="3790" spans="10:12" x14ac:dyDescent="0.25">
      <c r="J3790" t="str">
        <f>IF(H3790="","",IFERROR(VLOOKUP(H3790,Listas!$J$2:$K$1048576,2,FALSE),""))</f>
        <v/>
      </c>
      <c r="K3790" s="5" t="str">
        <f>IF(OR(I3790="",G3790=""),"",IF(G3790="Saída",-I3790,I3790))</f>
        <v/>
      </c>
      <c r="L3790" t="str">
        <f>IF(E3790="","",IFERROR(VLOOKUP(E3790,Listas!$A$2:$C$1048576,3,FALSE),""))</f>
        <v/>
      </c>
    </row>
    <row r="3791" spans="10:12" x14ac:dyDescent="0.25">
      <c r="J3791" t="str">
        <f>IF(H3791="","",IFERROR(VLOOKUP(H3791,Listas!$J$2:$K$1048576,2,FALSE),""))</f>
        <v/>
      </c>
      <c r="K3791" s="5" t="str">
        <f>IF(OR(I3791="",G3791=""),"",IF(G3791="Saída",-I3791,I3791))</f>
        <v/>
      </c>
      <c r="L3791" t="str">
        <f>IF(E3791="","",IFERROR(VLOOKUP(E3791,Listas!$A$2:$C$1048576,3,FALSE),""))</f>
        <v/>
      </c>
    </row>
    <row r="3792" spans="10:12" x14ac:dyDescent="0.25">
      <c r="J3792" t="str">
        <f>IF(H3792="","",IFERROR(VLOOKUP(H3792,Listas!$J$2:$K$1048576,2,FALSE),""))</f>
        <v/>
      </c>
      <c r="K3792" s="5" t="str">
        <f>IF(OR(I3792="",G3792=""),"",IF(G3792="Saída",-I3792,I3792))</f>
        <v/>
      </c>
      <c r="L3792" t="str">
        <f>IF(E3792="","",IFERROR(VLOOKUP(E3792,Listas!$A$2:$C$1048576,3,FALSE),""))</f>
        <v/>
      </c>
    </row>
    <row r="3793" spans="10:12" x14ac:dyDescent="0.25">
      <c r="J3793" t="str">
        <f>IF(H3793="","",IFERROR(VLOOKUP(H3793,Listas!$J$2:$K$1048576,2,FALSE),""))</f>
        <v/>
      </c>
      <c r="K3793" s="5" t="str">
        <f>IF(OR(I3793="",G3793=""),"",IF(G3793="Saída",-I3793,I3793))</f>
        <v/>
      </c>
      <c r="L3793" t="str">
        <f>IF(E3793="","",IFERROR(VLOOKUP(E3793,Listas!$A$2:$C$1048576,3,FALSE),""))</f>
        <v/>
      </c>
    </row>
    <row r="3794" spans="10:12" x14ac:dyDescent="0.25">
      <c r="J3794" t="str">
        <f>IF(H3794="","",IFERROR(VLOOKUP(H3794,Listas!$J$2:$K$1048576,2,FALSE),""))</f>
        <v/>
      </c>
      <c r="K3794" s="5" t="str">
        <f>IF(OR(I3794="",G3794=""),"",IF(G3794="Saída",-I3794,I3794))</f>
        <v/>
      </c>
      <c r="L3794" t="str">
        <f>IF(E3794="","",IFERROR(VLOOKUP(E3794,Listas!$A$2:$C$1048576,3,FALSE),""))</f>
        <v/>
      </c>
    </row>
    <row r="3795" spans="10:12" x14ac:dyDescent="0.25">
      <c r="J3795" t="str">
        <f>IF(H3795="","",IFERROR(VLOOKUP(H3795,Listas!$J$2:$K$1048576,2,FALSE),""))</f>
        <v/>
      </c>
      <c r="K3795" s="5" t="str">
        <f>IF(OR(I3795="",G3795=""),"",IF(G3795="Saída",-I3795,I3795))</f>
        <v/>
      </c>
      <c r="L3795" t="str">
        <f>IF(E3795="","",IFERROR(VLOOKUP(E3795,Listas!$A$2:$C$1048576,3,FALSE),""))</f>
        <v/>
      </c>
    </row>
    <row r="3796" spans="10:12" x14ac:dyDescent="0.25">
      <c r="J3796" t="str">
        <f>IF(H3796="","",IFERROR(VLOOKUP(H3796,Listas!$J$2:$K$1048576,2,FALSE),""))</f>
        <v/>
      </c>
      <c r="K3796" s="5" t="str">
        <f>IF(OR(I3796="",G3796=""),"",IF(G3796="Saída",-I3796,I3796))</f>
        <v/>
      </c>
      <c r="L3796" t="str">
        <f>IF(E3796="","",IFERROR(VLOOKUP(E3796,Listas!$A$2:$C$1048576,3,FALSE),""))</f>
        <v/>
      </c>
    </row>
    <row r="3797" spans="10:12" x14ac:dyDescent="0.25">
      <c r="J3797" t="str">
        <f>IF(H3797="","",IFERROR(VLOOKUP(H3797,Listas!$J$2:$K$1048576,2,FALSE),""))</f>
        <v/>
      </c>
      <c r="K3797" s="5" t="str">
        <f>IF(OR(I3797="",G3797=""),"",IF(G3797="Saída",-I3797,I3797))</f>
        <v/>
      </c>
      <c r="L3797" t="str">
        <f>IF(E3797="","",IFERROR(VLOOKUP(E3797,Listas!$A$2:$C$1048576,3,FALSE),""))</f>
        <v/>
      </c>
    </row>
    <row r="3798" spans="10:12" x14ac:dyDescent="0.25">
      <c r="J3798" t="str">
        <f>IF(H3798="","",IFERROR(VLOOKUP(H3798,Listas!$J$2:$K$1048576,2,FALSE),""))</f>
        <v/>
      </c>
      <c r="K3798" s="5" t="str">
        <f>IF(OR(I3798="",G3798=""),"",IF(G3798="Saída",-I3798,I3798))</f>
        <v/>
      </c>
      <c r="L3798" t="str">
        <f>IF(E3798="","",IFERROR(VLOOKUP(E3798,Listas!$A$2:$C$1048576,3,FALSE),""))</f>
        <v/>
      </c>
    </row>
    <row r="3799" spans="10:12" x14ac:dyDescent="0.25">
      <c r="J3799" t="str">
        <f>IF(H3799="","",IFERROR(VLOOKUP(H3799,Listas!$J$2:$K$1048576,2,FALSE),""))</f>
        <v/>
      </c>
      <c r="K3799" s="5" t="str">
        <f>IF(OR(I3799="",G3799=""),"",IF(G3799="Saída",-I3799,I3799))</f>
        <v/>
      </c>
      <c r="L3799" t="str">
        <f>IF(E3799="","",IFERROR(VLOOKUP(E3799,Listas!$A$2:$C$1048576,3,FALSE),""))</f>
        <v/>
      </c>
    </row>
    <row r="3800" spans="10:12" x14ac:dyDescent="0.25">
      <c r="J3800" t="str">
        <f>IF(H3800="","",IFERROR(VLOOKUP(H3800,Listas!$J$2:$K$1048576,2,FALSE),""))</f>
        <v/>
      </c>
      <c r="K3800" s="5" t="str">
        <f>IF(OR(I3800="",G3800=""),"",IF(G3800="Saída",-I3800,I3800))</f>
        <v/>
      </c>
      <c r="L3800" t="str">
        <f>IF(E3800="","",IFERROR(VLOOKUP(E3800,Listas!$A$2:$C$1048576,3,FALSE),""))</f>
        <v/>
      </c>
    </row>
    <row r="3801" spans="10:12" x14ac:dyDescent="0.25">
      <c r="J3801" t="str">
        <f>IF(H3801="","",IFERROR(VLOOKUP(H3801,Listas!$J$2:$K$1048576,2,FALSE),""))</f>
        <v/>
      </c>
      <c r="K3801" s="5" t="str">
        <f>IF(OR(I3801="",G3801=""),"",IF(G3801="Saída",-I3801,I3801))</f>
        <v/>
      </c>
      <c r="L3801" t="str">
        <f>IF(E3801="","",IFERROR(VLOOKUP(E3801,Listas!$A$2:$C$1048576,3,FALSE),""))</f>
        <v/>
      </c>
    </row>
    <row r="3802" spans="10:12" x14ac:dyDescent="0.25">
      <c r="J3802" t="str">
        <f>IF(H3802="","",IFERROR(VLOOKUP(H3802,Listas!$J$2:$K$1048576,2,FALSE),""))</f>
        <v/>
      </c>
      <c r="K3802" s="5" t="str">
        <f>IF(OR(I3802="",G3802=""),"",IF(G3802="Saída",-I3802,I3802))</f>
        <v/>
      </c>
      <c r="L3802" t="str">
        <f>IF(E3802="","",IFERROR(VLOOKUP(E3802,Listas!$A$2:$C$1048576,3,FALSE),""))</f>
        <v/>
      </c>
    </row>
    <row r="3803" spans="10:12" x14ac:dyDescent="0.25">
      <c r="J3803" t="str">
        <f>IF(H3803="","",IFERROR(VLOOKUP(H3803,Listas!$J$2:$K$1048576,2,FALSE),""))</f>
        <v/>
      </c>
      <c r="K3803" s="5" t="str">
        <f>IF(OR(I3803="",G3803=""),"",IF(G3803="Saída",-I3803,I3803))</f>
        <v/>
      </c>
      <c r="L3803" t="str">
        <f>IF(E3803="","",IFERROR(VLOOKUP(E3803,Listas!$A$2:$C$1048576,3,FALSE),""))</f>
        <v/>
      </c>
    </row>
    <row r="3804" spans="10:12" x14ac:dyDescent="0.25">
      <c r="J3804" t="str">
        <f>IF(H3804="","",IFERROR(VLOOKUP(H3804,Listas!$J$2:$K$1048576,2,FALSE),""))</f>
        <v/>
      </c>
      <c r="K3804" s="5" t="str">
        <f>IF(OR(I3804="",G3804=""),"",IF(G3804="Saída",-I3804,I3804))</f>
        <v/>
      </c>
      <c r="L3804" t="str">
        <f>IF(E3804="","",IFERROR(VLOOKUP(E3804,Listas!$A$2:$C$1048576,3,FALSE),""))</f>
        <v/>
      </c>
    </row>
    <row r="3805" spans="10:12" x14ac:dyDescent="0.25">
      <c r="J3805" t="str">
        <f>IF(H3805="","",IFERROR(VLOOKUP(H3805,Listas!$J$2:$K$1048576,2,FALSE),""))</f>
        <v/>
      </c>
      <c r="K3805" s="5" t="str">
        <f>IF(OR(I3805="",G3805=""),"",IF(G3805="Saída",-I3805,I3805))</f>
        <v/>
      </c>
      <c r="L3805" t="str">
        <f>IF(E3805="","",IFERROR(VLOOKUP(E3805,Listas!$A$2:$C$1048576,3,FALSE),""))</f>
        <v/>
      </c>
    </row>
    <row r="3806" spans="10:12" x14ac:dyDescent="0.25">
      <c r="J3806" t="str">
        <f>IF(H3806="","",IFERROR(VLOOKUP(H3806,Listas!$J$2:$K$1048576,2,FALSE),""))</f>
        <v/>
      </c>
      <c r="K3806" s="5" t="str">
        <f>IF(OR(I3806="",G3806=""),"",IF(G3806="Saída",-I3806,I3806))</f>
        <v/>
      </c>
      <c r="L3806" t="str">
        <f>IF(E3806="","",IFERROR(VLOOKUP(E3806,Listas!$A$2:$C$1048576,3,FALSE),""))</f>
        <v/>
      </c>
    </row>
    <row r="3807" spans="10:12" x14ac:dyDescent="0.25">
      <c r="J3807" t="str">
        <f>IF(H3807="","",IFERROR(VLOOKUP(H3807,Listas!$J$2:$K$1048576,2,FALSE),""))</f>
        <v/>
      </c>
      <c r="K3807" s="5" t="str">
        <f>IF(OR(I3807="",G3807=""),"",IF(G3807="Saída",-I3807,I3807))</f>
        <v/>
      </c>
      <c r="L3807" t="str">
        <f>IF(E3807="","",IFERROR(VLOOKUP(E3807,Listas!$A$2:$C$1048576,3,FALSE),""))</f>
        <v/>
      </c>
    </row>
    <row r="3808" spans="10:12" x14ac:dyDescent="0.25">
      <c r="J3808" t="str">
        <f>IF(H3808="","",IFERROR(VLOOKUP(H3808,Listas!$J$2:$K$1048576,2,FALSE),""))</f>
        <v/>
      </c>
      <c r="K3808" s="5" t="str">
        <f>IF(OR(I3808="",G3808=""),"",IF(G3808="Saída",-I3808,I3808))</f>
        <v/>
      </c>
      <c r="L3808" t="str">
        <f>IF(E3808="","",IFERROR(VLOOKUP(E3808,Listas!$A$2:$C$1048576,3,FALSE),""))</f>
        <v/>
      </c>
    </row>
    <row r="3809" spans="10:12" x14ac:dyDescent="0.25">
      <c r="J3809" t="str">
        <f>IF(H3809="","",IFERROR(VLOOKUP(H3809,Listas!$J$2:$K$1048576,2,FALSE),""))</f>
        <v/>
      </c>
      <c r="K3809" s="5" t="str">
        <f>IF(OR(I3809="",G3809=""),"",IF(G3809="Saída",-I3809,I3809))</f>
        <v/>
      </c>
      <c r="L3809" t="str">
        <f>IF(E3809="","",IFERROR(VLOOKUP(E3809,Listas!$A$2:$C$1048576,3,FALSE),""))</f>
        <v/>
      </c>
    </row>
    <row r="3810" spans="10:12" x14ac:dyDescent="0.25">
      <c r="J3810" t="str">
        <f>IF(H3810="","",IFERROR(VLOOKUP(H3810,Listas!$J$2:$K$1048576,2,FALSE),""))</f>
        <v/>
      </c>
      <c r="K3810" s="5" t="str">
        <f>IF(OR(I3810="",G3810=""),"",IF(G3810="Saída",-I3810,I3810))</f>
        <v/>
      </c>
      <c r="L3810" t="str">
        <f>IF(E3810="","",IFERROR(VLOOKUP(E3810,Listas!$A$2:$C$1048576,3,FALSE),""))</f>
        <v/>
      </c>
    </row>
    <row r="3811" spans="10:12" x14ac:dyDescent="0.25">
      <c r="J3811" t="str">
        <f>IF(H3811="","",IFERROR(VLOOKUP(H3811,Listas!$J$2:$K$1048576,2,FALSE),""))</f>
        <v/>
      </c>
      <c r="K3811" s="5" t="str">
        <f>IF(OR(I3811="",G3811=""),"",IF(G3811="Saída",-I3811,I3811))</f>
        <v/>
      </c>
      <c r="L3811" t="str">
        <f>IF(E3811="","",IFERROR(VLOOKUP(E3811,Listas!$A$2:$C$1048576,3,FALSE),""))</f>
        <v/>
      </c>
    </row>
    <row r="3812" spans="10:12" x14ac:dyDescent="0.25">
      <c r="J3812" t="str">
        <f>IF(H3812="","",IFERROR(VLOOKUP(H3812,Listas!$J$2:$K$1048576,2,FALSE),""))</f>
        <v/>
      </c>
      <c r="K3812" s="5" t="str">
        <f>IF(OR(I3812="",G3812=""),"",IF(G3812="Saída",-I3812,I3812))</f>
        <v/>
      </c>
      <c r="L3812" t="str">
        <f>IF(E3812="","",IFERROR(VLOOKUP(E3812,Listas!$A$2:$C$1048576,3,FALSE),""))</f>
        <v/>
      </c>
    </row>
    <row r="3813" spans="10:12" x14ac:dyDescent="0.25">
      <c r="J3813" t="str">
        <f>IF(H3813="","",IFERROR(VLOOKUP(H3813,Listas!$J$2:$K$1048576,2,FALSE),""))</f>
        <v/>
      </c>
      <c r="K3813" s="5" t="str">
        <f>IF(OR(I3813="",G3813=""),"",IF(G3813="Saída",-I3813,I3813))</f>
        <v/>
      </c>
      <c r="L3813" t="str">
        <f>IF(E3813="","",IFERROR(VLOOKUP(E3813,Listas!$A$2:$C$1048576,3,FALSE),""))</f>
        <v/>
      </c>
    </row>
    <row r="3814" spans="10:12" x14ac:dyDescent="0.25">
      <c r="J3814" t="str">
        <f>IF(H3814="","",IFERROR(VLOOKUP(H3814,Listas!$J$2:$K$1048576,2,FALSE),""))</f>
        <v/>
      </c>
      <c r="K3814" s="5" t="str">
        <f>IF(OR(I3814="",G3814=""),"",IF(G3814="Saída",-I3814,I3814))</f>
        <v/>
      </c>
      <c r="L3814" t="str">
        <f>IF(E3814="","",IFERROR(VLOOKUP(E3814,Listas!$A$2:$C$1048576,3,FALSE),""))</f>
        <v/>
      </c>
    </row>
    <row r="3815" spans="10:12" x14ac:dyDescent="0.25">
      <c r="J3815" t="str">
        <f>IF(H3815="","",IFERROR(VLOOKUP(H3815,Listas!$J$2:$K$1048576,2,FALSE),""))</f>
        <v/>
      </c>
      <c r="K3815" s="5" t="str">
        <f>IF(OR(I3815="",G3815=""),"",IF(G3815="Saída",-I3815,I3815))</f>
        <v/>
      </c>
      <c r="L3815" t="str">
        <f>IF(E3815="","",IFERROR(VLOOKUP(E3815,Listas!$A$2:$C$1048576,3,FALSE),""))</f>
        <v/>
      </c>
    </row>
    <row r="3816" spans="10:12" x14ac:dyDescent="0.25">
      <c r="J3816" t="str">
        <f>IF(H3816="","",IFERROR(VLOOKUP(H3816,Listas!$J$2:$K$1048576,2,FALSE),""))</f>
        <v/>
      </c>
      <c r="K3816" s="5" t="str">
        <f>IF(OR(I3816="",G3816=""),"",IF(G3816="Saída",-I3816,I3816))</f>
        <v/>
      </c>
      <c r="L3816" t="str">
        <f>IF(E3816="","",IFERROR(VLOOKUP(E3816,Listas!$A$2:$C$1048576,3,FALSE),""))</f>
        <v/>
      </c>
    </row>
    <row r="3817" spans="10:12" x14ac:dyDescent="0.25">
      <c r="J3817" t="str">
        <f>IF(H3817="","",IFERROR(VLOOKUP(H3817,Listas!$J$2:$K$1048576,2,FALSE),""))</f>
        <v/>
      </c>
      <c r="K3817" s="5" t="str">
        <f>IF(OR(I3817="",G3817=""),"",IF(G3817="Saída",-I3817,I3817))</f>
        <v/>
      </c>
      <c r="L3817" t="str">
        <f>IF(E3817="","",IFERROR(VLOOKUP(E3817,Listas!$A$2:$C$1048576,3,FALSE),""))</f>
        <v/>
      </c>
    </row>
    <row r="3818" spans="10:12" x14ac:dyDescent="0.25">
      <c r="J3818" t="str">
        <f>IF(H3818="","",IFERROR(VLOOKUP(H3818,Listas!$J$2:$K$1048576,2,FALSE),""))</f>
        <v/>
      </c>
      <c r="K3818" s="5" t="str">
        <f>IF(OR(I3818="",G3818=""),"",IF(G3818="Saída",-I3818,I3818))</f>
        <v/>
      </c>
      <c r="L3818" t="str">
        <f>IF(E3818="","",IFERROR(VLOOKUP(E3818,Listas!$A$2:$C$1048576,3,FALSE),""))</f>
        <v/>
      </c>
    </row>
    <row r="3819" spans="10:12" x14ac:dyDescent="0.25">
      <c r="J3819" t="str">
        <f>IF(H3819="","",IFERROR(VLOOKUP(H3819,Listas!$J$2:$K$1048576,2,FALSE),""))</f>
        <v/>
      </c>
      <c r="K3819" s="5" t="str">
        <f>IF(OR(I3819="",G3819=""),"",IF(G3819="Saída",-I3819,I3819))</f>
        <v/>
      </c>
      <c r="L3819" t="str">
        <f>IF(E3819="","",IFERROR(VLOOKUP(E3819,Listas!$A$2:$C$1048576,3,FALSE),""))</f>
        <v/>
      </c>
    </row>
    <row r="3820" spans="10:12" x14ac:dyDescent="0.25">
      <c r="J3820" t="str">
        <f>IF(H3820="","",IFERROR(VLOOKUP(H3820,Listas!$J$2:$K$1048576,2,FALSE),""))</f>
        <v/>
      </c>
      <c r="K3820" s="5" t="str">
        <f>IF(OR(I3820="",G3820=""),"",IF(G3820="Saída",-I3820,I3820))</f>
        <v/>
      </c>
      <c r="L3820" t="str">
        <f>IF(E3820="","",IFERROR(VLOOKUP(E3820,Listas!$A$2:$C$1048576,3,FALSE),""))</f>
        <v/>
      </c>
    </row>
    <row r="3821" spans="10:12" x14ac:dyDescent="0.25">
      <c r="J3821" t="str">
        <f>IF(H3821="","",IFERROR(VLOOKUP(H3821,Listas!$J$2:$K$1048576,2,FALSE),""))</f>
        <v/>
      </c>
      <c r="K3821" s="5" t="str">
        <f>IF(OR(I3821="",G3821=""),"",IF(G3821="Saída",-I3821,I3821))</f>
        <v/>
      </c>
      <c r="L3821" t="str">
        <f>IF(E3821="","",IFERROR(VLOOKUP(E3821,Listas!$A$2:$C$1048576,3,FALSE),""))</f>
        <v/>
      </c>
    </row>
    <row r="3822" spans="10:12" x14ac:dyDescent="0.25">
      <c r="J3822" t="str">
        <f>IF(H3822="","",IFERROR(VLOOKUP(H3822,Listas!$J$2:$K$1048576,2,FALSE),""))</f>
        <v/>
      </c>
      <c r="K3822" s="5" t="str">
        <f>IF(OR(I3822="",G3822=""),"",IF(G3822="Saída",-I3822,I3822))</f>
        <v/>
      </c>
      <c r="L3822" t="str">
        <f>IF(E3822="","",IFERROR(VLOOKUP(E3822,Listas!$A$2:$C$1048576,3,FALSE),""))</f>
        <v/>
      </c>
    </row>
    <row r="3823" spans="10:12" x14ac:dyDescent="0.25">
      <c r="J3823" t="str">
        <f>IF(H3823="","",IFERROR(VLOOKUP(H3823,Listas!$J$2:$K$1048576,2,FALSE),""))</f>
        <v/>
      </c>
      <c r="K3823" s="5" t="str">
        <f>IF(OR(I3823="",G3823=""),"",IF(G3823="Saída",-I3823,I3823))</f>
        <v/>
      </c>
      <c r="L3823" t="str">
        <f>IF(E3823="","",IFERROR(VLOOKUP(E3823,Listas!$A$2:$C$1048576,3,FALSE),""))</f>
        <v/>
      </c>
    </row>
    <row r="3824" spans="10:12" x14ac:dyDescent="0.25">
      <c r="J3824" t="str">
        <f>IF(H3824="","",IFERROR(VLOOKUP(H3824,Listas!$J$2:$K$1048576,2,FALSE),""))</f>
        <v/>
      </c>
      <c r="K3824" s="5" t="str">
        <f>IF(OR(I3824="",G3824=""),"",IF(G3824="Saída",-I3824,I3824))</f>
        <v/>
      </c>
      <c r="L3824" t="str">
        <f>IF(E3824="","",IFERROR(VLOOKUP(E3824,Listas!$A$2:$C$1048576,3,FALSE),""))</f>
        <v/>
      </c>
    </row>
    <row r="3825" spans="10:12" x14ac:dyDescent="0.25">
      <c r="J3825" t="str">
        <f>IF(H3825="","",IFERROR(VLOOKUP(H3825,Listas!$J$2:$K$1048576,2,FALSE),""))</f>
        <v/>
      </c>
      <c r="K3825" s="5" t="str">
        <f>IF(OR(I3825="",G3825=""),"",IF(G3825="Saída",-I3825,I3825))</f>
        <v/>
      </c>
      <c r="L3825" t="str">
        <f>IF(E3825="","",IFERROR(VLOOKUP(E3825,Listas!$A$2:$C$1048576,3,FALSE),""))</f>
        <v/>
      </c>
    </row>
    <row r="3826" spans="10:12" x14ac:dyDescent="0.25">
      <c r="J3826" t="str">
        <f>IF(H3826="","",IFERROR(VLOOKUP(H3826,Listas!$J$2:$K$1048576,2,FALSE),""))</f>
        <v/>
      </c>
      <c r="K3826" s="5" t="str">
        <f>IF(OR(I3826="",G3826=""),"",IF(G3826="Saída",-I3826,I3826))</f>
        <v/>
      </c>
      <c r="L3826" t="str">
        <f>IF(E3826="","",IFERROR(VLOOKUP(E3826,Listas!$A$2:$C$1048576,3,FALSE),""))</f>
        <v/>
      </c>
    </row>
    <row r="3827" spans="10:12" x14ac:dyDescent="0.25">
      <c r="J3827" t="str">
        <f>IF(H3827="","",IFERROR(VLOOKUP(H3827,Listas!$J$2:$K$1048576,2,FALSE),""))</f>
        <v/>
      </c>
      <c r="K3827" s="5" t="str">
        <f>IF(OR(I3827="",G3827=""),"",IF(G3827="Saída",-I3827,I3827))</f>
        <v/>
      </c>
      <c r="L3827" t="str">
        <f>IF(E3827="","",IFERROR(VLOOKUP(E3827,Listas!$A$2:$C$1048576,3,FALSE),""))</f>
        <v/>
      </c>
    </row>
    <row r="3828" spans="10:12" x14ac:dyDescent="0.25">
      <c r="J3828" t="str">
        <f>IF(H3828="","",IFERROR(VLOOKUP(H3828,Listas!$J$2:$K$1048576,2,FALSE),""))</f>
        <v/>
      </c>
      <c r="K3828" s="5" t="str">
        <f>IF(OR(I3828="",G3828=""),"",IF(G3828="Saída",-I3828,I3828))</f>
        <v/>
      </c>
      <c r="L3828" t="str">
        <f>IF(E3828="","",IFERROR(VLOOKUP(E3828,Listas!$A$2:$C$1048576,3,FALSE),""))</f>
        <v/>
      </c>
    </row>
    <row r="3829" spans="10:12" x14ac:dyDescent="0.25">
      <c r="J3829" t="str">
        <f>IF(H3829="","",IFERROR(VLOOKUP(H3829,Listas!$J$2:$K$1048576,2,FALSE),""))</f>
        <v/>
      </c>
      <c r="K3829" s="5" t="str">
        <f>IF(OR(I3829="",G3829=""),"",IF(G3829="Saída",-I3829,I3829))</f>
        <v/>
      </c>
      <c r="L3829" t="str">
        <f>IF(E3829="","",IFERROR(VLOOKUP(E3829,Listas!$A$2:$C$1048576,3,FALSE),""))</f>
        <v/>
      </c>
    </row>
    <row r="3830" spans="10:12" x14ac:dyDescent="0.25">
      <c r="J3830" t="str">
        <f>IF(H3830="","",IFERROR(VLOOKUP(H3830,Listas!$J$2:$K$1048576,2,FALSE),""))</f>
        <v/>
      </c>
      <c r="K3830" s="5" t="str">
        <f>IF(OR(I3830="",G3830=""),"",IF(G3830="Saída",-I3830,I3830))</f>
        <v/>
      </c>
      <c r="L3830" t="str">
        <f>IF(E3830="","",IFERROR(VLOOKUP(E3830,Listas!$A$2:$C$1048576,3,FALSE),""))</f>
        <v/>
      </c>
    </row>
    <row r="3831" spans="10:12" x14ac:dyDescent="0.25">
      <c r="J3831" t="str">
        <f>IF(H3831="","",IFERROR(VLOOKUP(H3831,Listas!$J$2:$K$1048576,2,FALSE),""))</f>
        <v/>
      </c>
      <c r="K3831" s="5" t="str">
        <f>IF(OR(I3831="",G3831=""),"",IF(G3831="Saída",-I3831,I3831))</f>
        <v/>
      </c>
      <c r="L3831" t="str">
        <f>IF(E3831="","",IFERROR(VLOOKUP(E3831,Listas!$A$2:$C$1048576,3,FALSE),""))</f>
        <v/>
      </c>
    </row>
    <row r="3832" spans="10:12" x14ac:dyDescent="0.25">
      <c r="J3832" t="str">
        <f>IF(H3832="","",IFERROR(VLOOKUP(H3832,Listas!$J$2:$K$1048576,2,FALSE),""))</f>
        <v/>
      </c>
      <c r="K3832" s="5" t="str">
        <f>IF(OR(I3832="",G3832=""),"",IF(G3832="Saída",-I3832,I3832))</f>
        <v/>
      </c>
      <c r="L3832" t="str">
        <f>IF(E3832="","",IFERROR(VLOOKUP(E3832,Listas!$A$2:$C$1048576,3,FALSE),""))</f>
        <v/>
      </c>
    </row>
    <row r="3833" spans="10:12" x14ac:dyDescent="0.25">
      <c r="J3833" t="str">
        <f>IF(H3833="","",IFERROR(VLOOKUP(H3833,Listas!$J$2:$K$1048576,2,FALSE),""))</f>
        <v/>
      </c>
      <c r="K3833" s="5" t="str">
        <f>IF(OR(I3833="",G3833=""),"",IF(G3833="Saída",-I3833,I3833))</f>
        <v/>
      </c>
      <c r="L3833" t="str">
        <f>IF(E3833="","",IFERROR(VLOOKUP(E3833,Listas!$A$2:$C$1048576,3,FALSE),""))</f>
        <v/>
      </c>
    </row>
    <row r="3834" spans="10:12" x14ac:dyDescent="0.25">
      <c r="J3834" t="str">
        <f>IF(H3834="","",IFERROR(VLOOKUP(H3834,Listas!$J$2:$K$1048576,2,FALSE),""))</f>
        <v/>
      </c>
      <c r="K3834" s="5" t="str">
        <f>IF(OR(I3834="",G3834=""),"",IF(G3834="Saída",-I3834,I3834))</f>
        <v/>
      </c>
      <c r="L3834" t="str">
        <f>IF(E3834="","",IFERROR(VLOOKUP(E3834,Listas!$A$2:$C$1048576,3,FALSE),""))</f>
        <v/>
      </c>
    </row>
    <row r="3835" spans="10:12" x14ac:dyDescent="0.25">
      <c r="J3835" t="str">
        <f>IF(H3835="","",IFERROR(VLOOKUP(H3835,Listas!$J$2:$K$1048576,2,FALSE),""))</f>
        <v/>
      </c>
      <c r="K3835" s="5" t="str">
        <f>IF(OR(I3835="",G3835=""),"",IF(G3835="Saída",-I3835,I3835))</f>
        <v/>
      </c>
      <c r="L3835" t="str">
        <f>IF(E3835="","",IFERROR(VLOOKUP(E3835,Listas!$A$2:$C$1048576,3,FALSE),""))</f>
        <v/>
      </c>
    </row>
    <row r="3836" spans="10:12" x14ac:dyDescent="0.25">
      <c r="J3836" t="str">
        <f>IF(H3836="","",IFERROR(VLOOKUP(H3836,Listas!$J$2:$K$1048576,2,FALSE),""))</f>
        <v/>
      </c>
      <c r="K3836" s="5" t="str">
        <f>IF(OR(I3836="",G3836=""),"",IF(G3836="Saída",-I3836,I3836))</f>
        <v/>
      </c>
      <c r="L3836" t="str">
        <f>IF(E3836="","",IFERROR(VLOOKUP(E3836,Listas!$A$2:$C$1048576,3,FALSE),""))</f>
        <v/>
      </c>
    </row>
    <row r="3837" spans="10:12" x14ac:dyDescent="0.25">
      <c r="J3837" t="str">
        <f>IF(H3837="","",IFERROR(VLOOKUP(H3837,Listas!$J$2:$K$1048576,2,FALSE),""))</f>
        <v/>
      </c>
      <c r="K3837" s="5" t="str">
        <f>IF(OR(I3837="",G3837=""),"",IF(G3837="Saída",-I3837,I3837))</f>
        <v/>
      </c>
      <c r="L3837" t="str">
        <f>IF(E3837="","",IFERROR(VLOOKUP(E3837,Listas!$A$2:$C$1048576,3,FALSE),""))</f>
        <v/>
      </c>
    </row>
    <row r="3838" spans="10:12" x14ac:dyDescent="0.25">
      <c r="J3838" t="str">
        <f>IF(H3838="","",IFERROR(VLOOKUP(H3838,Listas!$J$2:$K$1048576,2,FALSE),""))</f>
        <v/>
      </c>
      <c r="K3838" s="5" t="str">
        <f>IF(OR(I3838="",G3838=""),"",IF(G3838="Saída",-I3838,I3838))</f>
        <v/>
      </c>
      <c r="L3838" t="str">
        <f>IF(E3838="","",IFERROR(VLOOKUP(E3838,Listas!$A$2:$C$1048576,3,FALSE),""))</f>
        <v/>
      </c>
    </row>
    <row r="3839" spans="10:12" x14ac:dyDescent="0.25">
      <c r="J3839" t="str">
        <f>IF(H3839="","",IFERROR(VLOOKUP(H3839,Listas!$J$2:$K$1048576,2,FALSE),""))</f>
        <v/>
      </c>
      <c r="K3839" s="5" t="str">
        <f>IF(OR(I3839="",G3839=""),"",IF(G3839="Saída",-I3839,I3839))</f>
        <v/>
      </c>
      <c r="L3839" t="str">
        <f>IF(E3839="","",IFERROR(VLOOKUP(E3839,Listas!$A$2:$C$1048576,3,FALSE),""))</f>
        <v/>
      </c>
    </row>
    <row r="3840" spans="10:12" x14ac:dyDescent="0.25">
      <c r="J3840" t="str">
        <f>IF(H3840="","",IFERROR(VLOOKUP(H3840,Listas!$J$2:$K$1048576,2,FALSE),""))</f>
        <v/>
      </c>
      <c r="K3840" s="5" t="str">
        <f>IF(OR(I3840="",G3840=""),"",IF(G3840="Saída",-I3840,I3840))</f>
        <v/>
      </c>
      <c r="L3840" t="str">
        <f>IF(E3840="","",IFERROR(VLOOKUP(E3840,Listas!$A$2:$C$1048576,3,FALSE),""))</f>
        <v/>
      </c>
    </row>
    <row r="3841" spans="10:12" x14ac:dyDescent="0.25">
      <c r="J3841" t="str">
        <f>IF(H3841="","",IFERROR(VLOOKUP(H3841,Listas!$J$2:$K$1048576,2,FALSE),""))</f>
        <v/>
      </c>
      <c r="K3841" s="5" t="str">
        <f>IF(OR(I3841="",G3841=""),"",IF(G3841="Saída",-I3841,I3841))</f>
        <v/>
      </c>
      <c r="L3841" t="str">
        <f>IF(E3841="","",IFERROR(VLOOKUP(E3841,Listas!$A$2:$C$1048576,3,FALSE),""))</f>
        <v/>
      </c>
    </row>
    <row r="3842" spans="10:12" x14ac:dyDescent="0.25">
      <c r="J3842" t="str">
        <f>IF(H3842="","",IFERROR(VLOOKUP(H3842,Listas!$J$2:$K$1048576,2,FALSE),""))</f>
        <v/>
      </c>
      <c r="K3842" s="5" t="str">
        <f>IF(OR(I3842="",G3842=""),"",IF(G3842="Saída",-I3842,I3842))</f>
        <v/>
      </c>
      <c r="L3842" t="str">
        <f>IF(E3842="","",IFERROR(VLOOKUP(E3842,Listas!$A$2:$C$1048576,3,FALSE),""))</f>
        <v/>
      </c>
    </row>
    <row r="3843" spans="10:12" x14ac:dyDescent="0.25">
      <c r="J3843" t="str">
        <f>IF(H3843="","",IFERROR(VLOOKUP(H3843,Listas!$J$2:$K$1048576,2,FALSE),""))</f>
        <v/>
      </c>
      <c r="K3843" s="5" t="str">
        <f>IF(OR(I3843="",G3843=""),"",IF(G3843="Saída",-I3843,I3843))</f>
        <v/>
      </c>
      <c r="L3843" t="str">
        <f>IF(E3843="","",IFERROR(VLOOKUP(E3843,Listas!$A$2:$C$1048576,3,FALSE),""))</f>
        <v/>
      </c>
    </row>
    <row r="3844" spans="10:12" x14ac:dyDescent="0.25">
      <c r="J3844" t="str">
        <f>IF(H3844="","",IFERROR(VLOOKUP(H3844,Listas!$J$2:$K$1048576,2,FALSE),""))</f>
        <v/>
      </c>
      <c r="K3844" s="5" t="str">
        <f>IF(OR(I3844="",G3844=""),"",IF(G3844="Saída",-I3844,I3844))</f>
        <v/>
      </c>
      <c r="L3844" t="str">
        <f>IF(E3844="","",IFERROR(VLOOKUP(E3844,Listas!$A$2:$C$1048576,3,FALSE),""))</f>
        <v/>
      </c>
    </row>
    <row r="3845" spans="10:12" x14ac:dyDescent="0.25">
      <c r="J3845" t="str">
        <f>IF(H3845="","",IFERROR(VLOOKUP(H3845,Listas!$J$2:$K$1048576,2,FALSE),""))</f>
        <v/>
      </c>
      <c r="K3845" s="5" t="str">
        <f>IF(OR(I3845="",G3845=""),"",IF(G3845="Saída",-I3845,I3845))</f>
        <v/>
      </c>
      <c r="L3845" t="str">
        <f>IF(E3845="","",IFERROR(VLOOKUP(E3845,Listas!$A$2:$C$1048576,3,FALSE),""))</f>
        <v/>
      </c>
    </row>
    <row r="3846" spans="10:12" x14ac:dyDescent="0.25">
      <c r="J3846" t="str">
        <f>IF(H3846="","",IFERROR(VLOOKUP(H3846,Listas!$J$2:$K$1048576,2,FALSE),""))</f>
        <v/>
      </c>
      <c r="K3846" s="5" t="str">
        <f>IF(OR(I3846="",G3846=""),"",IF(G3846="Saída",-I3846,I3846))</f>
        <v/>
      </c>
      <c r="L3846" t="str">
        <f>IF(E3846="","",IFERROR(VLOOKUP(E3846,Listas!$A$2:$C$1048576,3,FALSE),""))</f>
        <v/>
      </c>
    </row>
    <row r="3847" spans="10:12" x14ac:dyDescent="0.25">
      <c r="J3847" t="str">
        <f>IF(H3847="","",IFERROR(VLOOKUP(H3847,Listas!$J$2:$K$1048576,2,FALSE),""))</f>
        <v/>
      </c>
      <c r="K3847" s="5" t="str">
        <f>IF(OR(I3847="",G3847=""),"",IF(G3847="Saída",-I3847,I3847))</f>
        <v/>
      </c>
      <c r="L3847" t="str">
        <f>IF(E3847="","",IFERROR(VLOOKUP(E3847,Listas!$A$2:$C$1048576,3,FALSE),""))</f>
        <v/>
      </c>
    </row>
    <row r="3848" spans="10:12" x14ac:dyDescent="0.25">
      <c r="J3848" t="str">
        <f>IF(H3848="","",IFERROR(VLOOKUP(H3848,Listas!$J$2:$K$1048576,2,FALSE),""))</f>
        <v/>
      </c>
      <c r="K3848" s="5" t="str">
        <f>IF(OR(I3848="",G3848=""),"",IF(G3848="Saída",-I3848,I3848))</f>
        <v/>
      </c>
      <c r="L3848" t="str">
        <f>IF(E3848="","",IFERROR(VLOOKUP(E3848,Listas!$A$2:$C$1048576,3,FALSE),""))</f>
        <v/>
      </c>
    </row>
    <row r="3849" spans="10:12" x14ac:dyDescent="0.25">
      <c r="J3849" t="str">
        <f>IF(H3849="","",IFERROR(VLOOKUP(H3849,Listas!$J$2:$K$1048576,2,FALSE),""))</f>
        <v/>
      </c>
      <c r="K3849" s="5" t="str">
        <f>IF(OR(I3849="",G3849=""),"",IF(G3849="Saída",-I3849,I3849))</f>
        <v/>
      </c>
      <c r="L3849" t="str">
        <f>IF(E3849="","",IFERROR(VLOOKUP(E3849,Listas!$A$2:$C$1048576,3,FALSE),""))</f>
        <v/>
      </c>
    </row>
    <row r="3850" spans="10:12" x14ac:dyDescent="0.25">
      <c r="J3850" t="str">
        <f>IF(H3850="","",IFERROR(VLOOKUP(H3850,Listas!$J$2:$K$1048576,2,FALSE),""))</f>
        <v/>
      </c>
      <c r="K3850" s="5" t="str">
        <f>IF(OR(I3850="",G3850=""),"",IF(G3850="Saída",-I3850,I3850))</f>
        <v/>
      </c>
      <c r="L3850" t="str">
        <f>IF(E3850="","",IFERROR(VLOOKUP(E3850,Listas!$A$2:$C$1048576,3,FALSE),""))</f>
        <v/>
      </c>
    </row>
    <row r="3851" spans="10:12" x14ac:dyDescent="0.25">
      <c r="J3851" t="str">
        <f>IF(H3851="","",IFERROR(VLOOKUP(H3851,Listas!$J$2:$K$1048576,2,FALSE),""))</f>
        <v/>
      </c>
      <c r="K3851" s="5" t="str">
        <f>IF(OR(I3851="",G3851=""),"",IF(G3851="Saída",-I3851,I3851))</f>
        <v/>
      </c>
      <c r="L3851" t="str">
        <f>IF(E3851="","",IFERROR(VLOOKUP(E3851,Listas!$A$2:$C$1048576,3,FALSE),""))</f>
        <v/>
      </c>
    </row>
    <row r="3852" spans="10:12" x14ac:dyDescent="0.25">
      <c r="J3852" t="str">
        <f>IF(H3852="","",IFERROR(VLOOKUP(H3852,Listas!$J$2:$K$1048576,2,FALSE),""))</f>
        <v/>
      </c>
      <c r="K3852" s="5" t="str">
        <f>IF(OR(I3852="",G3852=""),"",IF(G3852="Saída",-I3852,I3852))</f>
        <v/>
      </c>
      <c r="L3852" t="str">
        <f>IF(E3852="","",IFERROR(VLOOKUP(E3852,Listas!$A$2:$C$1048576,3,FALSE),""))</f>
        <v/>
      </c>
    </row>
    <row r="3853" spans="10:12" x14ac:dyDescent="0.25">
      <c r="J3853" t="str">
        <f>IF(H3853="","",IFERROR(VLOOKUP(H3853,Listas!$J$2:$K$1048576,2,FALSE),""))</f>
        <v/>
      </c>
      <c r="K3853" s="5" t="str">
        <f>IF(OR(I3853="",G3853=""),"",IF(G3853="Saída",-I3853,I3853))</f>
        <v/>
      </c>
      <c r="L3853" t="str">
        <f>IF(E3853="","",IFERROR(VLOOKUP(E3853,Listas!$A$2:$C$1048576,3,FALSE),""))</f>
        <v/>
      </c>
    </row>
    <row r="3854" spans="10:12" x14ac:dyDescent="0.25">
      <c r="J3854" t="str">
        <f>IF(H3854="","",IFERROR(VLOOKUP(H3854,Listas!$J$2:$K$1048576,2,FALSE),""))</f>
        <v/>
      </c>
      <c r="K3854" s="5" t="str">
        <f>IF(OR(I3854="",G3854=""),"",IF(G3854="Saída",-I3854,I3854))</f>
        <v/>
      </c>
      <c r="L3854" t="str">
        <f>IF(E3854="","",IFERROR(VLOOKUP(E3854,Listas!$A$2:$C$1048576,3,FALSE),""))</f>
        <v/>
      </c>
    </row>
    <row r="3855" spans="10:12" x14ac:dyDescent="0.25">
      <c r="J3855" t="str">
        <f>IF(H3855="","",IFERROR(VLOOKUP(H3855,Listas!$J$2:$K$1048576,2,FALSE),""))</f>
        <v/>
      </c>
      <c r="K3855" s="5" t="str">
        <f>IF(OR(I3855="",G3855=""),"",IF(G3855="Saída",-I3855,I3855))</f>
        <v/>
      </c>
      <c r="L3855" t="str">
        <f>IF(E3855="","",IFERROR(VLOOKUP(E3855,Listas!$A$2:$C$1048576,3,FALSE),""))</f>
        <v/>
      </c>
    </row>
    <row r="3856" spans="10:12" x14ac:dyDescent="0.25">
      <c r="J3856" t="str">
        <f>IF(H3856="","",IFERROR(VLOOKUP(H3856,Listas!$J$2:$K$1048576,2,FALSE),""))</f>
        <v/>
      </c>
      <c r="K3856" s="5" t="str">
        <f>IF(OR(I3856="",G3856=""),"",IF(G3856="Saída",-I3856,I3856))</f>
        <v/>
      </c>
      <c r="L3856" t="str">
        <f>IF(E3856="","",IFERROR(VLOOKUP(E3856,Listas!$A$2:$C$1048576,3,FALSE),""))</f>
        <v/>
      </c>
    </row>
    <row r="3857" spans="10:12" x14ac:dyDescent="0.25">
      <c r="J3857" t="str">
        <f>IF(H3857="","",IFERROR(VLOOKUP(H3857,Listas!$J$2:$K$1048576,2,FALSE),""))</f>
        <v/>
      </c>
      <c r="K3857" s="5" t="str">
        <f>IF(OR(I3857="",G3857=""),"",IF(G3857="Saída",-I3857,I3857))</f>
        <v/>
      </c>
      <c r="L3857" t="str">
        <f>IF(E3857="","",IFERROR(VLOOKUP(E3857,Listas!$A$2:$C$1048576,3,FALSE),""))</f>
        <v/>
      </c>
    </row>
    <row r="3858" spans="10:12" x14ac:dyDescent="0.25">
      <c r="J3858" t="str">
        <f>IF(H3858="","",IFERROR(VLOOKUP(H3858,Listas!$J$2:$K$1048576,2,FALSE),""))</f>
        <v/>
      </c>
      <c r="K3858" s="5" t="str">
        <f>IF(OR(I3858="",G3858=""),"",IF(G3858="Saída",-I3858,I3858))</f>
        <v/>
      </c>
      <c r="L3858" t="str">
        <f>IF(E3858="","",IFERROR(VLOOKUP(E3858,Listas!$A$2:$C$1048576,3,FALSE),""))</f>
        <v/>
      </c>
    </row>
    <row r="3859" spans="10:12" x14ac:dyDescent="0.25">
      <c r="J3859" t="str">
        <f>IF(H3859="","",IFERROR(VLOOKUP(H3859,Listas!$J$2:$K$1048576,2,FALSE),""))</f>
        <v/>
      </c>
      <c r="K3859" s="5" t="str">
        <f>IF(OR(I3859="",G3859=""),"",IF(G3859="Saída",-I3859,I3859))</f>
        <v/>
      </c>
      <c r="L3859" t="str">
        <f>IF(E3859="","",IFERROR(VLOOKUP(E3859,Listas!$A$2:$C$1048576,3,FALSE),""))</f>
        <v/>
      </c>
    </row>
    <row r="3860" spans="10:12" x14ac:dyDescent="0.25">
      <c r="J3860" t="str">
        <f>IF(H3860="","",IFERROR(VLOOKUP(H3860,Listas!$J$2:$K$1048576,2,FALSE),""))</f>
        <v/>
      </c>
      <c r="K3860" s="5" t="str">
        <f>IF(OR(I3860="",G3860=""),"",IF(G3860="Saída",-I3860,I3860))</f>
        <v/>
      </c>
      <c r="L3860" t="str">
        <f>IF(E3860="","",IFERROR(VLOOKUP(E3860,Listas!$A$2:$C$1048576,3,FALSE),""))</f>
        <v/>
      </c>
    </row>
    <row r="3861" spans="10:12" x14ac:dyDescent="0.25">
      <c r="J3861" t="str">
        <f>IF(H3861="","",IFERROR(VLOOKUP(H3861,Listas!$J$2:$K$1048576,2,FALSE),""))</f>
        <v/>
      </c>
      <c r="K3861" s="5" t="str">
        <f>IF(OR(I3861="",G3861=""),"",IF(G3861="Saída",-I3861,I3861))</f>
        <v/>
      </c>
      <c r="L3861" t="str">
        <f>IF(E3861="","",IFERROR(VLOOKUP(E3861,Listas!$A$2:$C$1048576,3,FALSE),""))</f>
        <v/>
      </c>
    </row>
    <row r="3862" spans="10:12" x14ac:dyDescent="0.25">
      <c r="J3862" t="str">
        <f>IF(H3862="","",IFERROR(VLOOKUP(H3862,Listas!$J$2:$K$1048576,2,FALSE),""))</f>
        <v/>
      </c>
      <c r="K3862" s="5" t="str">
        <f>IF(OR(I3862="",G3862=""),"",IF(G3862="Saída",-I3862,I3862))</f>
        <v/>
      </c>
      <c r="L3862" t="str">
        <f>IF(E3862="","",IFERROR(VLOOKUP(E3862,Listas!$A$2:$C$1048576,3,FALSE),""))</f>
        <v/>
      </c>
    </row>
    <row r="3863" spans="10:12" x14ac:dyDescent="0.25">
      <c r="J3863" t="str">
        <f>IF(H3863="","",IFERROR(VLOOKUP(H3863,Listas!$J$2:$K$1048576,2,FALSE),""))</f>
        <v/>
      </c>
      <c r="K3863" s="5" t="str">
        <f>IF(OR(I3863="",G3863=""),"",IF(G3863="Saída",-I3863,I3863))</f>
        <v/>
      </c>
      <c r="L3863" t="str">
        <f>IF(E3863="","",IFERROR(VLOOKUP(E3863,Listas!$A$2:$C$1048576,3,FALSE),""))</f>
        <v/>
      </c>
    </row>
    <row r="3864" spans="10:12" x14ac:dyDescent="0.25">
      <c r="J3864" t="str">
        <f>IF(H3864="","",IFERROR(VLOOKUP(H3864,Listas!$J$2:$K$1048576,2,FALSE),""))</f>
        <v/>
      </c>
      <c r="K3864" s="5" t="str">
        <f>IF(OR(I3864="",G3864=""),"",IF(G3864="Saída",-I3864,I3864))</f>
        <v/>
      </c>
      <c r="L3864" t="str">
        <f>IF(E3864="","",IFERROR(VLOOKUP(E3864,Listas!$A$2:$C$1048576,3,FALSE),""))</f>
        <v/>
      </c>
    </row>
    <row r="3865" spans="10:12" x14ac:dyDescent="0.25">
      <c r="J3865" t="str">
        <f>IF(H3865="","",IFERROR(VLOOKUP(H3865,Listas!$J$2:$K$1048576,2,FALSE),""))</f>
        <v/>
      </c>
      <c r="K3865" s="5" t="str">
        <f>IF(OR(I3865="",G3865=""),"",IF(G3865="Saída",-I3865,I3865))</f>
        <v/>
      </c>
      <c r="L3865" t="str">
        <f>IF(E3865="","",IFERROR(VLOOKUP(E3865,Listas!$A$2:$C$1048576,3,FALSE),""))</f>
        <v/>
      </c>
    </row>
    <row r="3866" spans="10:12" x14ac:dyDescent="0.25">
      <c r="J3866" t="str">
        <f>IF(H3866="","",IFERROR(VLOOKUP(H3866,Listas!$J$2:$K$1048576,2,FALSE),""))</f>
        <v/>
      </c>
      <c r="K3866" s="5" t="str">
        <f>IF(OR(I3866="",G3866=""),"",IF(G3866="Saída",-I3866,I3866))</f>
        <v/>
      </c>
      <c r="L3866" t="str">
        <f>IF(E3866="","",IFERROR(VLOOKUP(E3866,Listas!$A$2:$C$1048576,3,FALSE),""))</f>
        <v/>
      </c>
    </row>
    <row r="3867" spans="10:12" x14ac:dyDescent="0.25">
      <c r="J3867" t="str">
        <f>IF(H3867="","",IFERROR(VLOOKUP(H3867,Listas!$J$2:$K$1048576,2,FALSE),""))</f>
        <v/>
      </c>
      <c r="K3867" s="5" t="str">
        <f>IF(OR(I3867="",G3867=""),"",IF(G3867="Saída",-I3867,I3867))</f>
        <v/>
      </c>
      <c r="L3867" t="str">
        <f>IF(E3867="","",IFERROR(VLOOKUP(E3867,Listas!$A$2:$C$1048576,3,FALSE),""))</f>
        <v/>
      </c>
    </row>
    <row r="3868" spans="10:12" x14ac:dyDescent="0.25">
      <c r="J3868" t="str">
        <f>IF(H3868="","",IFERROR(VLOOKUP(H3868,Listas!$J$2:$K$1048576,2,FALSE),""))</f>
        <v/>
      </c>
      <c r="K3868" s="5" t="str">
        <f>IF(OR(I3868="",G3868=""),"",IF(G3868="Saída",-I3868,I3868))</f>
        <v/>
      </c>
      <c r="L3868" t="str">
        <f>IF(E3868="","",IFERROR(VLOOKUP(E3868,Listas!$A$2:$C$1048576,3,FALSE),""))</f>
        <v/>
      </c>
    </row>
    <row r="3869" spans="10:12" x14ac:dyDescent="0.25">
      <c r="J3869" t="str">
        <f>IF(H3869="","",IFERROR(VLOOKUP(H3869,Listas!$J$2:$K$1048576,2,FALSE),""))</f>
        <v/>
      </c>
      <c r="K3869" s="5" t="str">
        <f>IF(OR(I3869="",G3869=""),"",IF(G3869="Saída",-I3869,I3869))</f>
        <v/>
      </c>
      <c r="L3869" t="str">
        <f>IF(E3869="","",IFERROR(VLOOKUP(E3869,Listas!$A$2:$C$1048576,3,FALSE),""))</f>
        <v/>
      </c>
    </row>
    <row r="3870" spans="10:12" x14ac:dyDescent="0.25">
      <c r="J3870" t="str">
        <f>IF(H3870="","",IFERROR(VLOOKUP(H3870,Listas!$J$2:$K$1048576,2,FALSE),""))</f>
        <v/>
      </c>
      <c r="K3870" s="5" t="str">
        <f>IF(OR(I3870="",G3870=""),"",IF(G3870="Saída",-I3870,I3870))</f>
        <v/>
      </c>
      <c r="L3870" t="str">
        <f>IF(E3870="","",IFERROR(VLOOKUP(E3870,Listas!$A$2:$C$1048576,3,FALSE),""))</f>
        <v/>
      </c>
    </row>
    <row r="3871" spans="10:12" x14ac:dyDescent="0.25">
      <c r="J3871" t="str">
        <f>IF(H3871="","",IFERROR(VLOOKUP(H3871,Listas!$J$2:$K$1048576,2,FALSE),""))</f>
        <v/>
      </c>
      <c r="K3871" s="5" t="str">
        <f>IF(OR(I3871="",G3871=""),"",IF(G3871="Saída",-I3871,I3871))</f>
        <v/>
      </c>
      <c r="L3871" t="str">
        <f>IF(E3871="","",IFERROR(VLOOKUP(E3871,Listas!$A$2:$C$1048576,3,FALSE),""))</f>
        <v/>
      </c>
    </row>
    <row r="3872" spans="10:12" x14ac:dyDescent="0.25">
      <c r="J3872" t="str">
        <f>IF(H3872="","",IFERROR(VLOOKUP(H3872,Listas!$J$2:$K$1048576,2,FALSE),""))</f>
        <v/>
      </c>
      <c r="K3872" s="5" t="str">
        <f>IF(OR(I3872="",G3872=""),"",IF(G3872="Saída",-I3872,I3872))</f>
        <v/>
      </c>
      <c r="L3872" t="str">
        <f>IF(E3872="","",IFERROR(VLOOKUP(E3872,Listas!$A$2:$C$1048576,3,FALSE),""))</f>
        <v/>
      </c>
    </row>
    <row r="3873" spans="10:12" x14ac:dyDescent="0.25">
      <c r="J3873" t="str">
        <f>IF(H3873="","",IFERROR(VLOOKUP(H3873,Listas!$J$2:$K$1048576,2,FALSE),""))</f>
        <v/>
      </c>
      <c r="K3873" s="5" t="str">
        <f>IF(OR(I3873="",G3873=""),"",IF(G3873="Saída",-I3873,I3873))</f>
        <v/>
      </c>
      <c r="L3873" t="str">
        <f>IF(E3873="","",IFERROR(VLOOKUP(E3873,Listas!$A$2:$C$1048576,3,FALSE),""))</f>
        <v/>
      </c>
    </row>
    <row r="3874" spans="10:12" x14ac:dyDescent="0.25">
      <c r="J3874" t="str">
        <f>IF(H3874="","",IFERROR(VLOOKUP(H3874,Listas!$J$2:$K$1048576,2,FALSE),""))</f>
        <v/>
      </c>
      <c r="K3874" s="5" t="str">
        <f>IF(OR(I3874="",G3874=""),"",IF(G3874="Saída",-I3874,I3874))</f>
        <v/>
      </c>
      <c r="L3874" t="str">
        <f>IF(E3874="","",IFERROR(VLOOKUP(E3874,Listas!$A$2:$C$1048576,3,FALSE),""))</f>
        <v/>
      </c>
    </row>
    <row r="3875" spans="10:12" x14ac:dyDescent="0.25">
      <c r="J3875" t="str">
        <f>IF(H3875="","",IFERROR(VLOOKUP(H3875,Listas!$J$2:$K$1048576,2,FALSE),""))</f>
        <v/>
      </c>
      <c r="K3875" s="5" t="str">
        <f>IF(OR(I3875="",G3875=""),"",IF(G3875="Saída",-I3875,I3875))</f>
        <v/>
      </c>
      <c r="L3875" t="str">
        <f>IF(E3875="","",IFERROR(VLOOKUP(E3875,Listas!$A$2:$C$1048576,3,FALSE),""))</f>
        <v/>
      </c>
    </row>
    <row r="3876" spans="10:12" x14ac:dyDescent="0.25">
      <c r="J3876" t="str">
        <f>IF(H3876="","",IFERROR(VLOOKUP(H3876,Listas!$J$2:$K$1048576,2,FALSE),""))</f>
        <v/>
      </c>
      <c r="K3876" s="5" t="str">
        <f>IF(OR(I3876="",G3876=""),"",IF(G3876="Saída",-I3876,I3876))</f>
        <v/>
      </c>
      <c r="L3876" t="str">
        <f>IF(E3876="","",IFERROR(VLOOKUP(E3876,Listas!$A$2:$C$1048576,3,FALSE),""))</f>
        <v/>
      </c>
    </row>
    <row r="3877" spans="10:12" x14ac:dyDescent="0.25">
      <c r="J3877" t="str">
        <f>IF(H3877="","",IFERROR(VLOOKUP(H3877,Listas!$J$2:$K$1048576,2,FALSE),""))</f>
        <v/>
      </c>
      <c r="K3877" s="5" t="str">
        <f>IF(OR(I3877="",G3877=""),"",IF(G3877="Saída",-I3877,I3877))</f>
        <v/>
      </c>
      <c r="L3877" t="str">
        <f>IF(E3877="","",IFERROR(VLOOKUP(E3877,Listas!$A$2:$C$1048576,3,FALSE),""))</f>
        <v/>
      </c>
    </row>
    <row r="3878" spans="10:12" x14ac:dyDescent="0.25">
      <c r="J3878" t="str">
        <f>IF(H3878="","",IFERROR(VLOOKUP(H3878,Listas!$J$2:$K$1048576,2,FALSE),""))</f>
        <v/>
      </c>
      <c r="K3878" s="5" t="str">
        <f>IF(OR(I3878="",G3878=""),"",IF(G3878="Saída",-I3878,I3878))</f>
        <v/>
      </c>
      <c r="L3878" t="str">
        <f>IF(E3878="","",IFERROR(VLOOKUP(E3878,Listas!$A$2:$C$1048576,3,FALSE),""))</f>
        <v/>
      </c>
    </row>
    <row r="3879" spans="10:12" x14ac:dyDescent="0.25">
      <c r="J3879" t="str">
        <f>IF(H3879="","",IFERROR(VLOOKUP(H3879,Listas!$J$2:$K$1048576,2,FALSE),""))</f>
        <v/>
      </c>
      <c r="K3879" s="5" t="str">
        <f>IF(OR(I3879="",G3879=""),"",IF(G3879="Saída",-I3879,I3879))</f>
        <v/>
      </c>
      <c r="L3879" t="str">
        <f>IF(E3879="","",IFERROR(VLOOKUP(E3879,Listas!$A$2:$C$1048576,3,FALSE),""))</f>
        <v/>
      </c>
    </row>
    <row r="3880" spans="10:12" x14ac:dyDescent="0.25">
      <c r="J3880" t="str">
        <f>IF(H3880="","",IFERROR(VLOOKUP(H3880,Listas!$J$2:$K$1048576,2,FALSE),""))</f>
        <v/>
      </c>
      <c r="K3880" s="5" t="str">
        <f>IF(OR(I3880="",G3880=""),"",IF(G3880="Saída",-I3880,I3880))</f>
        <v/>
      </c>
      <c r="L3880" t="str">
        <f>IF(E3880="","",IFERROR(VLOOKUP(E3880,Listas!$A$2:$C$1048576,3,FALSE),""))</f>
        <v/>
      </c>
    </row>
    <row r="3881" spans="10:12" x14ac:dyDescent="0.25">
      <c r="J3881" t="str">
        <f>IF(H3881="","",IFERROR(VLOOKUP(H3881,Listas!$J$2:$K$1048576,2,FALSE),""))</f>
        <v/>
      </c>
      <c r="K3881" s="5" t="str">
        <f>IF(OR(I3881="",G3881=""),"",IF(G3881="Saída",-I3881,I3881))</f>
        <v/>
      </c>
      <c r="L3881" t="str">
        <f>IF(E3881="","",IFERROR(VLOOKUP(E3881,Listas!$A$2:$C$1048576,3,FALSE),""))</f>
        <v/>
      </c>
    </row>
    <row r="3882" spans="10:12" x14ac:dyDescent="0.25">
      <c r="J3882" t="str">
        <f>IF(H3882="","",IFERROR(VLOOKUP(H3882,Listas!$J$2:$K$1048576,2,FALSE),""))</f>
        <v/>
      </c>
      <c r="K3882" s="5" t="str">
        <f>IF(OR(I3882="",G3882=""),"",IF(G3882="Saída",-I3882,I3882))</f>
        <v/>
      </c>
      <c r="L3882" t="str">
        <f>IF(E3882="","",IFERROR(VLOOKUP(E3882,Listas!$A$2:$C$1048576,3,FALSE),""))</f>
        <v/>
      </c>
    </row>
    <row r="3883" spans="10:12" x14ac:dyDescent="0.25">
      <c r="J3883" t="str">
        <f>IF(H3883="","",IFERROR(VLOOKUP(H3883,Listas!$J$2:$K$1048576,2,FALSE),""))</f>
        <v/>
      </c>
      <c r="K3883" s="5" t="str">
        <f>IF(OR(I3883="",G3883=""),"",IF(G3883="Saída",-I3883,I3883))</f>
        <v/>
      </c>
      <c r="L3883" t="str">
        <f>IF(E3883="","",IFERROR(VLOOKUP(E3883,Listas!$A$2:$C$1048576,3,FALSE),""))</f>
        <v/>
      </c>
    </row>
    <row r="3884" spans="10:12" x14ac:dyDescent="0.25">
      <c r="J3884" t="str">
        <f>IF(H3884="","",IFERROR(VLOOKUP(H3884,Listas!$J$2:$K$1048576,2,FALSE),""))</f>
        <v/>
      </c>
      <c r="K3884" s="5" t="str">
        <f>IF(OR(I3884="",G3884=""),"",IF(G3884="Saída",-I3884,I3884))</f>
        <v/>
      </c>
      <c r="L3884" t="str">
        <f>IF(E3884="","",IFERROR(VLOOKUP(E3884,Listas!$A$2:$C$1048576,3,FALSE),""))</f>
        <v/>
      </c>
    </row>
    <row r="3885" spans="10:12" x14ac:dyDescent="0.25">
      <c r="J3885" t="str">
        <f>IF(H3885="","",IFERROR(VLOOKUP(H3885,Listas!$J$2:$K$1048576,2,FALSE),""))</f>
        <v/>
      </c>
      <c r="K3885" s="5" t="str">
        <f>IF(OR(I3885="",G3885=""),"",IF(G3885="Saída",-I3885,I3885))</f>
        <v/>
      </c>
      <c r="L3885" t="str">
        <f>IF(E3885="","",IFERROR(VLOOKUP(E3885,Listas!$A$2:$C$1048576,3,FALSE),""))</f>
        <v/>
      </c>
    </row>
    <row r="3886" spans="10:12" x14ac:dyDescent="0.25">
      <c r="J3886" t="str">
        <f>IF(H3886="","",IFERROR(VLOOKUP(H3886,Listas!$J$2:$K$1048576,2,FALSE),""))</f>
        <v/>
      </c>
      <c r="K3886" s="5" t="str">
        <f>IF(OR(I3886="",G3886=""),"",IF(G3886="Saída",-I3886,I3886))</f>
        <v/>
      </c>
      <c r="L3886" t="str">
        <f>IF(E3886="","",IFERROR(VLOOKUP(E3886,Listas!$A$2:$C$1048576,3,FALSE),""))</f>
        <v/>
      </c>
    </row>
    <row r="3887" spans="10:12" x14ac:dyDescent="0.25">
      <c r="J3887" t="str">
        <f>IF(H3887="","",IFERROR(VLOOKUP(H3887,Listas!$J$2:$K$1048576,2,FALSE),""))</f>
        <v/>
      </c>
      <c r="K3887" s="5" t="str">
        <f>IF(OR(I3887="",G3887=""),"",IF(G3887="Saída",-I3887,I3887))</f>
        <v/>
      </c>
      <c r="L3887" t="str">
        <f>IF(E3887="","",IFERROR(VLOOKUP(E3887,Listas!$A$2:$C$1048576,3,FALSE),""))</f>
        <v/>
      </c>
    </row>
    <row r="3888" spans="10:12" x14ac:dyDescent="0.25">
      <c r="J3888" t="str">
        <f>IF(H3888="","",IFERROR(VLOOKUP(H3888,Listas!$J$2:$K$1048576,2,FALSE),""))</f>
        <v/>
      </c>
      <c r="K3888" s="5" t="str">
        <f>IF(OR(I3888="",G3888=""),"",IF(G3888="Saída",-I3888,I3888))</f>
        <v/>
      </c>
      <c r="L3888" t="str">
        <f>IF(E3888="","",IFERROR(VLOOKUP(E3888,Listas!$A$2:$C$1048576,3,FALSE),""))</f>
        <v/>
      </c>
    </row>
    <row r="3889" spans="10:12" x14ac:dyDescent="0.25">
      <c r="J3889" t="str">
        <f>IF(H3889="","",IFERROR(VLOOKUP(H3889,Listas!$J$2:$K$1048576,2,FALSE),""))</f>
        <v/>
      </c>
      <c r="K3889" s="5" t="str">
        <f>IF(OR(I3889="",G3889=""),"",IF(G3889="Saída",-I3889,I3889))</f>
        <v/>
      </c>
      <c r="L3889" t="str">
        <f>IF(E3889="","",IFERROR(VLOOKUP(E3889,Listas!$A$2:$C$1048576,3,FALSE),""))</f>
        <v/>
      </c>
    </row>
    <row r="3890" spans="10:12" x14ac:dyDescent="0.25">
      <c r="J3890" t="str">
        <f>IF(H3890="","",IFERROR(VLOOKUP(H3890,Listas!$J$2:$K$1048576,2,FALSE),""))</f>
        <v/>
      </c>
      <c r="K3890" s="5" t="str">
        <f>IF(OR(I3890="",G3890=""),"",IF(G3890="Saída",-I3890,I3890))</f>
        <v/>
      </c>
      <c r="L3890" t="str">
        <f>IF(E3890="","",IFERROR(VLOOKUP(E3890,Listas!$A$2:$C$1048576,3,FALSE),""))</f>
        <v/>
      </c>
    </row>
    <row r="3891" spans="10:12" x14ac:dyDescent="0.25">
      <c r="J3891" t="str">
        <f>IF(H3891="","",IFERROR(VLOOKUP(H3891,Listas!$J$2:$K$1048576,2,FALSE),""))</f>
        <v/>
      </c>
      <c r="K3891" s="5" t="str">
        <f>IF(OR(I3891="",G3891=""),"",IF(G3891="Saída",-I3891,I3891))</f>
        <v/>
      </c>
      <c r="L3891" t="str">
        <f>IF(E3891="","",IFERROR(VLOOKUP(E3891,Listas!$A$2:$C$1048576,3,FALSE),""))</f>
        <v/>
      </c>
    </row>
    <row r="3892" spans="10:12" x14ac:dyDescent="0.25">
      <c r="J3892" t="str">
        <f>IF(H3892="","",IFERROR(VLOOKUP(H3892,Listas!$J$2:$K$1048576,2,FALSE),""))</f>
        <v/>
      </c>
      <c r="K3892" s="5" t="str">
        <f>IF(OR(I3892="",G3892=""),"",IF(G3892="Saída",-I3892,I3892))</f>
        <v/>
      </c>
      <c r="L3892" t="str">
        <f>IF(E3892="","",IFERROR(VLOOKUP(E3892,Listas!$A$2:$C$1048576,3,FALSE),""))</f>
        <v/>
      </c>
    </row>
    <row r="3893" spans="10:12" x14ac:dyDescent="0.25">
      <c r="J3893" t="str">
        <f>IF(H3893="","",IFERROR(VLOOKUP(H3893,Listas!$J$2:$K$1048576,2,FALSE),""))</f>
        <v/>
      </c>
      <c r="K3893" s="5" t="str">
        <f>IF(OR(I3893="",G3893=""),"",IF(G3893="Saída",-I3893,I3893))</f>
        <v/>
      </c>
      <c r="L3893" t="str">
        <f>IF(E3893="","",IFERROR(VLOOKUP(E3893,Listas!$A$2:$C$1048576,3,FALSE),""))</f>
        <v/>
      </c>
    </row>
    <row r="3894" spans="10:12" x14ac:dyDescent="0.25">
      <c r="J3894" t="str">
        <f>IF(H3894="","",IFERROR(VLOOKUP(H3894,Listas!$J$2:$K$1048576,2,FALSE),""))</f>
        <v/>
      </c>
      <c r="K3894" s="5" t="str">
        <f>IF(OR(I3894="",G3894=""),"",IF(G3894="Saída",-I3894,I3894))</f>
        <v/>
      </c>
      <c r="L3894" t="str">
        <f>IF(E3894="","",IFERROR(VLOOKUP(E3894,Listas!$A$2:$C$1048576,3,FALSE),""))</f>
        <v/>
      </c>
    </row>
    <row r="3895" spans="10:12" x14ac:dyDescent="0.25">
      <c r="J3895" t="str">
        <f>IF(H3895="","",IFERROR(VLOOKUP(H3895,Listas!$J$2:$K$1048576,2,FALSE),""))</f>
        <v/>
      </c>
      <c r="K3895" s="5" t="str">
        <f>IF(OR(I3895="",G3895=""),"",IF(G3895="Saída",-I3895,I3895))</f>
        <v/>
      </c>
      <c r="L3895" t="str">
        <f>IF(E3895="","",IFERROR(VLOOKUP(E3895,Listas!$A$2:$C$1048576,3,FALSE),""))</f>
        <v/>
      </c>
    </row>
    <row r="3896" spans="10:12" x14ac:dyDescent="0.25">
      <c r="J3896" t="str">
        <f>IF(H3896="","",IFERROR(VLOOKUP(H3896,Listas!$J$2:$K$1048576,2,FALSE),""))</f>
        <v/>
      </c>
      <c r="K3896" s="5" t="str">
        <f>IF(OR(I3896="",G3896=""),"",IF(G3896="Saída",-I3896,I3896))</f>
        <v/>
      </c>
      <c r="L3896" t="str">
        <f>IF(E3896="","",IFERROR(VLOOKUP(E3896,Listas!$A$2:$C$1048576,3,FALSE),""))</f>
        <v/>
      </c>
    </row>
    <row r="3897" spans="10:12" x14ac:dyDescent="0.25">
      <c r="J3897" t="str">
        <f>IF(H3897="","",IFERROR(VLOOKUP(H3897,Listas!$J$2:$K$1048576,2,FALSE),""))</f>
        <v/>
      </c>
      <c r="K3897" s="5" t="str">
        <f>IF(OR(I3897="",G3897=""),"",IF(G3897="Saída",-I3897,I3897))</f>
        <v/>
      </c>
      <c r="L3897" t="str">
        <f>IF(E3897="","",IFERROR(VLOOKUP(E3897,Listas!$A$2:$C$1048576,3,FALSE),""))</f>
        <v/>
      </c>
    </row>
    <row r="3898" spans="10:12" x14ac:dyDescent="0.25">
      <c r="J3898" t="str">
        <f>IF(H3898="","",IFERROR(VLOOKUP(H3898,Listas!$J$2:$K$1048576,2,FALSE),""))</f>
        <v/>
      </c>
      <c r="K3898" s="5" t="str">
        <f>IF(OR(I3898="",G3898=""),"",IF(G3898="Saída",-I3898,I3898))</f>
        <v/>
      </c>
      <c r="L3898" t="str">
        <f>IF(E3898="","",IFERROR(VLOOKUP(E3898,Listas!$A$2:$C$1048576,3,FALSE),""))</f>
        <v/>
      </c>
    </row>
    <row r="3899" spans="10:12" x14ac:dyDescent="0.25">
      <c r="J3899" t="str">
        <f>IF(H3899="","",IFERROR(VLOOKUP(H3899,Listas!$J$2:$K$1048576,2,FALSE),""))</f>
        <v/>
      </c>
      <c r="K3899" s="5" t="str">
        <f>IF(OR(I3899="",G3899=""),"",IF(G3899="Saída",-I3899,I3899))</f>
        <v/>
      </c>
      <c r="L3899" t="str">
        <f>IF(E3899="","",IFERROR(VLOOKUP(E3899,Listas!$A$2:$C$1048576,3,FALSE),""))</f>
        <v/>
      </c>
    </row>
    <row r="3900" spans="10:12" x14ac:dyDescent="0.25">
      <c r="J3900" t="str">
        <f>IF(H3900="","",IFERROR(VLOOKUP(H3900,Listas!$J$2:$K$1048576,2,FALSE),""))</f>
        <v/>
      </c>
      <c r="K3900" s="5" t="str">
        <f>IF(OR(I3900="",G3900=""),"",IF(G3900="Saída",-I3900,I3900))</f>
        <v/>
      </c>
      <c r="L3900" t="str">
        <f>IF(E3900="","",IFERROR(VLOOKUP(E3900,Listas!$A$2:$C$1048576,3,FALSE),""))</f>
        <v/>
      </c>
    </row>
    <row r="3901" spans="10:12" x14ac:dyDescent="0.25">
      <c r="J3901" t="str">
        <f>IF(H3901="","",IFERROR(VLOOKUP(H3901,Listas!$J$2:$K$1048576,2,FALSE),""))</f>
        <v/>
      </c>
      <c r="K3901" s="5" t="str">
        <f>IF(OR(I3901="",G3901=""),"",IF(G3901="Saída",-I3901,I3901))</f>
        <v/>
      </c>
      <c r="L3901" t="str">
        <f>IF(E3901="","",IFERROR(VLOOKUP(E3901,Listas!$A$2:$C$1048576,3,FALSE),""))</f>
        <v/>
      </c>
    </row>
    <row r="3902" spans="10:12" x14ac:dyDescent="0.25">
      <c r="J3902" t="str">
        <f>IF(H3902="","",IFERROR(VLOOKUP(H3902,Listas!$J$2:$K$1048576,2,FALSE),""))</f>
        <v/>
      </c>
      <c r="K3902" s="5" t="str">
        <f>IF(OR(I3902="",G3902=""),"",IF(G3902="Saída",-I3902,I3902))</f>
        <v/>
      </c>
      <c r="L3902" t="str">
        <f>IF(E3902="","",IFERROR(VLOOKUP(E3902,Listas!$A$2:$C$1048576,3,FALSE),""))</f>
        <v/>
      </c>
    </row>
    <row r="3903" spans="10:12" x14ac:dyDescent="0.25">
      <c r="J3903" t="str">
        <f>IF(H3903="","",IFERROR(VLOOKUP(H3903,Listas!$J$2:$K$1048576,2,FALSE),""))</f>
        <v/>
      </c>
      <c r="K3903" s="5" t="str">
        <f>IF(OR(I3903="",G3903=""),"",IF(G3903="Saída",-I3903,I3903))</f>
        <v/>
      </c>
      <c r="L3903" t="str">
        <f>IF(E3903="","",IFERROR(VLOOKUP(E3903,Listas!$A$2:$C$1048576,3,FALSE),""))</f>
        <v/>
      </c>
    </row>
    <row r="3904" spans="10:12" x14ac:dyDescent="0.25">
      <c r="J3904" t="str">
        <f>IF(H3904="","",IFERROR(VLOOKUP(H3904,Listas!$J$2:$K$1048576,2,FALSE),""))</f>
        <v/>
      </c>
      <c r="K3904" s="5" t="str">
        <f>IF(OR(I3904="",G3904=""),"",IF(G3904="Saída",-I3904,I3904))</f>
        <v/>
      </c>
      <c r="L3904" t="str">
        <f>IF(E3904="","",IFERROR(VLOOKUP(E3904,Listas!$A$2:$C$1048576,3,FALSE),""))</f>
        <v/>
      </c>
    </row>
    <row r="3905" spans="10:12" x14ac:dyDescent="0.25">
      <c r="J3905" t="str">
        <f>IF(H3905="","",IFERROR(VLOOKUP(H3905,Listas!$J$2:$K$1048576,2,FALSE),""))</f>
        <v/>
      </c>
      <c r="K3905" s="5" t="str">
        <f>IF(OR(I3905="",G3905=""),"",IF(G3905="Saída",-I3905,I3905))</f>
        <v/>
      </c>
      <c r="L3905" t="str">
        <f>IF(E3905="","",IFERROR(VLOOKUP(E3905,Listas!$A$2:$C$1048576,3,FALSE),""))</f>
        <v/>
      </c>
    </row>
    <row r="3906" spans="10:12" x14ac:dyDescent="0.25">
      <c r="J3906" t="str">
        <f>IF(H3906="","",IFERROR(VLOOKUP(H3906,Listas!$J$2:$K$1048576,2,FALSE),""))</f>
        <v/>
      </c>
      <c r="K3906" s="5" t="str">
        <f>IF(OR(I3906="",G3906=""),"",IF(G3906="Saída",-I3906,I3906))</f>
        <v/>
      </c>
      <c r="L3906" t="str">
        <f>IF(E3906="","",IFERROR(VLOOKUP(E3906,Listas!$A$2:$C$1048576,3,FALSE),""))</f>
        <v/>
      </c>
    </row>
    <row r="3907" spans="10:12" x14ac:dyDescent="0.25">
      <c r="J3907" t="str">
        <f>IF(H3907="","",IFERROR(VLOOKUP(H3907,Listas!$J$2:$K$1048576,2,FALSE),""))</f>
        <v/>
      </c>
      <c r="K3907" s="5" t="str">
        <f>IF(OR(I3907="",G3907=""),"",IF(G3907="Saída",-I3907,I3907))</f>
        <v/>
      </c>
      <c r="L3907" t="str">
        <f>IF(E3907="","",IFERROR(VLOOKUP(E3907,Listas!$A$2:$C$1048576,3,FALSE),""))</f>
        <v/>
      </c>
    </row>
    <row r="3908" spans="10:12" x14ac:dyDescent="0.25">
      <c r="J3908" t="str">
        <f>IF(H3908="","",IFERROR(VLOOKUP(H3908,Listas!$J$2:$K$1048576,2,FALSE),""))</f>
        <v/>
      </c>
      <c r="K3908" s="5" t="str">
        <f>IF(OR(I3908="",G3908=""),"",IF(G3908="Saída",-I3908,I3908))</f>
        <v/>
      </c>
      <c r="L3908" t="str">
        <f>IF(E3908="","",IFERROR(VLOOKUP(E3908,Listas!$A$2:$C$1048576,3,FALSE),""))</f>
        <v/>
      </c>
    </row>
    <row r="3909" spans="10:12" x14ac:dyDescent="0.25">
      <c r="J3909" t="str">
        <f>IF(H3909="","",IFERROR(VLOOKUP(H3909,Listas!$J$2:$K$1048576,2,FALSE),""))</f>
        <v/>
      </c>
      <c r="K3909" s="5" t="str">
        <f>IF(OR(I3909="",G3909=""),"",IF(G3909="Saída",-I3909,I3909))</f>
        <v/>
      </c>
      <c r="L3909" t="str">
        <f>IF(E3909="","",IFERROR(VLOOKUP(E3909,Listas!$A$2:$C$1048576,3,FALSE),""))</f>
        <v/>
      </c>
    </row>
    <row r="3910" spans="10:12" x14ac:dyDescent="0.25">
      <c r="J3910" t="str">
        <f>IF(H3910="","",IFERROR(VLOOKUP(H3910,Listas!$J$2:$K$1048576,2,FALSE),""))</f>
        <v/>
      </c>
      <c r="K3910" s="5" t="str">
        <f>IF(OR(I3910="",G3910=""),"",IF(G3910="Saída",-I3910,I3910))</f>
        <v/>
      </c>
      <c r="L3910" t="str">
        <f>IF(E3910="","",IFERROR(VLOOKUP(E3910,Listas!$A$2:$C$1048576,3,FALSE),""))</f>
        <v/>
      </c>
    </row>
    <row r="3911" spans="10:12" x14ac:dyDescent="0.25">
      <c r="J3911" t="str">
        <f>IF(H3911="","",IFERROR(VLOOKUP(H3911,Listas!$J$2:$K$1048576,2,FALSE),""))</f>
        <v/>
      </c>
      <c r="K3911" s="5" t="str">
        <f>IF(OR(I3911="",G3911=""),"",IF(G3911="Saída",-I3911,I3911))</f>
        <v/>
      </c>
      <c r="L3911" t="str">
        <f>IF(E3911="","",IFERROR(VLOOKUP(E3911,Listas!$A$2:$C$1048576,3,FALSE),""))</f>
        <v/>
      </c>
    </row>
    <row r="3912" spans="10:12" x14ac:dyDescent="0.25">
      <c r="J3912" t="str">
        <f>IF(H3912="","",IFERROR(VLOOKUP(H3912,Listas!$J$2:$K$1048576,2,FALSE),""))</f>
        <v/>
      </c>
      <c r="K3912" s="5" t="str">
        <f>IF(OR(I3912="",G3912=""),"",IF(G3912="Saída",-I3912,I3912))</f>
        <v/>
      </c>
      <c r="L3912" t="str">
        <f>IF(E3912="","",IFERROR(VLOOKUP(E3912,Listas!$A$2:$C$1048576,3,FALSE),""))</f>
        <v/>
      </c>
    </row>
    <row r="3913" spans="10:12" x14ac:dyDescent="0.25">
      <c r="J3913" t="str">
        <f>IF(H3913="","",IFERROR(VLOOKUP(H3913,Listas!$J$2:$K$1048576,2,FALSE),""))</f>
        <v/>
      </c>
      <c r="K3913" s="5" t="str">
        <f>IF(OR(I3913="",G3913=""),"",IF(G3913="Saída",-I3913,I3913))</f>
        <v/>
      </c>
      <c r="L3913" t="str">
        <f>IF(E3913="","",IFERROR(VLOOKUP(E3913,Listas!$A$2:$C$1048576,3,FALSE),""))</f>
        <v/>
      </c>
    </row>
    <row r="3914" spans="10:12" x14ac:dyDescent="0.25">
      <c r="J3914" t="str">
        <f>IF(H3914="","",IFERROR(VLOOKUP(H3914,Listas!$J$2:$K$1048576,2,FALSE),""))</f>
        <v/>
      </c>
      <c r="K3914" s="5" t="str">
        <f>IF(OR(I3914="",G3914=""),"",IF(G3914="Saída",-I3914,I3914))</f>
        <v/>
      </c>
      <c r="L3914" t="str">
        <f>IF(E3914="","",IFERROR(VLOOKUP(E3914,Listas!$A$2:$C$1048576,3,FALSE),""))</f>
        <v/>
      </c>
    </row>
    <row r="3915" spans="10:12" x14ac:dyDescent="0.25">
      <c r="J3915" t="str">
        <f>IF(H3915="","",IFERROR(VLOOKUP(H3915,Listas!$J$2:$K$1048576,2,FALSE),""))</f>
        <v/>
      </c>
      <c r="K3915" s="5" t="str">
        <f>IF(OR(I3915="",G3915=""),"",IF(G3915="Saída",-I3915,I3915))</f>
        <v/>
      </c>
      <c r="L3915" t="str">
        <f>IF(E3915="","",IFERROR(VLOOKUP(E3915,Listas!$A$2:$C$1048576,3,FALSE),""))</f>
        <v/>
      </c>
    </row>
    <row r="3916" spans="10:12" x14ac:dyDescent="0.25">
      <c r="J3916" t="str">
        <f>IF(H3916="","",IFERROR(VLOOKUP(H3916,Listas!$J$2:$K$1048576,2,FALSE),""))</f>
        <v/>
      </c>
      <c r="K3916" s="5" t="str">
        <f>IF(OR(I3916="",G3916=""),"",IF(G3916="Saída",-I3916,I3916))</f>
        <v/>
      </c>
      <c r="L3916" t="str">
        <f>IF(E3916="","",IFERROR(VLOOKUP(E3916,Listas!$A$2:$C$1048576,3,FALSE),""))</f>
        <v/>
      </c>
    </row>
    <row r="3917" spans="10:12" x14ac:dyDescent="0.25">
      <c r="J3917" t="str">
        <f>IF(H3917="","",IFERROR(VLOOKUP(H3917,Listas!$J$2:$K$1048576,2,FALSE),""))</f>
        <v/>
      </c>
      <c r="K3917" s="5" t="str">
        <f>IF(OR(I3917="",G3917=""),"",IF(G3917="Saída",-I3917,I3917))</f>
        <v/>
      </c>
      <c r="L3917" t="str">
        <f>IF(E3917="","",IFERROR(VLOOKUP(E3917,Listas!$A$2:$C$1048576,3,FALSE),""))</f>
        <v/>
      </c>
    </row>
    <row r="3918" spans="10:12" x14ac:dyDescent="0.25">
      <c r="J3918" t="str">
        <f>IF(H3918="","",IFERROR(VLOOKUP(H3918,Listas!$J$2:$K$1048576,2,FALSE),""))</f>
        <v/>
      </c>
      <c r="K3918" s="5" t="str">
        <f>IF(OR(I3918="",G3918=""),"",IF(G3918="Saída",-I3918,I3918))</f>
        <v/>
      </c>
      <c r="L3918" t="str">
        <f>IF(E3918="","",IFERROR(VLOOKUP(E3918,Listas!$A$2:$C$1048576,3,FALSE),""))</f>
        <v/>
      </c>
    </row>
    <row r="3919" spans="10:12" x14ac:dyDescent="0.25">
      <c r="J3919" t="str">
        <f>IF(H3919="","",IFERROR(VLOOKUP(H3919,Listas!$J$2:$K$1048576,2,FALSE),""))</f>
        <v/>
      </c>
      <c r="K3919" s="5" t="str">
        <f>IF(OR(I3919="",G3919=""),"",IF(G3919="Saída",-I3919,I3919))</f>
        <v/>
      </c>
      <c r="L3919" t="str">
        <f>IF(E3919="","",IFERROR(VLOOKUP(E3919,Listas!$A$2:$C$1048576,3,FALSE),""))</f>
        <v/>
      </c>
    </row>
    <row r="3920" spans="10:12" x14ac:dyDescent="0.25">
      <c r="J3920" t="str">
        <f>IF(H3920="","",IFERROR(VLOOKUP(H3920,Listas!$J$2:$K$1048576,2,FALSE),""))</f>
        <v/>
      </c>
      <c r="K3920" s="5" t="str">
        <f>IF(OR(I3920="",G3920=""),"",IF(G3920="Saída",-I3920,I3920))</f>
        <v/>
      </c>
      <c r="L3920" t="str">
        <f>IF(E3920="","",IFERROR(VLOOKUP(E3920,Listas!$A$2:$C$1048576,3,FALSE),""))</f>
        <v/>
      </c>
    </row>
    <row r="3921" spans="10:12" x14ac:dyDescent="0.25">
      <c r="J3921" t="str">
        <f>IF(H3921="","",IFERROR(VLOOKUP(H3921,Listas!$J$2:$K$1048576,2,FALSE),""))</f>
        <v/>
      </c>
      <c r="K3921" s="5" t="str">
        <f>IF(OR(I3921="",G3921=""),"",IF(G3921="Saída",-I3921,I3921))</f>
        <v/>
      </c>
      <c r="L3921" t="str">
        <f>IF(E3921="","",IFERROR(VLOOKUP(E3921,Listas!$A$2:$C$1048576,3,FALSE),""))</f>
        <v/>
      </c>
    </row>
    <row r="3922" spans="10:12" x14ac:dyDescent="0.25">
      <c r="J3922" t="str">
        <f>IF(H3922="","",IFERROR(VLOOKUP(H3922,Listas!$J$2:$K$1048576,2,FALSE),""))</f>
        <v/>
      </c>
      <c r="K3922" s="5" t="str">
        <f>IF(OR(I3922="",G3922=""),"",IF(G3922="Saída",-I3922,I3922))</f>
        <v/>
      </c>
      <c r="L3922" t="str">
        <f>IF(E3922="","",IFERROR(VLOOKUP(E3922,Listas!$A$2:$C$1048576,3,FALSE),""))</f>
        <v/>
      </c>
    </row>
    <row r="3923" spans="10:12" x14ac:dyDescent="0.25">
      <c r="J3923" t="str">
        <f>IF(H3923="","",IFERROR(VLOOKUP(H3923,Listas!$J$2:$K$1048576,2,FALSE),""))</f>
        <v/>
      </c>
      <c r="K3923" s="5" t="str">
        <f>IF(OR(I3923="",G3923=""),"",IF(G3923="Saída",-I3923,I3923))</f>
        <v/>
      </c>
      <c r="L3923" t="str">
        <f>IF(E3923="","",IFERROR(VLOOKUP(E3923,Listas!$A$2:$C$1048576,3,FALSE),""))</f>
        <v/>
      </c>
    </row>
    <row r="3924" spans="10:12" x14ac:dyDescent="0.25">
      <c r="J3924" t="str">
        <f>IF(H3924="","",IFERROR(VLOOKUP(H3924,Listas!$J$2:$K$1048576,2,FALSE),""))</f>
        <v/>
      </c>
      <c r="K3924" s="5" t="str">
        <f>IF(OR(I3924="",G3924=""),"",IF(G3924="Saída",-I3924,I3924))</f>
        <v/>
      </c>
      <c r="L3924" t="str">
        <f>IF(E3924="","",IFERROR(VLOOKUP(E3924,Listas!$A$2:$C$1048576,3,FALSE),""))</f>
        <v/>
      </c>
    </row>
    <row r="3925" spans="10:12" x14ac:dyDescent="0.25">
      <c r="J3925" t="str">
        <f>IF(H3925="","",IFERROR(VLOOKUP(H3925,Listas!$J$2:$K$1048576,2,FALSE),""))</f>
        <v/>
      </c>
      <c r="K3925" s="5" t="str">
        <f>IF(OR(I3925="",G3925=""),"",IF(G3925="Saída",-I3925,I3925))</f>
        <v/>
      </c>
      <c r="L3925" t="str">
        <f>IF(E3925="","",IFERROR(VLOOKUP(E3925,Listas!$A$2:$C$1048576,3,FALSE),""))</f>
        <v/>
      </c>
    </row>
    <row r="3926" spans="10:12" x14ac:dyDescent="0.25">
      <c r="J3926" t="str">
        <f>IF(H3926="","",IFERROR(VLOOKUP(H3926,Listas!$J$2:$K$1048576,2,FALSE),""))</f>
        <v/>
      </c>
      <c r="K3926" s="5" t="str">
        <f>IF(OR(I3926="",G3926=""),"",IF(G3926="Saída",-I3926,I3926))</f>
        <v/>
      </c>
      <c r="L3926" t="str">
        <f>IF(E3926="","",IFERROR(VLOOKUP(E3926,Listas!$A$2:$C$1048576,3,FALSE),""))</f>
        <v/>
      </c>
    </row>
    <row r="3927" spans="10:12" x14ac:dyDescent="0.25">
      <c r="J3927" t="str">
        <f>IF(H3927="","",IFERROR(VLOOKUP(H3927,Listas!$J$2:$K$1048576,2,FALSE),""))</f>
        <v/>
      </c>
      <c r="K3927" s="5" t="str">
        <f>IF(OR(I3927="",G3927=""),"",IF(G3927="Saída",-I3927,I3927))</f>
        <v/>
      </c>
      <c r="L3927" t="str">
        <f>IF(E3927="","",IFERROR(VLOOKUP(E3927,Listas!$A$2:$C$1048576,3,FALSE),""))</f>
        <v/>
      </c>
    </row>
    <row r="3928" spans="10:12" x14ac:dyDescent="0.25">
      <c r="J3928" t="str">
        <f>IF(H3928="","",IFERROR(VLOOKUP(H3928,Listas!$J$2:$K$1048576,2,FALSE),""))</f>
        <v/>
      </c>
      <c r="K3928" s="5" t="str">
        <f>IF(OR(I3928="",G3928=""),"",IF(G3928="Saída",-I3928,I3928))</f>
        <v/>
      </c>
      <c r="L3928" t="str">
        <f>IF(E3928="","",IFERROR(VLOOKUP(E3928,Listas!$A$2:$C$1048576,3,FALSE),""))</f>
        <v/>
      </c>
    </row>
    <row r="3929" spans="10:12" x14ac:dyDescent="0.25">
      <c r="J3929" t="str">
        <f>IF(H3929="","",IFERROR(VLOOKUP(H3929,Listas!$J$2:$K$1048576,2,FALSE),""))</f>
        <v/>
      </c>
      <c r="K3929" s="5" t="str">
        <f>IF(OR(I3929="",G3929=""),"",IF(G3929="Saída",-I3929,I3929))</f>
        <v/>
      </c>
      <c r="L3929" t="str">
        <f>IF(E3929="","",IFERROR(VLOOKUP(E3929,Listas!$A$2:$C$1048576,3,FALSE),""))</f>
        <v/>
      </c>
    </row>
    <row r="3930" spans="10:12" x14ac:dyDescent="0.25">
      <c r="J3930" t="str">
        <f>IF(H3930="","",IFERROR(VLOOKUP(H3930,Listas!$J$2:$K$1048576,2,FALSE),""))</f>
        <v/>
      </c>
      <c r="K3930" s="5" t="str">
        <f>IF(OR(I3930="",G3930=""),"",IF(G3930="Saída",-I3930,I3930))</f>
        <v/>
      </c>
      <c r="L3930" t="str">
        <f>IF(E3930="","",IFERROR(VLOOKUP(E3930,Listas!$A$2:$C$1048576,3,FALSE),""))</f>
        <v/>
      </c>
    </row>
    <row r="3931" spans="10:12" x14ac:dyDescent="0.25">
      <c r="J3931" t="str">
        <f>IF(H3931="","",IFERROR(VLOOKUP(H3931,Listas!$J$2:$K$1048576,2,FALSE),""))</f>
        <v/>
      </c>
      <c r="K3931" s="5" t="str">
        <f>IF(OR(I3931="",G3931=""),"",IF(G3931="Saída",-I3931,I3931))</f>
        <v/>
      </c>
      <c r="L3931" t="str">
        <f>IF(E3931="","",IFERROR(VLOOKUP(E3931,Listas!$A$2:$C$1048576,3,FALSE),""))</f>
        <v/>
      </c>
    </row>
    <row r="3932" spans="10:12" x14ac:dyDescent="0.25">
      <c r="J3932" t="str">
        <f>IF(H3932="","",IFERROR(VLOOKUP(H3932,Listas!$J$2:$K$1048576,2,FALSE),""))</f>
        <v/>
      </c>
      <c r="K3932" s="5" t="str">
        <f>IF(OR(I3932="",G3932=""),"",IF(G3932="Saída",-I3932,I3932))</f>
        <v/>
      </c>
      <c r="L3932" t="str">
        <f>IF(E3932="","",IFERROR(VLOOKUP(E3932,Listas!$A$2:$C$1048576,3,FALSE),""))</f>
        <v/>
      </c>
    </row>
    <row r="3933" spans="10:12" x14ac:dyDescent="0.25">
      <c r="J3933" t="str">
        <f>IF(H3933="","",IFERROR(VLOOKUP(H3933,Listas!$J$2:$K$1048576,2,FALSE),""))</f>
        <v/>
      </c>
      <c r="K3933" s="5" t="str">
        <f>IF(OR(I3933="",G3933=""),"",IF(G3933="Saída",-I3933,I3933))</f>
        <v/>
      </c>
      <c r="L3933" t="str">
        <f>IF(E3933="","",IFERROR(VLOOKUP(E3933,Listas!$A$2:$C$1048576,3,FALSE),""))</f>
        <v/>
      </c>
    </row>
    <row r="3934" spans="10:12" x14ac:dyDescent="0.25">
      <c r="J3934" t="str">
        <f>IF(H3934="","",IFERROR(VLOOKUP(H3934,Listas!$J$2:$K$1048576,2,FALSE),""))</f>
        <v/>
      </c>
      <c r="K3934" s="5" t="str">
        <f>IF(OR(I3934="",G3934=""),"",IF(G3934="Saída",-I3934,I3934))</f>
        <v/>
      </c>
      <c r="L3934" t="str">
        <f>IF(E3934="","",IFERROR(VLOOKUP(E3934,Listas!$A$2:$C$1048576,3,FALSE),""))</f>
        <v/>
      </c>
    </row>
    <row r="3935" spans="10:12" x14ac:dyDescent="0.25">
      <c r="J3935" t="str">
        <f>IF(H3935="","",IFERROR(VLOOKUP(H3935,Listas!$J$2:$K$1048576,2,FALSE),""))</f>
        <v/>
      </c>
      <c r="K3935" s="5" t="str">
        <f>IF(OR(I3935="",G3935=""),"",IF(G3935="Saída",-I3935,I3935))</f>
        <v/>
      </c>
      <c r="L3935" t="str">
        <f>IF(E3935="","",IFERROR(VLOOKUP(E3935,Listas!$A$2:$C$1048576,3,FALSE),""))</f>
        <v/>
      </c>
    </row>
    <row r="3936" spans="10:12" x14ac:dyDescent="0.25">
      <c r="J3936" t="str">
        <f>IF(H3936="","",IFERROR(VLOOKUP(H3936,Listas!$J$2:$K$1048576,2,FALSE),""))</f>
        <v/>
      </c>
      <c r="K3936" s="5" t="str">
        <f>IF(OR(I3936="",G3936=""),"",IF(G3936="Saída",-I3936,I3936))</f>
        <v/>
      </c>
      <c r="L3936" t="str">
        <f>IF(E3936="","",IFERROR(VLOOKUP(E3936,Listas!$A$2:$C$1048576,3,FALSE),""))</f>
        <v/>
      </c>
    </row>
    <row r="3937" spans="10:12" x14ac:dyDescent="0.25">
      <c r="J3937" t="str">
        <f>IF(H3937="","",IFERROR(VLOOKUP(H3937,Listas!$J$2:$K$1048576,2,FALSE),""))</f>
        <v/>
      </c>
      <c r="K3937" s="5" t="str">
        <f>IF(OR(I3937="",G3937=""),"",IF(G3937="Saída",-I3937,I3937))</f>
        <v/>
      </c>
      <c r="L3937" t="str">
        <f>IF(E3937="","",IFERROR(VLOOKUP(E3937,Listas!$A$2:$C$1048576,3,FALSE),""))</f>
        <v/>
      </c>
    </row>
    <row r="3938" spans="10:12" x14ac:dyDescent="0.25">
      <c r="J3938" t="str">
        <f>IF(H3938="","",IFERROR(VLOOKUP(H3938,Listas!$J$2:$K$1048576,2,FALSE),""))</f>
        <v/>
      </c>
      <c r="K3938" s="5" t="str">
        <f>IF(OR(I3938="",G3938=""),"",IF(G3938="Saída",-I3938,I3938))</f>
        <v/>
      </c>
      <c r="L3938" t="str">
        <f>IF(E3938="","",IFERROR(VLOOKUP(E3938,Listas!$A$2:$C$1048576,3,FALSE),""))</f>
        <v/>
      </c>
    </row>
    <row r="3939" spans="10:12" x14ac:dyDescent="0.25">
      <c r="J3939" t="str">
        <f>IF(H3939="","",IFERROR(VLOOKUP(H3939,Listas!$J$2:$K$1048576,2,FALSE),""))</f>
        <v/>
      </c>
      <c r="K3939" s="5" t="str">
        <f>IF(OR(I3939="",G3939=""),"",IF(G3939="Saída",-I3939,I3939))</f>
        <v/>
      </c>
      <c r="L3939" t="str">
        <f>IF(E3939="","",IFERROR(VLOOKUP(E3939,Listas!$A$2:$C$1048576,3,FALSE),""))</f>
        <v/>
      </c>
    </row>
    <row r="3940" spans="10:12" x14ac:dyDescent="0.25">
      <c r="J3940" t="str">
        <f>IF(H3940="","",IFERROR(VLOOKUP(H3940,Listas!$J$2:$K$1048576,2,FALSE),""))</f>
        <v/>
      </c>
      <c r="K3940" s="5" t="str">
        <f>IF(OR(I3940="",G3940=""),"",IF(G3940="Saída",-I3940,I3940))</f>
        <v/>
      </c>
      <c r="L3940" t="str">
        <f>IF(E3940="","",IFERROR(VLOOKUP(E3940,Listas!$A$2:$C$1048576,3,FALSE),""))</f>
        <v/>
      </c>
    </row>
    <row r="3941" spans="10:12" x14ac:dyDescent="0.25">
      <c r="J3941" t="str">
        <f>IF(H3941="","",IFERROR(VLOOKUP(H3941,Listas!$J$2:$K$1048576,2,FALSE),""))</f>
        <v/>
      </c>
      <c r="K3941" s="5" t="str">
        <f>IF(OR(I3941="",G3941=""),"",IF(G3941="Saída",-I3941,I3941))</f>
        <v/>
      </c>
      <c r="L3941" t="str">
        <f>IF(E3941="","",IFERROR(VLOOKUP(E3941,Listas!$A$2:$C$1048576,3,FALSE),""))</f>
        <v/>
      </c>
    </row>
    <row r="3942" spans="10:12" x14ac:dyDescent="0.25">
      <c r="J3942" t="str">
        <f>IF(H3942="","",IFERROR(VLOOKUP(H3942,Listas!$J$2:$K$1048576,2,FALSE),""))</f>
        <v/>
      </c>
      <c r="K3942" s="5" t="str">
        <f>IF(OR(I3942="",G3942=""),"",IF(G3942="Saída",-I3942,I3942))</f>
        <v/>
      </c>
      <c r="L3942" t="str">
        <f>IF(E3942="","",IFERROR(VLOOKUP(E3942,Listas!$A$2:$C$1048576,3,FALSE),""))</f>
        <v/>
      </c>
    </row>
    <row r="3943" spans="10:12" x14ac:dyDescent="0.25">
      <c r="J3943" t="str">
        <f>IF(H3943="","",IFERROR(VLOOKUP(H3943,Listas!$J$2:$K$1048576,2,FALSE),""))</f>
        <v/>
      </c>
      <c r="K3943" s="5" t="str">
        <f>IF(OR(I3943="",G3943=""),"",IF(G3943="Saída",-I3943,I3943))</f>
        <v/>
      </c>
      <c r="L3943" t="str">
        <f>IF(E3943="","",IFERROR(VLOOKUP(E3943,Listas!$A$2:$C$1048576,3,FALSE),""))</f>
        <v/>
      </c>
    </row>
    <row r="3944" spans="10:12" x14ac:dyDescent="0.25">
      <c r="J3944" t="str">
        <f>IF(H3944="","",IFERROR(VLOOKUP(H3944,Listas!$J$2:$K$1048576,2,FALSE),""))</f>
        <v/>
      </c>
      <c r="K3944" s="5" t="str">
        <f>IF(OR(I3944="",G3944=""),"",IF(G3944="Saída",-I3944,I3944))</f>
        <v/>
      </c>
      <c r="L3944" t="str">
        <f>IF(E3944="","",IFERROR(VLOOKUP(E3944,Listas!$A$2:$C$1048576,3,FALSE),""))</f>
        <v/>
      </c>
    </row>
    <row r="3945" spans="10:12" x14ac:dyDescent="0.25">
      <c r="J3945" t="str">
        <f>IF(H3945="","",IFERROR(VLOOKUP(H3945,Listas!$J$2:$K$1048576,2,FALSE),""))</f>
        <v/>
      </c>
      <c r="K3945" s="5" t="str">
        <f>IF(OR(I3945="",G3945=""),"",IF(G3945="Saída",-I3945,I3945))</f>
        <v/>
      </c>
      <c r="L3945" t="str">
        <f>IF(E3945="","",IFERROR(VLOOKUP(E3945,Listas!$A$2:$C$1048576,3,FALSE),""))</f>
        <v/>
      </c>
    </row>
    <row r="3946" spans="10:12" x14ac:dyDescent="0.25">
      <c r="J3946" t="str">
        <f>IF(H3946="","",IFERROR(VLOOKUP(H3946,Listas!$J$2:$K$1048576,2,FALSE),""))</f>
        <v/>
      </c>
      <c r="K3946" s="5" t="str">
        <f>IF(OR(I3946="",G3946=""),"",IF(G3946="Saída",-I3946,I3946))</f>
        <v/>
      </c>
      <c r="L3946" t="str">
        <f>IF(E3946="","",IFERROR(VLOOKUP(E3946,Listas!$A$2:$C$1048576,3,FALSE),""))</f>
        <v/>
      </c>
    </row>
    <row r="3947" spans="10:12" x14ac:dyDescent="0.25">
      <c r="J3947" t="str">
        <f>IF(H3947="","",IFERROR(VLOOKUP(H3947,Listas!$J$2:$K$1048576,2,FALSE),""))</f>
        <v/>
      </c>
      <c r="K3947" s="5" t="str">
        <f>IF(OR(I3947="",G3947=""),"",IF(G3947="Saída",-I3947,I3947))</f>
        <v/>
      </c>
      <c r="L3947" t="str">
        <f>IF(E3947="","",IFERROR(VLOOKUP(E3947,Listas!$A$2:$C$1048576,3,FALSE),""))</f>
        <v/>
      </c>
    </row>
    <row r="3948" spans="10:12" x14ac:dyDescent="0.25">
      <c r="J3948" t="str">
        <f>IF(H3948="","",IFERROR(VLOOKUP(H3948,Listas!$J$2:$K$1048576,2,FALSE),""))</f>
        <v/>
      </c>
      <c r="K3948" s="5" t="str">
        <f>IF(OR(I3948="",G3948=""),"",IF(G3948="Saída",-I3948,I3948))</f>
        <v/>
      </c>
      <c r="L3948" t="str">
        <f>IF(E3948="","",IFERROR(VLOOKUP(E3948,Listas!$A$2:$C$1048576,3,FALSE),""))</f>
        <v/>
      </c>
    </row>
    <row r="3949" spans="10:12" x14ac:dyDescent="0.25">
      <c r="J3949" t="str">
        <f>IF(H3949="","",IFERROR(VLOOKUP(H3949,Listas!$J$2:$K$1048576,2,FALSE),""))</f>
        <v/>
      </c>
      <c r="K3949" s="5" t="str">
        <f>IF(OR(I3949="",G3949=""),"",IF(G3949="Saída",-I3949,I3949))</f>
        <v/>
      </c>
      <c r="L3949" t="str">
        <f>IF(E3949="","",IFERROR(VLOOKUP(E3949,Listas!$A$2:$C$1048576,3,FALSE),""))</f>
        <v/>
      </c>
    </row>
    <row r="3950" spans="10:12" x14ac:dyDescent="0.25">
      <c r="J3950" t="str">
        <f>IF(H3950="","",IFERROR(VLOOKUP(H3950,Listas!$J$2:$K$1048576,2,FALSE),""))</f>
        <v/>
      </c>
      <c r="K3950" s="5" t="str">
        <f>IF(OR(I3950="",G3950=""),"",IF(G3950="Saída",-I3950,I3950))</f>
        <v/>
      </c>
      <c r="L3950" t="str">
        <f>IF(E3950="","",IFERROR(VLOOKUP(E3950,Listas!$A$2:$C$1048576,3,FALSE),""))</f>
        <v/>
      </c>
    </row>
    <row r="3951" spans="10:12" x14ac:dyDescent="0.25">
      <c r="J3951" t="str">
        <f>IF(H3951="","",IFERROR(VLOOKUP(H3951,Listas!$J$2:$K$1048576,2,FALSE),""))</f>
        <v/>
      </c>
      <c r="K3951" s="5" t="str">
        <f>IF(OR(I3951="",G3951=""),"",IF(G3951="Saída",-I3951,I3951))</f>
        <v/>
      </c>
      <c r="L3951" t="str">
        <f>IF(E3951="","",IFERROR(VLOOKUP(E3951,Listas!$A$2:$C$1048576,3,FALSE),""))</f>
        <v/>
      </c>
    </row>
    <row r="3952" spans="10:12" x14ac:dyDescent="0.25">
      <c r="J3952" t="str">
        <f>IF(H3952="","",IFERROR(VLOOKUP(H3952,Listas!$J$2:$K$1048576,2,FALSE),""))</f>
        <v/>
      </c>
      <c r="K3952" s="5" t="str">
        <f>IF(OR(I3952="",G3952=""),"",IF(G3952="Saída",-I3952,I3952))</f>
        <v/>
      </c>
      <c r="L3952" t="str">
        <f>IF(E3952="","",IFERROR(VLOOKUP(E3952,Listas!$A$2:$C$1048576,3,FALSE),""))</f>
        <v/>
      </c>
    </row>
    <row r="3953" spans="10:12" x14ac:dyDescent="0.25">
      <c r="J3953" t="str">
        <f>IF(H3953="","",IFERROR(VLOOKUP(H3953,Listas!$J$2:$K$1048576,2,FALSE),""))</f>
        <v/>
      </c>
      <c r="K3953" s="5" t="str">
        <f>IF(OR(I3953="",G3953=""),"",IF(G3953="Saída",-I3953,I3953))</f>
        <v/>
      </c>
      <c r="L3953" t="str">
        <f>IF(E3953="","",IFERROR(VLOOKUP(E3953,Listas!$A$2:$C$1048576,3,FALSE),""))</f>
        <v/>
      </c>
    </row>
    <row r="3954" spans="10:12" x14ac:dyDescent="0.25">
      <c r="J3954" t="str">
        <f>IF(H3954="","",IFERROR(VLOOKUP(H3954,Listas!$J$2:$K$1048576,2,FALSE),""))</f>
        <v/>
      </c>
      <c r="K3954" s="5" t="str">
        <f>IF(OR(I3954="",G3954=""),"",IF(G3954="Saída",-I3954,I3954))</f>
        <v/>
      </c>
      <c r="L3954" t="str">
        <f>IF(E3954="","",IFERROR(VLOOKUP(E3954,Listas!$A$2:$C$1048576,3,FALSE),""))</f>
        <v/>
      </c>
    </row>
    <row r="3955" spans="10:12" x14ac:dyDescent="0.25">
      <c r="J3955" t="str">
        <f>IF(H3955="","",IFERROR(VLOOKUP(H3955,Listas!$J$2:$K$1048576,2,FALSE),""))</f>
        <v/>
      </c>
      <c r="K3955" s="5" t="str">
        <f>IF(OR(I3955="",G3955=""),"",IF(G3955="Saída",-I3955,I3955))</f>
        <v/>
      </c>
      <c r="L3955" t="str">
        <f>IF(E3955="","",IFERROR(VLOOKUP(E3955,Listas!$A$2:$C$1048576,3,FALSE),""))</f>
        <v/>
      </c>
    </row>
    <row r="3956" spans="10:12" x14ac:dyDescent="0.25">
      <c r="J3956" t="str">
        <f>IF(H3956="","",IFERROR(VLOOKUP(H3956,Listas!$J$2:$K$1048576,2,FALSE),""))</f>
        <v/>
      </c>
      <c r="K3956" s="5" t="str">
        <f>IF(OR(I3956="",G3956=""),"",IF(G3956="Saída",-I3956,I3956))</f>
        <v/>
      </c>
      <c r="L3956" t="str">
        <f>IF(E3956="","",IFERROR(VLOOKUP(E3956,Listas!$A$2:$C$1048576,3,FALSE),""))</f>
        <v/>
      </c>
    </row>
    <row r="3957" spans="10:12" x14ac:dyDescent="0.25">
      <c r="J3957" t="str">
        <f>IF(H3957="","",IFERROR(VLOOKUP(H3957,Listas!$J$2:$K$1048576,2,FALSE),""))</f>
        <v/>
      </c>
      <c r="K3957" s="5" t="str">
        <f>IF(OR(I3957="",G3957=""),"",IF(G3957="Saída",-I3957,I3957))</f>
        <v/>
      </c>
      <c r="L3957" t="str">
        <f>IF(E3957="","",IFERROR(VLOOKUP(E3957,Listas!$A$2:$C$1048576,3,FALSE),""))</f>
        <v/>
      </c>
    </row>
    <row r="3958" spans="10:12" x14ac:dyDescent="0.25">
      <c r="J3958" t="str">
        <f>IF(H3958="","",IFERROR(VLOOKUP(H3958,Listas!$J$2:$K$1048576,2,FALSE),""))</f>
        <v/>
      </c>
      <c r="K3958" s="5" t="str">
        <f>IF(OR(I3958="",G3958=""),"",IF(G3958="Saída",-I3958,I3958))</f>
        <v/>
      </c>
      <c r="L3958" t="str">
        <f>IF(E3958="","",IFERROR(VLOOKUP(E3958,Listas!$A$2:$C$1048576,3,FALSE),""))</f>
        <v/>
      </c>
    </row>
    <row r="3959" spans="10:12" x14ac:dyDescent="0.25">
      <c r="J3959" t="str">
        <f>IF(H3959="","",IFERROR(VLOOKUP(H3959,Listas!$J$2:$K$1048576,2,FALSE),""))</f>
        <v/>
      </c>
      <c r="K3959" s="5" t="str">
        <f>IF(OR(I3959="",G3959=""),"",IF(G3959="Saída",-I3959,I3959))</f>
        <v/>
      </c>
      <c r="L3959" t="str">
        <f>IF(E3959="","",IFERROR(VLOOKUP(E3959,Listas!$A$2:$C$1048576,3,FALSE),""))</f>
        <v/>
      </c>
    </row>
    <row r="3960" spans="10:12" x14ac:dyDescent="0.25">
      <c r="J3960" t="str">
        <f>IF(H3960="","",IFERROR(VLOOKUP(H3960,Listas!$J$2:$K$1048576,2,FALSE),""))</f>
        <v/>
      </c>
      <c r="K3960" s="5" t="str">
        <f>IF(OR(I3960="",G3960=""),"",IF(G3960="Saída",-I3960,I3960))</f>
        <v/>
      </c>
      <c r="L3960" t="str">
        <f>IF(E3960="","",IFERROR(VLOOKUP(E3960,Listas!$A$2:$C$1048576,3,FALSE),""))</f>
        <v/>
      </c>
    </row>
    <row r="3961" spans="10:12" x14ac:dyDescent="0.25">
      <c r="J3961" t="str">
        <f>IF(H3961="","",IFERROR(VLOOKUP(H3961,Listas!$J$2:$K$1048576,2,FALSE),""))</f>
        <v/>
      </c>
      <c r="K3961" s="5" t="str">
        <f>IF(OR(I3961="",G3961=""),"",IF(G3961="Saída",-I3961,I3961))</f>
        <v/>
      </c>
      <c r="L3961" t="str">
        <f>IF(E3961="","",IFERROR(VLOOKUP(E3961,Listas!$A$2:$C$1048576,3,FALSE),""))</f>
        <v/>
      </c>
    </row>
    <row r="3962" spans="10:12" x14ac:dyDescent="0.25">
      <c r="J3962" t="str">
        <f>IF(H3962="","",IFERROR(VLOOKUP(H3962,Listas!$J$2:$K$1048576,2,FALSE),""))</f>
        <v/>
      </c>
      <c r="K3962" s="5" t="str">
        <f>IF(OR(I3962="",G3962=""),"",IF(G3962="Saída",-I3962,I3962))</f>
        <v/>
      </c>
      <c r="L3962" t="str">
        <f>IF(E3962="","",IFERROR(VLOOKUP(E3962,Listas!$A$2:$C$1048576,3,FALSE),""))</f>
        <v/>
      </c>
    </row>
    <row r="3963" spans="10:12" x14ac:dyDescent="0.25">
      <c r="J3963" t="str">
        <f>IF(H3963="","",IFERROR(VLOOKUP(H3963,Listas!$J$2:$K$1048576,2,FALSE),""))</f>
        <v/>
      </c>
      <c r="K3963" s="5" t="str">
        <f>IF(OR(I3963="",G3963=""),"",IF(G3963="Saída",-I3963,I3963))</f>
        <v/>
      </c>
      <c r="L3963" t="str">
        <f>IF(E3963="","",IFERROR(VLOOKUP(E3963,Listas!$A$2:$C$1048576,3,FALSE),""))</f>
        <v/>
      </c>
    </row>
    <row r="3964" spans="10:12" x14ac:dyDescent="0.25">
      <c r="J3964" t="str">
        <f>IF(H3964="","",IFERROR(VLOOKUP(H3964,Listas!$J$2:$K$1048576,2,FALSE),""))</f>
        <v/>
      </c>
      <c r="K3964" s="5" t="str">
        <f>IF(OR(I3964="",G3964=""),"",IF(G3964="Saída",-I3964,I3964))</f>
        <v/>
      </c>
      <c r="L3964" t="str">
        <f>IF(E3964="","",IFERROR(VLOOKUP(E3964,Listas!$A$2:$C$1048576,3,FALSE),""))</f>
        <v/>
      </c>
    </row>
    <row r="3965" spans="10:12" x14ac:dyDescent="0.25">
      <c r="J3965" t="str">
        <f>IF(H3965="","",IFERROR(VLOOKUP(H3965,Listas!$J$2:$K$1048576,2,FALSE),""))</f>
        <v/>
      </c>
      <c r="K3965" s="5" t="str">
        <f>IF(OR(I3965="",G3965=""),"",IF(G3965="Saída",-I3965,I3965))</f>
        <v/>
      </c>
      <c r="L3965" t="str">
        <f>IF(E3965="","",IFERROR(VLOOKUP(E3965,Listas!$A$2:$C$1048576,3,FALSE),""))</f>
        <v/>
      </c>
    </row>
    <row r="3966" spans="10:12" x14ac:dyDescent="0.25">
      <c r="J3966" t="str">
        <f>IF(H3966="","",IFERROR(VLOOKUP(H3966,Listas!$J$2:$K$1048576,2,FALSE),""))</f>
        <v/>
      </c>
      <c r="K3966" s="5" t="str">
        <f>IF(OR(I3966="",G3966=""),"",IF(G3966="Saída",-I3966,I3966))</f>
        <v/>
      </c>
      <c r="L3966" t="str">
        <f>IF(E3966="","",IFERROR(VLOOKUP(E3966,Listas!$A$2:$C$1048576,3,FALSE),""))</f>
        <v/>
      </c>
    </row>
    <row r="3967" spans="10:12" x14ac:dyDescent="0.25">
      <c r="J3967" t="str">
        <f>IF(H3967="","",IFERROR(VLOOKUP(H3967,Listas!$J$2:$K$1048576,2,FALSE),""))</f>
        <v/>
      </c>
      <c r="K3967" s="5" t="str">
        <f>IF(OR(I3967="",G3967=""),"",IF(G3967="Saída",-I3967,I3967))</f>
        <v/>
      </c>
      <c r="L3967" t="str">
        <f>IF(E3967="","",IFERROR(VLOOKUP(E3967,Listas!$A$2:$C$1048576,3,FALSE),""))</f>
        <v/>
      </c>
    </row>
    <row r="3968" spans="10:12" x14ac:dyDescent="0.25">
      <c r="J3968" t="str">
        <f>IF(H3968="","",IFERROR(VLOOKUP(H3968,Listas!$J$2:$K$1048576,2,FALSE),""))</f>
        <v/>
      </c>
      <c r="K3968" s="5" t="str">
        <f>IF(OR(I3968="",G3968=""),"",IF(G3968="Saída",-I3968,I3968))</f>
        <v/>
      </c>
      <c r="L3968" t="str">
        <f>IF(E3968="","",IFERROR(VLOOKUP(E3968,Listas!$A$2:$C$1048576,3,FALSE),""))</f>
        <v/>
      </c>
    </row>
    <row r="3969" spans="10:12" x14ac:dyDescent="0.25">
      <c r="J3969" t="str">
        <f>IF(H3969="","",IFERROR(VLOOKUP(H3969,Listas!$J$2:$K$1048576,2,FALSE),""))</f>
        <v/>
      </c>
      <c r="K3969" s="5" t="str">
        <f>IF(OR(I3969="",G3969=""),"",IF(G3969="Saída",-I3969,I3969))</f>
        <v/>
      </c>
      <c r="L3969" t="str">
        <f>IF(E3969="","",IFERROR(VLOOKUP(E3969,Listas!$A$2:$C$1048576,3,FALSE),""))</f>
        <v/>
      </c>
    </row>
    <row r="3970" spans="10:12" x14ac:dyDescent="0.25">
      <c r="J3970" t="str">
        <f>IF(H3970="","",IFERROR(VLOOKUP(H3970,Listas!$J$2:$K$1048576,2,FALSE),""))</f>
        <v/>
      </c>
      <c r="K3970" s="5" t="str">
        <f>IF(OR(I3970="",G3970=""),"",IF(G3970="Saída",-I3970,I3970))</f>
        <v/>
      </c>
      <c r="L3970" t="str">
        <f>IF(E3970="","",IFERROR(VLOOKUP(E3970,Listas!$A$2:$C$1048576,3,FALSE),""))</f>
        <v/>
      </c>
    </row>
    <row r="3971" spans="10:12" x14ac:dyDescent="0.25">
      <c r="J3971" t="str">
        <f>IF(H3971="","",IFERROR(VLOOKUP(H3971,Listas!$J$2:$K$1048576,2,FALSE),""))</f>
        <v/>
      </c>
      <c r="K3971" s="5" t="str">
        <f>IF(OR(I3971="",G3971=""),"",IF(G3971="Saída",-I3971,I3971))</f>
        <v/>
      </c>
      <c r="L3971" t="str">
        <f>IF(E3971="","",IFERROR(VLOOKUP(E3971,Listas!$A$2:$C$1048576,3,FALSE),""))</f>
        <v/>
      </c>
    </row>
    <row r="3972" spans="10:12" x14ac:dyDescent="0.25">
      <c r="J3972" t="str">
        <f>IF(H3972="","",IFERROR(VLOOKUP(H3972,Listas!$J$2:$K$1048576,2,FALSE),""))</f>
        <v/>
      </c>
      <c r="K3972" s="5" t="str">
        <f>IF(OR(I3972="",G3972=""),"",IF(G3972="Saída",-I3972,I3972))</f>
        <v/>
      </c>
      <c r="L3972" t="str">
        <f>IF(E3972="","",IFERROR(VLOOKUP(E3972,Listas!$A$2:$C$1048576,3,FALSE),""))</f>
        <v/>
      </c>
    </row>
    <row r="3973" spans="10:12" x14ac:dyDescent="0.25">
      <c r="J3973" t="str">
        <f>IF(H3973="","",IFERROR(VLOOKUP(H3973,Listas!$J$2:$K$1048576,2,FALSE),""))</f>
        <v/>
      </c>
      <c r="K3973" s="5" t="str">
        <f>IF(OR(I3973="",G3973=""),"",IF(G3973="Saída",-I3973,I3973))</f>
        <v/>
      </c>
      <c r="L3973" t="str">
        <f>IF(E3973="","",IFERROR(VLOOKUP(E3973,Listas!$A$2:$C$1048576,3,FALSE),""))</f>
        <v/>
      </c>
    </row>
    <row r="3974" spans="10:12" x14ac:dyDescent="0.25">
      <c r="J3974" t="str">
        <f>IF(H3974="","",IFERROR(VLOOKUP(H3974,Listas!$J$2:$K$1048576,2,FALSE),""))</f>
        <v/>
      </c>
      <c r="K3974" s="5" t="str">
        <f>IF(OR(I3974="",G3974=""),"",IF(G3974="Saída",-I3974,I3974))</f>
        <v/>
      </c>
      <c r="L3974" t="str">
        <f>IF(E3974="","",IFERROR(VLOOKUP(E3974,Listas!$A$2:$C$1048576,3,FALSE),""))</f>
        <v/>
      </c>
    </row>
    <row r="3975" spans="10:12" x14ac:dyDescent="0.25">
      <c r="J3975" t="str">
        <f>IF(H3975="","",IFERROR(VLOOKUP(H3975,Listas!$J$2:$K$1048576,2,FALSE),""))</f>
        <v/>
      </c>
      <c r="K3975" s="5" t="str">
        <f>IF(OR(I3975="",G3975=""),"",IF(G3975="Saída",-I3975,I3975))</f>
        <v/>
      </c>
      <c r="L3975" t="str">
        <f>IF(E3975="","",IFERROR(VLOOKUP(E3975,Listas!$A$2:$C$1048576,3,FALSE),""))</f>
        <v/>
      </c>
    </row>
    <row r="3976" spans="10:12" x14ac:dyDescent="0.25">
      <c r="J3976" t="str">
        <f>IF(H3976="","",IFERROR(VLOOKUP(H3976,Listas!$J$2:$K$1048576,2,FALSE),""))</f>
        <v/>
      </c>
      <c r="K3976" s="5" t="str">
        <f>IF(OR(I3976="",G3976=""),"",IF(G3976="Saída",-I3976,I3976))</f>
        <v/>
      </c>
      <c r="L3976" t="str">
        <f>IF(E3976="","",IFERROR(VLOOKUP(E3976,Listas!$A$2:$C$1048576,3,FALSE),""))</f>
        <v/>
      </c>
    </row>
    <row r="3977" spans="10:12" x14ac:dyDescent="0.25">
      <c r="J3977" t="str">
        <f>IF(H3977="","",IFERROR(VLOOKUP(H3977,Listas!$J$2:$K$1048576,2,FALSE),""))</f>
        <v/>
      </c>
      <c r="K3977" s="5" t="str">
        <f>IF(OR(I3977="",G3977=""),"",IF(G3977="Saída",-I3977,I3977))</f>
        <v/>
      </c>
      <c r="L3977" t="str">
        <f>IF(E3977="","",IFERROR(VLOOKUP(E3977,Listas!$A$2:$C$1048576,3,FALSE),""))</f>
        <v/>
      </c>
    </row>
    <row r="3978" spans="10:12" x14ac:dyDescent="0.25">
      <c r="J3978" t="str">
        <f>IF(H3978="","",IFERROR(VLOOKUP(H3978,Listas!$J$2:$K$1048576,2,FALSE),""))</f>
        <v/>
      </c>
      <c r="K3978" s="5" t="str">
        <f>IF(OR(I3978="",G3978=""),"",IF(G3978="Saída",-I3978,I3978))</f>
        <v/>
      </c>
      <c r="L3978" t="str">
        <f>IF(E3978="","",IFERROR(VLOOKUP(E3978,Listas!$A$2:$C$1048576,3,FALSE),""))</f>
        <v/>
      </c>
    </row>
    <row r="3979" spans="10:12" x14ac:dyDescent="0.25">
      <c r="J3979" t="str">
        <f>IF(H3979="","",IFERROR(VLOOKUP(H3979,Listas!$J$2:$K$1048576,2,FALSE),""))</f>
        <v/>
      </c>
      <c r="K3979" s="5" t="str">
        <f>IF(OR(I3979="",G3979=""),"",IF(G3979="Saída",-I3979,I3979))</f>
        <v/>
      </c>
      <c r="L3979" t="str">
        <f>IF(E3979="","",IFERROR(VLOOKUP(E3979,Listas!$A$2:$C$1048576,3,FALSE),""))</f>
        <v/>
      </c>
    </row>
    <row r="3980" spans="10:12" x14ac:dyDescent="0.25">
      <c r="J3980" t="str">
        <f>IF(H3980="","",IFERROR(VLOOKUP(H3980,Listas!$J$2:$K$1048576,2,FALSE),""))</f>
        <v/>
      </c>
      <c r="K3980" s="5" t="str">
        <f>IF(OR(I3980="",G3980=""),"",IF(G3980="Saída",-I3980,I3980))</f>
        <v/>
      </c>
      <c r="L3980" t="str">
        <f>IF(E3980="","",IFERROR(VLOOKUP(E3980,Listas!$A$2:$C$1048576,3,FALSE),""))</f>
        <v/>
      </c>
    </row>
    <row r="3981" spans="10:12" x14ac:dyDescent="0.25">
      <c r="J3981" t="str">
        <f>IF(H3981="","",IFERROR(VLOOKUP(H3981,Listas!$J$2:$K$1048576,2,FALSE),""))</f>
        <v/>
      </c>
      <c r="K3981" s="5" t="str">
        <f>IF(OR(I3981="",G3981=""),"",IF(G3981="Saída",-I3981,I3981))</f>
        <v/>
      </c>
      <c r="L3981" t="str">
        <f>IF(E3981="","",IFERROR(VLOOKUP(E3981,Listas!$A$2:$C$1048576,3,FALSE),""))</f>
        <v/>
      </c>
    </row>
    <row r="3982" spans="10:12" x14ac:dyDescent="0.25">
      <c r="J3982" t="str">
        <f>IF(H3982="","",IFERROR(VLOOKUP(H3982,Listas!$J$2:$K$1048576,2,FALSE),""))</f>
        <v/>
      </c>
      <c r="K3982" s="5" t="str">
        <f>IF(OR(I3982="",G3982=""),"",IF(G3982="Saída",-I3982,I3982))</f>
        <v/>
      </c>
      <c r="L3982" t="str">
        <f>IF(E3982="","",IFERROR(VLOOKUP(E3982,Listas!$A$2:$C$1048576,3,FALSE),""))</f>
        <v/>
      </c>
    </row>
    <row r="3983" spans="10:12" x14ac:dyDescent="0.25">
      <c r="J3983" t="str">
        <f>IF(H3983="","",IFERROR(VLOOKUP(H3983,Listas!$J$2:$K$1048576,2,FALSE),""))</f>
        <v/>
      </c>
      <c r="K3983" s="5" t="str">
        <f>IF(OR(I3983="",G3983=""),"",IF(G3983="Saída",-I3983,I3983))</f>
        <v/>
      </c>
      <c r="L3983" t="str">
        <f>IF(E3983="","",IFERROR(VLOOKUP(E3983,Listas!$A$2:$C$1048576,3,FALSE),""))</f>
        <v/>
      </c>
    </row>
    <row r="3984" spans="10:12" x14ac:dyDescent="0.25">
      <c r="J3984" t="str">
        <f>IF(H3984="","",IFERROR(VLOOKUP(H3984,Listas!$J$2:$K$1048576,2,FALSE),""))</f>
        <v/>
      </c>
      <c r="K3984" s="5" t="str">
        <f>IF(OR(I3984="",G3984=""),"",IF(G3984="Saída",-I3984,I3984))</f>
        <v/>
      </c>
      <c r="L3984" t="str">
        <f>IF(E3984="","",IFERROR(VLOOKUP(E3984,Listas!$A$2:$C$1048576,3,FALSE),""))</f>
        <v/>
      </c>
    </row>
    <row r="3985" spans="10:12" x14ac:dyDescent="0.25">
      <c r="J3985" t="str">
        <f>IF(H3985="","",IFERROR(VLOOKUP(H3985,Listas!$J$2:$K$1048576,2,FALSE),""))</f>
        <v/>
      </c>
      <c r="K3985" s="5" t="str">
        <f>IF(OR(I3985="",G3985=""),"",IF(G3985="Saída",-I3985,I3985))</f>
        <v/>
      </c>
      <c r="L3985" t="str">
        <f>IF(E3985="","",IFERROR(VLOOKUP(E3985,Listas!$A$2:$C$1048576,3,FALSE),""))</f>
        <v/>
      </c>
    </row>
    <row r="3986" spans="10:12" x14ac:dyDescent="0.25">
      <c r="J3986" t="str">
        <f>IF(H3986="","",IFERROR(VLOOKUP(H3986,Listas!$J$2:$K$1048576,2,FALSE),""))</f>
        <v/>
      </c>
      <c r="K3986" s="5" t="str">
        <f>IF(OR(I3986="",G3986=""),"",IF(G3986="Saída",-I3986,I3986))</f>
        <v/>
      </c>
      <c r="L3986" t="str">
        <f>IF(E3986="","",IFERROR(VLOOKUP(E3986,Listas!$A$2:$C$1048576,3,FALSE),""))</f>
        <v/>
      </c>
    </row>
    <row r="3987" spans="10:12" x14ac:dyDescent="0.25">
      <c r="J3987" t="str">
        <f>IF(H3987="","",IFERROR(VLOOKUP(H3987,Listas!$J$2:$K$1048576,2,FALSE),""))</f>
        <v/>
      </c>
      <c r="K3987" s="5" t="str">
        <f>IF(OR(I3987="",G3987=""),"",IF(G3987="Saída",-I3987,I3987))</f>
        <v/>
      </c>
      <c r="L3987" t="str">
        <f>IF(E3987="","",IFERROR(VLOOKUP(E3987,Listas!$A$2:$C$1048576,3,FALSE),""))</f>
        <v/>
      </c>
    </row>
    <row r="3988" spans="10:12" x14ac:dyDescent="0.25">
      <c r="J3988" t="str">
        <f>IF(H3988="","",IFERROR(VLOOKUP(H3988,Listas!$J$2:$K$1048576,2,FALSE),""))</f>
        <v/>
      </c>
      <c r="K3988" s="5" t="str">
        <f>IF(OR(I3988="",G3988=""),"",IF(G3988="Saída",-I3988,I3988))</f>
        <v/>
      </c>
      <c r="L3988" t="str">
        <f>IF(E3988="","",IFERROR(VLOOKUP(E3988,Listas!$A$2:$C$1048576,3,FALSE),""))</f>
        <v/>
      </c>
    </row>
    <row r="3989" spans="10:12" x14ac:dyDescent="0.25">
      <c r="J3989" t="str">
        <f>IF(H3989="","",IFERROR(VLOOKUP(H3989,Listas!$J$2:$K$1048576,2,FALSE),""))</f>
        <v/>
      </c>
      <c r="K3989" s="5" t="str">
        <f>IF(OR(I3989="",G3989=""),"",IF(G3989="Saída",-I3989,I3989))</f>
        <v/>
      </c>
      <c r="L3989" t="str">
        <f>IF(E3989="","",IFERROR(VLOOKUP(E3989,Listas!$A$2:$C$1048576,3,FALSE),""))</f>
        <v/>
      </c>
    </row>
    <row r="3990" spans="10:12" x14ac:dyDescent="0.25">
      <c r="J3990" t="str">
        <f>IF(H3990="","",IFERROR(VLOOKUP(H3990,Listas!$J$2:$K$1048576,2,FALSE),""))</f>
        <v/>
      </c>
      <c r="K3990" s="5" t="str">
        <f>IF(OR(I3990="",G3990=""),"",IF(G3990="Saída",-I3990,I3990))</f>
        <v/>
      </c>
      <c r="L3990" t="str">
        <f>IF(E3990="","",IFERROR(VLOOKUP(E3990,Listas!$A$2:$C$1048576,3,FALSE),""))</f>
        <v/>
      </c>
    </row>
    <row r="3991" spans="10:12" x14ac:dyDescent="0.25">
      <c r="J3991" t="str">
        <f>IF(H3991="","",IFERROR(VLOOKUP(H3991,Listas!$J$2:$K$1048576,2,FALSE),""))</f>
        <v/>
      </c>
      <c r="K3991" s="5" t="str">
        <f>IF(OR(I3991="",G3991=""),"",IF(G3991="Saída",-I3991,I3991))</f>
        <v/>
      </c>
      <c r="L3991" t="str">
        <f>IF(E3991="","",IFERROR(VLOOKUP(E3991,Listas!$A$2:$C$1048576,3,FALSE),""))</f>
        <v/>
      </c>
    </row>
    <row r="3992" spans="10:12" x14ac:dyDescent="0.25">
      <c r="J3992" t="str">
        <f>IF(H3992="","",IFERROR(VLOOKUP(H3992,Listas!$J$2:$K$1048576,2,FALSE),""))</f>
        <v/>
      </c>
      <c r="K3992" s="5" t="str">
        <f>IF(OR(I3992="",G3992=""),"",IF(G3992="Saída",-I3992,I3992))</f>
        <v/>
      </c>
      <c r="L3992" t="str">
        <f>IF(E3992="","",IFERROR(VLOOKUP(E3992,Listas!$A$2:$C$1048576,3,FALSE),""))</f>
        <v/>
      </c>
    </row>
    <row r="3993" spans="10:12" x14ac:dyDescent="0.25">
      <c r="J3993" t="str">
        <f>IF(H3993="","",IFERROR(VLOOKUP(H3993,Listas!$J$2:$K$1048576,2,FALSE),""))</f>
        <v/>
      </c>
      <c r="K3993" s="5" t="str">
        <f>IF(OR(I3993="",G3993=""),"",IF(G3993="Saída",-I3993,I3993))</f>
        <v/>
      </c>
      <c r="L3993" t="str">
        <f>IF(E3993="","",IFERROR(VLOOKUP(E3993,Listas!$A$2:$C$1048576,3,FALSE),""))</f>
        <v/>
      </c>
    </row>
    <row r="3994" spans="10:12" x14ac:dyDescent="0.25">
      <c r="J3994" t="str">
        <f>IF(H3994="","",IFERROR(VLOOKUP(H3994,Listas!$J$2:$K$1048576,2,FALSE),""))</f>
        <v/>
      </c>
      <c r="K3994" s="5" t="str">
        <f>IF(OR(I3994="",G3994=""),"",IF(G3994="Saída",-I3994,I3994))</f>
        <v/>
      </c>
      <c r="L3994" t="str">
        <f>IF(E3994="","",IFERROR(VLOOKUP(E3994,Listas!$A$2:$C$1048576,3,FALSE),""))</f>
        <v/>
      </c>
    </row>
    <row r="3995" spans="10:12" x14ac:dyDescent="0.25">
      <c r="J3995" t="str">
        <f>IF(H3995="","",IFERROR(VLOOKUP(H3995,Listas!$J$2:$K$1048576,2,FALSE),""))</f>
        <v/>
      </c>
      <c r="K3995" s="5" t="str">
        <f>IF(OR(I3995="",G3995=""),"",IF(G3995="Saída",-I3995,I3995))</f>
        <v/>
      </c>
      <c r="L3995" t="str">
        <f>IF(E3995="","",IFERROR(VLOOKUP(E3995,Listas!$A$2:$C$1048576,3,FALSE),""))</f>
        <v/>
      </c>
    </row>
    <row r="3996" spans="10:12" x14ac:dyDescent="0.25">
      <c r="J3996" t="str">
        <f>IF(H3996="","",IFERROR(VLOOKUP(H3996,Listas!$J$2:$K$1048576,2,FALSE),""))</f>
        <v/>
      </c>
      <c r="K3996" s="5" t="str">
        <f>IF(OR(I3996="",G3996=""),"",IF(G3996="Saída",-I3996,I3996))</f>
        <v/>
      </c>
      <c r="L3996" t="str">
        <f>IF(E3996="","",IFERROR(VLOOKUP(E3996,Listas!$A$2:$C$1048576,3,FALSE),""))</f>
        <v/>
      </c>
    </row>
    <row r="3997" spans="10:12" x14ac:dyDescent="0.25">
      <c r="J3997" t="str">
        <f>IF(H3997="","",IFERROR(VLOOKUP(H3997,Listas!$J$2:$K$1048576,2,FALSE),""))</f>
        <v/>
      </c>
      <c r="K3997" s="5" t="str">
        <f>IF(OR(I3997="",G3997=""),"",IF(G3997="Saída",-I3997,I3997))</f>
        <v/>
      </c>
      <c r="L3997" t="str">
        <f>IF(E3997="","",IFERROR(VLOOKUP(E3997,Listas!$A$2:$C$1048576,3,FALSE),""))</f>
        <v/>
      </c>
    </row>
    <row r="3998" spans="10:12" x14ac:dyDescent="0.25">
      <c r="J3998" t="str">
        <f>IF(H3998="","",IFERROR(VLOOKUP(H3998,Listas!$J$2:$K$1048576,2,FALSE),""))</f>
        <v/>
      </c>
      <c r="K3998" s="5" t="str">
        <f>IF(OR(I3998="",G3998=""),"",IF(G3998="Saída",-I3998,I3998))</f>
        <v/>
      </c>
      <c r="L3998" t="str">
        <f>IF(E3998="","",IFERROR(VLOOKUP(E3998,Listas!$A$2:$C$1048576,3,FALSE),""))</f>
        <v/>
      </c>
    </row>
    <row r="3999" spans="10:12" x14ac:dyDescent="0.25">
      <c r="J3999" t="str">
        <f>IF(H3999="","",IFERROR(VLOOKUP(H3999,Listas!$J$2:$K$1048576,2,FALSE),""))</f>
        <v/>
      </c>
      <c r="K3999" s="5" t="str">
        <f>IF(OR(I3999="",G3999=""),"",IF(G3999="Saída",-I3999,I3999))</f>
        <v/>
      </c>
      <c r="L3999" t="str">
        <f>IF(E3999="","",IFERROR(VLOOKUP(E3999,Listas!$A$2:$C$1048576,3,FALSE),""))</f>
        <v/>
      </c>
    </row>
    <row r="4000" spans="10:12" x14ac:dyDescent="0.25">
      <c r="J4000" t="str">
        <f>IF(H4000="","",IFERROR(VLOOKUP(H4000,Listas!$J$2:$K$1048576,2,FALSE),""))</f>
        <v/>
      </c>
      <c r="K4000" s="5" t="str">
        <f>IF(OR(I4000="",G4000=""),"",IF(G4000="Saída",-I4000,I4000))</f>
        <v/>
      </c>
      <c r="L4000" t="str">
        <f>IF(E4000="","",IFERROR(VLOOKUP(E4000,Listas!$A$2:$C$1048576,3,FALSE),""))</f>
        <v/>
      </c>
    </row>
    <row r="4001" spans="10:12" x14ac:dyDescent="0.25">
      <c r="J4001" t="str">
        <f>IF(H4001="","",IFERROR(VLOOKUP(H4001,Listas!$J$2:$K$1048576,2,FALSE),""))</f>
        <v/>
      </c>
      <c r="K4001" s="5" t="str">
        <f>IF(OR(I4001="",G4001=""),"",IF(G4001="Saída",-I4001,I4001))</f>
        <v/>
      </c>
      <c r="L4001" t="str">
        <f>IF(E4001="","",IFERROR(VLOOKUP(E4001,Listas!$A$2:$C$1048576,3,FALSE),""))</f>
        <v/>
      </c>
    </row>
    <row r="4002" spans="10:12" x14ac:dyDescent="0.25">
      <c r="J4002" t="str">
        <f>IF(H4002="","",IFERROR(VLOOKUP(H4002,Listas!$J$2:$K$1048576,2,FALSE),""))</f>
        <v/>
      </c>
      <c r="K4002" s="5" t="str">
        <f>IF(OR(I4002="",G4002=""),"",IF(G4002="Saída",-I4002,I4002))</f>
        <v/>
      </c>
      <c r="L4002" t="str">
        <f>IF(E4002="","",IFERROR(VLOOKUP(E4002,Listas!$A$2:$C$1048576,3,FALSE),""))</f>
        <v/>
      </c>
    </row>
    <row r="4003" spans="10:12" x14ac:dyDescent="0.25">
      <c r="J4003" t="str">
        <f>IF(H4003="","",IFERROR(VLOOKUP(H4003,Listas!$J$2:$K$1048576,2,FALSE),""))</f>
        <v/>
      </c>
      <c r="K4003" s="5" t="str">
        <f>IF(OR(I4003="",G4003=""),"",IF(G4003="Saída",-I4003,I4003))</f>
        <v/>
      </c>
      <c r="L4003" t="str">
        <f>IF(E4003="","",IFERROR(VLOOKUP(E4003,Listas!$A$2:$C$1048576,3,FALSE),""))</f>
        <v/>
      </c>
    </row>
    <row r="4004" spans="10:12" x14ac:dyDescent="0.25">
      <c r="J4004" t="str">
        <f>IF(H4004="","",IFERROR(VLOOKUP(H4004,Listas!$J$2:$K$1048576,2,FALSE),""))</f>
        <v/>
      </c>
      <c r="K4004" s="5" t="str">
        <f>IF(OR(I4004="",G4004=""),"",IF(G4004="Saída",-I4004,I4004))</f>
        <v/>
      </c>
      <c r="L4004" t="str">
        <f>IF(E4004="","",IFERROR(VLOOKUP(E4004,Listas!$A$2:$C$1048576,3,FALSE),""))</f>
        <v/>
      </c>
    </row>
    <row r="4005" spans="10:12" x14ac:dyDescent="0.25">
      <c r="J4005" t="str">
        <f>IF(H4005="","",IFERROR(VLOOKUP(H4005,Listas!$J$2:$K$1048576,2,FALSE),""))</f>
        <v/>
      </c>
      <c r="K4005" s="5" t="str">
        <f>IF(OR(I4005="",G4005=""),"",IF(G4005="Saída",-I4005,I4005))</f>
        <v/>
      </c>
      <c r="L4005" t="str">
        <f>IF(E4005="","",IFERROR(VLOOKUP(E4005,Listas!$A$2:$C$1048576,3,FALSE),""))</f>
        <v/>
      </c>
    </row>
    <row r="4006" spans="10:12" x14ac:dyDescent="0.25">
      <c r="J4006" t="str">
        <f>IF(H4006="","",IFERROR(VLOOKUP(H4006,Listas!$J$2:$K$1048576,2,FALSE),""))</f>
        <v/>
      </c>
      <c r="K4006" s="5" t="str">
        <f>IF(OR(I4006="",G4006=""),"",IF(G4006="Saída",-I4006,I4006))</f>
        <v/>
      </c>
      <c r="L4006" t="str">
        <f>IF(E4006="","",IFERROR(VLOOKUP(E4006,Listas!$A$2:$C$1048576,3,FALSE),""))</f>
        <v/>
      </c>
    </row>
    <row r="4007" spans="10:12" x14ac:dyDescent="0.25">
      <c r="J4007" t="str">
        <f>IF(H4007="","",IFERROR(VLOOKUP(H4007,Listas!$J$2:$K$1048576,2,FALSE),""))</f>
        <v/>
      </c>
      <c r="K4007" s="5" t="str">
        <f>IF(OR(I4007="",G4007=""),"",IF(G4007="Saída",-I4007,I4007))</f>
        <v/>
      </c>
      <c r="L4007" t="str">
        <f>IF(E4007="","",IFERROR(VLOOKUP(E4007,Listas!$A$2:$C$1048576,3,FALSE),""))</f>
        <v/>
      </c>
    </row>
    <row r="4008" spans="10:12" x14ac:dyDescent="0.25">
      <c r="J4008" t="str">
        <f>IF(H4008="","",IFERROR(VLOOKUP(H4008,Listas!$J$2:$K$1048576,2,FALSE),""))</f>
        <v/>
      </c>
      <c r="K4008" s="5" t="str">
        <f>IF(OR(I4008="",G4008=""),"",IF(G4008="Saída",-I4008,I4008))</f>
        <v/>
      </c>
      <c r="L4008" t="str">
        <f>IF(E4008="","",IFERROR(VLOOKUP(E4008,Listas!$A$2:$C$1048576,3,FALSE),""))</f>
        <v/>
      </c>
    </row>
    <row r="4009" spans="10:12" x14ac:dyDescent="0.25">
      <c r="J4009" t="str">
        <f>IF(H4009="","",IFERROR(VLOOKUP(H4009,Listas!$J$2:$K$1048576,2,FALSE),""))</f>
        <v/>
      </c>
      <c r="K4009" s="5" t="str">
        <f>IF(OR(I4009="",G4009=""),"",IF(G4009="Saída",-I4009,I4009))</f>
        <v/>
      </c>
      <c r="L4009" t="str">
        <f>IF(E4009="","",IFERROR(VLOOKUP(E4009,Listas!$A$2:$C$1048576,3,FALSE),""))</f>
        <v/>
      </c>
    </row>
    <row r="4010" spans="10:12" x14ac:dyDescent="0.25">
      <c r="J4010" t="str">
        <f>IF(H4010="","",IFERROR(VLOOKUP(H4010,Listas!$J$2:$K$1048576,2,FALSE),""))</f>
        <v/>
      </c>
      <c r="K4010" s="5" t="str">
        <f>IF(OR(I4010="",G4010=""),"",IF(G4010="Saída",-I4010,I4010))</f>
        <v/>
      </c>
      <c r="L4010" t="str">
        <f>IF(E4010="","",IFERROR(VLOOKUP(E4010,Listas!$A$2:$C$1048576,3,FALSE),""))</f>
        <v/>
      </c>
    </row>
    <row r="4011" spans="10:12" x14ac:dyDescent="0.25">
      <c r="J4011" t="str">
        <f>IF(H4011="","",IFERROR(VLOOKUP(H4011,Listas!$J$2:$K$1048576,2,FALSE),""))</f>
        <v/>
      </c>
      <c r="K4011" s="5" t="str">
        <f>IF(OR(I4011="",G4011=""),"",IF(G4011="Saída",-I4011,I4011))</f>
        <v/>
      </c>
      <c r="L4011" t="str">
        <f>IF(E4011="","",IFERROR(VLOOKUP(E4011,Listas!$A$2:$C$1048576,3,FALSE),""))</f>
        <v/>
      </c>
    </row>
    <row r="4012" spans="10:12" x14ac:dyDescent="0.25">
      <c r="J4012" t="str">
        <f>IF(H4012="","",IFERROR(VLOOKUP(H4012,Listas!$J$2:$K$1048576,2,FALSE),""))</f>
        <v/>
      </c>
      <c r="K4012" s="5" t="str">
        <f>IF(OR(I4012="",G4012=""),"",IF(G4012="Saída",-I4012,I4012))</f>
        <v/>
      </c>
      <c r="L4012" t="str">
        <f>IF(E4012="","",IFERROR(VLOOKUP(E4012,Listas!$A$2:$C$1048576,3,FALSE),""))</f>
        <v/>
      </c>
    </row>
    <row r="4013" spans="10:12" x14ac:dyDescent="0.25">
      <c r="J4013" t="str">
        <f>IF(H4013="","",IFERROR(VLOOKUP(H4013,Listas!$J$2:$K$1048576,2,FALSE),""))</f>
        <v/>
      </c>
      <c r="K4013" s="5" t="str">
        <f>IF(OR(I4013="",G4013=""),"",IF(G4013="Saída",-I4013,I4013))</f>
        <v/>
      </c>
      <c r="L4013" t="str">
        <f>IF(E4013="","",IFERROR(VLOOKUP(E4013,Listas!$A$2:$C$1048576,3,FALSE),""))</f>
        <v/>
      </c>
    </row>
    <row r="4014" spans="10:12" x14ac:dyDescent="0.25">
      <c r="J4014" t="str">
        <f>IF(H4014="","",IFERROR(VLOOKUP(H4014,Listas!$J$2:$K$1048576,2,FALSE),""))</f>
        <v/>
      </c>
      <c r="K4014" s="5" t="str">
        <f>IF(OR(I4014="",G4014=""),"",IF(G4014="Saída",-I4014,I4014))</f>
        <v/>
      </c>
      <c r="L4014" t="str">
        <f>IF(E4014="","",IFERROR(VLOOKUP(E4014,Listas!$A$2:$C$1048576,3,FALSE),""))</f>
        <v/>
      </c>
    </row>
    <row r="4015" spans="10:12" x14ac:dyDescent="0.25">
      <c r="J4015" t="str">
        <f>IF(H4015="","",IFERROR(VLOOKUP(H4015,Listas!$J$2:$K$1048576,2,FALSE),""))</f>
        <v/>
      </c>
      <c r="K4015" s="5" t="str">
        <f>IF(OR(I4015="",G4015=""),"",IF(G4015="Saída",-I4015,I4015))</f>
        <v/>
      </c>
      <c r="L4015" t="str">
        <f>IF(E4015="","",IFERROR(VLOOKUP(E4015,Listas!$A$2:$C$1048576,3,FALSE),""))</f>
        <v/>
      </c>
    </row>
    <row r="4016" spans="10:12" x14ac:dyDescent="0.25">
      <c r="J4016" t="str">
        <f>IF(H4016="","",IFERROR(VLOOKUP(H4016,Listas!$J$2:$K$1048576,2,FALSE),""))</f>
        <v/>
      </c>
      <c r="K4016" s="5" t="str">
        <f>IF(OR(I4016="",G4016=""),"",IF(G4016="Saída",-I4016,I4016))</f>
        <v/>
      </c>
      <c r="L4016" t="str">
        <f>IF(E4016="","",IFERROR(VLOOKUP(E4016,Listas!$A$2:$C$1048576,3,FALSE),""))</f>
        <v/>
      </c>
    </row>
    <row r="4017" spans="10:12" x14ac:dyDescent="0.25">
      <c r="J4017" t="str">
        <f>IF(H4017="","",IFERROR(VLOOKUP(H4017,Listas!$J$2:$K$1048576,2,FALSE),""))</f>
        <v/>
      </c>
      <c r="K4017" s="5" t="str">
        <f>IF(OR(I4017="",G4017=""),"",IF(G4017="Saída",-I4017,I4017))</f>
        <v/>
      </c>
      <c r="L4017" t="str">
        <f>IF(E4017="","",IFERROR(VLOOKUP(E4017,Listas!$A$2:$C$1048576,3,FALSE),""))</f>
        <v/>
      </c>
    </row>
    <row r="4018" spans="10:12" x14ac:dyDescent="0.25">
      <c r="J4018" t="str">
        <f>IF(H4018="","",IFERROR(VLOOKUP(H4018,Listas!$J$2:$K$1048576,2,FALSE),""))</f>
        <v/>
      </c>
      <c r="K4018" s="5" t="str">
        <f>IF(OR(I4018="",G4018=""),"",IF(G4018="Saída",-I4018,I4018))</f>
        <v/>
      </c>
      <c r="L4018" t="str">
        <f>IF(E4018="","",IFERROR(VLOOKUP(E4018,Listas!$A$2:$C$1048576,3,FALSE),""))</f>
        <v/>
      </c>
    </row>
    <row r="4019" spans="10:12" x14ac:dyDescent="0.25">
      <c r="J4019" t="str">
        <f>IF(H4019="","",IFERROR(VLOOKUP(H4019,Listas!$J$2:$K$1048576,2,FALSE),""))</f>
        <v/>
      </c>
      <c r="K4019" s="5" t="str">
        <f>IF(OR(I4019="",G4019=""),"",IF(G4019="Saída",-I4019,I4019))</f>
        <v/>
      </c>
      <c r="L4019" t="str">
        <f>IF(E4019="","",IFERROR(VLOOKUP(E4019,Listas!$A$2:$C$1048576,3,FALSE),""))</f>
        <v/>
      </c>
    </row>
    <row r="4020" spans="10:12" x14ac:dyDescent="0.25">
      <c r="J4020" t="str">
        <f>IF(H4020="","",IFERROR(VLOOKUP(H4020,Listas!$J$2:$K$1048576,2,FALSE),""))</f>
        <v/>
      </c>
      <c r="K4020" s="5" t="str">
        <f>IF(OR(I4020="",G4020=""),"",IF(G4020="Saída",-I4020,I4020))</f>
        <v/>
      </c>
      <c r="L4020" t="str">
        <f>IF(E4020="","",IFERROR(VLOOKUP(E4020,Listas!$A$2:$C$1048576,3,FALSE),""))</f>
        <v/>
      </c>
    </row>
    <row r="4021" spans="10:12" x14ac:dyDescent="0.25">
      <c r="J4021" t="str">
        <f>IF(H4021="","",IFERROR(VLOOKUP(H4021,Listas!$J$2:$K$1048576,2,FALSE),""))</f>
        <v/>
      </c>
      <c r="K4021" s="5" t="str">
        <f>IF(OR(I4021="",G4021=""),"",IF(G4021="Saída",-I4021,I4021))</f>
        <v/>
      </c>
      <c r="L4021" t="str">
        <f>IF(E4021="","",IFERROR(VLOOKUP(E4021,Listas!$A$2:$C$1048576,3,FALSE),""))</f>
        <v/>
      </c>
    </row>
    <row r="4022" spans="10:12" x14ac:dyDescent="0.25">
      <c r="J4022" t="str">
        <f>IF(H4022="","",IFERROR(VLOOKUP(H4022,Listas!$J$2:$K$1048576,2,FALSE),""))</f>
        <v/>
      </c>
      <c r="K4022" s="5" t="str">
        <f>IF(OR(I4022="",G4022=""),"",IF(G4022="Saída",-I4022,I4022))</f>
        <v/>
      </c>
      <c r="L4022" t="str">
        <f>IF(E4022="","",IFERROR(VLOOKUP(E4022,Listas!$A$2:$C$1048576,3,FALSE),""))</f>
        <v/>
      </c>
    </row>
    <row r="4023" spans="10:12" x14ac:dyDescent="0.25">
      <c r="J4023" t="str">
        <f>IF(H4023="","",IFERROR(VLOOKUP(H4023,Listas!$J$2:$K$1048576,2,FALSE),""))</f>
        <v/>
      </c>
      <c r="K4023" s="5" t="str">
        <f>IF(OR(I4023="",G4023=""),"",IF(G4023="Saída",-I4023,I4023))</f>
        <v/>
      </c>
      <c r="L4023" t="str">
        <f>IF(E4023="","",IFERROR(VLOOKUP(E4023,Listas!$A$2:$C$1048576,3,FALSE),""))</f>
        <v/>
      </c>
    </row>
    <row r="4024" spans="10:12" x14ac:dyDescent="0.25">
      <c r="J4024" t="str">
        <f>IF(H4024="","",IFERROR(VLOOKUP(H4024,Listas!$J$2:$K$1048576,2,FALSE),""))</f>
        <v/>
      </c>
      <c r="K4024" s="5" t="str">
        <f>IF(OR(I4024="",G4024=""),"",IF(G4024="Saída",-I4024,I4024))</f>
        <v/>
      </c>
      <c r="L4024" t="str">
        <f>IF(E4024="","",IFERROR(VLOOKUP(E4024,Listas!$A$2:$C$1048576,3,FALSE),""))</f>
        <v/>
      </c>
    </row>
    <row r="4025" spans="10:12" x14ac:dyDescent="0.25">
      <c r="J4025" t="str">
        <f>IF(H4025="","",IFERROR(VLOOKUP(H4025,Listas!$J$2:$K$1048576,2,FALSE),""))</f>
        <v/>
      </c>
      <c r="K4025" s="5" t="str">
        <f>IF(OR(I4025="",G4025=""),"",IF(G4025="Saída",-I4025,I4025))</f>
        <v/>
      </c>
      <c r="L4025" t="str">
        <f>IF(E4025="","",IFERROR(VLOOKUP(E4025,Listas!$A$2:$C$1048576,3,FALSE),""))</f>
        <v/>
      </c>
    </row>
    <row r="4026" spans="10:12" x14ac:dyDescent="0.25">
      <c r="J4026" t="str">
        <f>IF(H4026="","",IFERROR(VLOOKUP(H4026,Listas!$J$2:$K$1048576,2,FALSE),""))</f>
        <v/>
      </c>
      <c r="K4026" s="5" t="str">
        <f>IF(OR(I4026="",G4026=""),"",IF(G4026="Saída",-I4026,I4026))</f>
        <v/>
      </c>
      <c r="L4026" t="str">
        <f>IF(E4026="","",IFERROR(VLOOKUP(E4026,Listas!$A$2:$C$1048576,3,FALSE),""))</f>
        <v/>
      </c>
    </row>
    <row r="4027" spans="10:12" x14ac:dyDescent="0.25">
      <c r="J4027" t="str">
        <f>IF(H4027="","",IFERROR(VLOOKUP(H4027,Listas!$J$2:$K$1048576,2,FALSE),""))</f>
        <v/>
      </c>
      <c r="K4027" s="5" t="str">
        <f>IF(OR(I4027="",G4027=""),"",IF(G4027="Saída",-I4027,I4027))</f>
        <v/>
      </c>
      <c r="L4027" t="str">
        <f>IF(E4027="","",IFERROR(VLOOKUP(E4027,Listas!$A$2:$C$1048576,3,FALSE),""))</f>
        <v/>
      </c>
    </row>
    <row r="4028" spans="10:12" x14ac:dyDescent="0.25">
      <c r="J4028" t="str">
        <f>IF(H4028="","",IFERROR(VLOOKUP(H4028,Listas!$J$2:$K$1048576,2,FALSE),""))</f>
        <v/>
      </c>
      <c r="K4028" s="5" t="str">
        <f>IF(OR(I4028="",G4028=""),"",IF(G4028="Saída",-I4028,I4028))</f>
        <v/>
      </c>
      <c r="L4028" t="str">
        <f>IF(E4028="","",IFERROR(VLOOKUP(E4028,Listas!$A$2:$C$1048576,3,FALSE),""))</f>
        <v/>
      </c>
    </row>
    <row r="4029" spans="10:12" x14ac:dyDescent="0.25">
      <c r="J4029" t="str">
        <f>IF(H4029="","",IFERROR(VLOOKUP(H4029,Listas!$J$2:$K$1048576,2,FALSE),""))</f>
        <v/>
      </c>
      <c r="K4029" s="5" t="str">
        <f>IF(OR(I4029="",G4029=""),"",IF(G4029="Saída",-I4029,I4029))</f>
        <v/>
      </c>
      <c r="L4029" t="str">
        <f>IF(E4029="","",IFERROR(VLOOKUP(E4029,Listas!$A$2:$C$1048576,3,FALSE),""))</f>
        <v/>
      </c>
    </row>
    <row r="4030" spans="10:12" x14ac:dyDescent="0.25">
      <c r="J4030" t="str">
        <f>IF(H4030="","",IFERROR(VLOOKUP(H4030,Listas!$J$2:$K$1048576,2,FALSE),""))</f>
        <v/>
      </c>
      <c r="K4030" s="5" t="str">
        <f>IF(OR(I4030="",G4030=""),"",IF(G4030="Saída",-I4030,I4030))</f>
        <v/>
      </c>
      <c r="L4030" t="str">
        <f>IF(E4030="","",IFERROR(VLOOKUP(E4030,Listas!$A$2:$C$1048576,3,FALSE),""))</f>
        <v/>
      </c>
    </row>
    <row r="4031" spans="10:12" x14ac:dyDescent="0.25">
      <c r="J4031" t="str">
        <f>IF(H4031="","",IFERROR(VLOOKUP(H4031,Listas!$J$2:$K$1048576,2,FALSE),""))</f>
        <v/>
      </c>
      <c r="K4031" s="5" t="str">
        <f>IF(OR(I4031="",G4031=""),"",IF(G4031="Saída",-I4031,I4031))</f>
        <v/>
      </c>
      <c r="L4031" t="str">
        <f>IF(E4031="","",IFERROR(VLOOKUP(E4031,Listas!$A$2:$C$1048576,3,FALSE),""))</f>
        <v/>
      </c>
    </row>
    <row r="4032" spans="10:12" x14ac:dyDescent="0.25">
      <c r="J4032" t="str">
        <f>IF(H4032="","",IFERROR(VLOOKUP(H4032,Listas!$J$2:$K$1048576,2,FALSE),""))</f>
        <v/>
      </c>
      <c r="K4032" s="5" t="str">
        <f>IF(OR(I4032="",G4032=""),"",IF(G4032="Saída",-I4032,I4032))</f>
        <v/>
      </c>
      <c r="L4032" t="str">
        <f>IF(E4032="","",IFERROR(VLOOKUP(E4032,Listas!$A$2:$C$1048576,3,FALSE),""))</f>
        <v/>
      </c>
    </row>
    <row r="4033" spans="10:12" x14ac:dyDescent="0.25">
      <c r="J4033" t="str">
        <f>IF(H4033="","",IFERROR(VLOOKUP(H4033,Listas!$J$2:$K$1048576,2,FALSE),""))</f>
        <v/>
      </c>
      <c r="K4033" s="5" t="str">
        <f>IF(OR(I4033="",G4033=""),"",IF(G4033="Saída",-I4033,I4033))</f>
        <v/>
      </c>
      <c r="L4033" t="str">
        <f>IF(E4033="","",IFERROR(VLOOKUP(E4033,Listas!$A$2:$C$1048576,3,FALSE),""))</f>
        <v/>
      </c>
    </row>
    <row r="4034" spans="10:12" x14ac:dyDescent="0.25">
      <c r="J4034" t="str">
        <f>IF(H4034="","",IFERROR(VLOOKUP(H4034,Listas!$J$2:$K$1048576,2,FALSE),""))</f>
        <v/>
      </c>
      <c r="K4034" s="5" t="str">
        <f>IF(OR(I4034="",G4034=""),"",IF(G4034="Saída",-I4034,I4034))</f>
        <v/>
      </c>
      <c r="L4034" t="str">
        <f>IF(E4034="","",IFERROR(VLOOKUP(E4034,Listas!$A$2:$C$1048576,3,FALSE),""))</f>
        <v/>
      </c>
    </row>
    <row r="4035" spans="10:12" x14ac:dyDescent="0.25">
      <c r="J4035" t="str">
        <f>IF(H4035="","",IFERROR(VLOOKUP(H4035,Listas!$J$2:$K$1048576,2,FALSE),""))</f>
        <v/>
      </c>
      <c r="K4035" s="5" t="str">
        <f>IF(OR(I4035="",G4035=""),"",IF(G4035="Saída",-I4035,I4035))</f>
        <v/>
      </c>
      <c r="L4035" t="str">
        <f>IF(E4035="","",IFERROR(VLOOKUP(E4035,Listas!$A$2:$C$1048576,3,FALSE),""))</f>
        <v/>
      </c>
    </row>
    <row r="4036" spans="10:12" x14ac:dyDescent="0.25">
      <c r="J4036" t="str">
        <f>IF(H4036="","",IFERROR(VLOOKUP(H4036,Listas!$J$2:$K$1048576,2,FALSE),""))</f>
        <v/>
      </c>
      <c r="K4036" s="5" t="str">
        <f>IF(OR(I4036="",G4036=""),"",IF(G4036="Saída",-I4036,I4036))</f>
        <v/>
      </c>
      <c r="L4036" t="str">
        <f>IF(E4036="","",IFERROR(VLOOKUP(E4036,Listas!$A$2:$C$1048576,3,FALSE),""))</f>
        <v/>
      </c>
    </row>
    <row r="4037" spans="10:12" x14ac:dyDescent="0.25">
      <c r="J4037" t="str">
        <f>IF(H4037="","",IFERROR(VLOOKUP(H4037,Listas!$J$2:$K$1048576,2,FALSE),""))</f>
        <v/>
      </c>
      <c r="K4037" s="5" t="str">
        <f>IF(OR(I4037="",G4037=""),"",IF(G4037="Saída",-I4037,I4037))</f>
        <v/>
      </c>
      <c r="L4037" t="str">
        <f>IF(E4037="","",IFERROR(VLOOKUP(E4037,Listas!$A$2:$C$1048576,3,FALSE),""))</f>
        <v/>
      </c>
    </row>
    <row r="4038" spans="10:12" x14ac:dyDescent="0.25">
      <c r="J4038" t="str">
        <f>IF(H4038="","",IFERROR(VLOOKUP(H4038,Listas!$J$2:$K$1048576,2,FALSE),""))</f>
        <v/>
      </c>
      <c r="K4038" s="5" t="str">
        <f>IF(OR(I4038="",G4038=""),"",IF(G4038="Saída",-I4038,I4038))</f>
        <v/>
      </c>
      <c r="L4038" t="str">
        <f>IF(E4038="","",IFERROR(VLOOKUP(E4038,Listas!$A$2:$C$1048576,3,FALSE),""))</f>
        <v/>
      </c>
    </row>
    <row r="4039" spans="10:12" x14ac:dyDescent="0.25">
      <c r="J4039" t="str">
        <f>IF(H4039="","",IFERROR(VLOOKUP(H4039,Listas!$J$2:$K$1048576,2,FALSE),""))</f>
        <v/>
      </c>
      <c r="K4039" s="5" t="str">
        <f>IF(OR(I4039="",G4039=""),"",IF(G4039="Saída",-I4039,I4039))</f>
        <v/>
      </c>
      <c r="L4039" t="str">
        <f>IF(E4039="","",IFERROR(VLOOKUP(E4039,Listas!$A$2:$C$1048576,3,FALSE),""))</f>
        <v/>
      </c>
    </row>
    <row r="4040" spans="10:12" x14ac:dyDescent="0.25">
      <c r="J4040" t="str">
        <f>IF(H4040="","",IFERROR(VLOOKUP(H4040,Listas!$J$2:$K$1048576,2,FALSE),""))</f>
        <v/>
      </c>
      <c r="K4040" s="5" t="str">
        <f>IF(OR(I4040="",G4040=""),"",IF(G4040="Saída",-I4040,I4040))</f>
        <v/>
      </c>
      <c r="L4040" t="str">
        <f>IF(E4040="","",IFERROR(VLOOKUP(E4040,Listas!$A$2:$C$1048576,3,FALSE),""))</f>
        <v/>
      </c>
    </row>
    <row r="4041" spans="10:12" x14ac:dyDescent="0.25">
      <c r="J4041" t="str">
        <f>IF(H4041="","",IFERROR(VLOOKUP(H4041,Listas!$J$2:$K$1048576,2,FALSE),""))</f>
        <v/>
      </c>
      <c r="K4041" s="5" t="str">
        <f>IF(OR(I4041="",G4041=""),"",IF(G4041="Saída",-I4041,I4041))</f>
        <v/>
      </c>
      <c r="L4041" t="str">
        <f>IF(E4041="","",IFERROR(VLOOKUP(E4041,Listas!$A$2:$C$1048576,3,FALSE),""))</f>
        <v/>
      </c>
    </row>
    <row r="4042" spans="10:12" x14ac:dyDescent="0.25">
      <c r="J4042" t="str">
        <f>IF(H4042="","",IFERROR(VLOOKUP(H4042,Listas!$J$2:$K$1048576,2,FALSE),""))</f>
        <v/>
      </c>
      <c r="K4042" s="5" t="str">
        <f>IF(OR(I4042="",G4042=""),"",IF(G4042="Saída",-I4042,I4042))</f>
        <v/>
      </c>
      <c r="L4042" t="str">
        <f>IF(E4042="","",IFERROR(VLOOKUP(E4042,Listas!$A$2:$C$1048576,3,FALSE),""))</f>
        <v/>
      </c>
    </row>
    <row r="4043" spans="10:12" x14ac:dyDescent="0.25">
      <c r="J4043" t="str">
        <f>IF(H4043="","",IFERROR(VLOOKUP(H4043,Listas!$J$2:$K$1048576,2,FALSE),""))</f>
        <v/>
      </c>
      <c r="K4043" s="5" t="str">
        <f>IF(OR(I4043="",G4043=""),"",IF(G4043="Saída",-I4043,I4043))</f>
        <v/>
      </c>
      <c r="L4043" t="str">
        <f>IF(E4043="","",IFERROR(VLOOKUP(E4043,Listas!$A$2:$C$1048576,3,FALSE),""))</f>
        <v/>
      </c>
    </row>
    <row r="4044" spans="10:12" x14ac:dyDescent="0.25">
      <c r="J4044" t="str">
        <f>IF(H4044="","",IFERROR(VLOOKUP(H4044,Listas!$J$2:$K$1048576,2,FALSE),""))</f>
        <v/>
      </c>
      <c r="K4044" s="5" t="str">
        <f>IF(OR(I4044="",G4044=""),"",IF(G4044="Saída",-I4044,I4044))</f>
        <v/>
      </c>
      <c r="L4044" t="str">
        <f>IF(E4044="","",IFERROR(VLOOKUP(E4044,Listas!$A$2:$C$1048576,3,FALSE),""))</f>
        <v/>
      </c>
    </row>
    <row r="4045" spans="10:12" x14ac:dyDescent="0.25">
      <c r="J4045" t="str">
        <f>IF(H4045="","",IFERROR(VLOOKUP(H4045,Listas!$J$2:$K$1048576,2,FALSE),""))</f>
        <v/>
      </c>
      <c r="K4045" s="5" t="str">
        <f>IF(OR(I4045="",G4045=""),"",IF(G4045="Saída",-I4045,I4045))</f>
        <v/>
      </c>
      <c r="L4045" t="str">
        <f>IF(E4045="","",IFERROR(VLOOKUP(E4045,Listas!$A$2:$C$1048576,3,FALSE),""))</f>
        <v/>
      </c>
    </row>
    <row r="4046" spans="10:12" x14ac:dyDescent="0.25">
      <c r="J4046" t="str">
        <f>IF(H4046="","",IFERROR(VLOOKUP(H4046,Listas!$J$2:$K$1048576,2,FALSE),""))</f>
        <v/>
      </c>
      <c r="K4046" s="5" t="str">
        <f>IF(OR(I4046="",G4046=""),"",IF(G4046="Saída",-I4046,I4046))</f>
        <v/>
      </c>
      <c r="L4046" t="str">
        <f>IF(E4046="","",IFERROR(VLOOKUP(E4046,Listas!$A$2:$C$1048576,3,FALSE),""))</f>
        <v/>
      </c>
    </row>
    <row r="4047" spans="10:12" x14ac:dyDescent="0.25">
      <c r="J4047" t="str">
        <f>IF(H4047="","",IFERROR(VLOOKUP(H4047,Listas!$J$2:$K$1048576,2,FALSE),""))</f>
        <v/>
      </c>
      <c r="K4047" s="5" t="str">
        <f>IF(OR(I4047="",G4047=""),"",IF(G4047="Saída",-I4047,I4047))</f>
        <v/>
      </c>
      <c r="L4047" t="str">
        <f>IF(E4047="","",IFERROR(VLOOKUP(E4047,Listas!$A$2:$C$1048576,3,FALSE),""))</f>
        <v/>
      </c>
    </row>
    <row r="4048" spans="10:12" x14ac:dyDescent="0.25">
      <c r="J4048" t="str">
        <f>IF(H4048="","",IFERROR(VLOOKUP(H4048,Listas!$J$2:$K$1048576,2,FALSE),""))</f>
        <v/>
      </c>
      <c r="K4048" s="5" t="str">
        <f>IF(OR(I4048="",G4048=""),"",IF(G4048="Saída",-I4048,I4048))</f>
        <v/>
      </c>
      <c r="L4048" t="str">
        <f>IF(E4048="","",IFERROR(VLOOKUP(E4048,Listas!$A$2:$C$1048576,3,FALSE),""))</f>
        <v/>
      </c>
    </row>
    <row r="4049" spans="10:12" x14ac:dyDescent="0.25">
      <c r="J4049" t="str">
        <f>IF(H4049="","",IFERROR(VLOOKUP(H4049,Listas!$J$2:$K$1048576,2,FALSE),""))</f>
        <v/>
      </c>
      <c r="K4049" s="5" t="str">
        <f>IF(OR(I4049="",G4049=""),"",IF(G4049="Saída",-I4049,I4049))</f>
        <v/>
      </c>
      <c r="L4049" t="str">
        <f>IF(E4049="","",IFERROR(VLOOKUP(E4049,Listas!$A$2:$C$1048576,3,FALSE),""))</f>
        <v/>
      </c>
    </row>
    <row r="4050" spans="10:12" x14ac:dyDescent="0.25">
      <c r="J4050" t="str">
        <f>IF(H4050="","",IFERROR(VLOOKUP(H4050,Listas!$J$2:$K$1048576,2,FALSE),""))</f>
        <v/>
      </c>
      <c r="K4050" s="5" t="str">
        <f>IF(OR(I4050="",G4050=""),"",IF(G4050="Saída",-I4050,I4050))</f>
        <v/>
      </c>
      <c r="L4050" t="str">
        <f>IF(E4050="","",IFERROR(VLOOKUP(E4050,Listas!$A$2:$C$1048576,3,FALSE),""))</f>
        <v/>
      </c>
    </row>
    <row r="4051" spans="10:12" x14ac:dyDescent="0.25">
      <c r="J4051" t="str">
        <f>IF(H4051="","",IFERROR(VLOOKUP(H4051,Listas!$J$2:$K$1048576,2,FALSE),""))</f>
        <v/>
      </c>
      <c r="K4051" s="5" t="str">
        <f>IF(OR(I4051="",G4051=""),"",IF(G4051="Saída",-I4051,I4051))</f>
        <v/>
      </c>
      <c r="L4051" t="str">
        <f>IF(E4051="","",IFERROR(VLOOKUP(E4051,Listas!$A$2:$C$1048576,3,FALSE),""))</f>
        <v/>
      </c>
    </row>
    <row r="4052" spans="10:12" x14ac:dyDescent="0.25">
      <c r="J4052" t="str">
        <f>IF(H4052="","",IFERROR(VLOOKUP(H4052,Listas!$J$2:$K$1048576,2,FALSE),""))</f>
        <v/>
      </c>
      <c r="K4052" s="5" t="str">
        <f>IF(OR(I4052="",G4052=""),"",IF(G4052="Saída",-I4052,I4052))</f>
        <v/>
      </c>
      <c r="L4052" t="str">
        <f>IF(E4052="","",IFERROR(VLOOKUP(E4052,Listas!$A$2:$C$1048576,3,FALSE),""))</f>
        <v/>
      </c>
    </row>
    <row r="4053" spans="10:12" x14ac:dyDescent="0.25">
      <c r="J4053" t="str">
        <f>IF(H4053="","",IFERROR(VLOOKUP(H4053,Listas!$J$2:$K$1048576,2,FALSE),""))</f>
        <v/>
      </c>
      <c r="K4053" s="5" t="str">
        <f>IF(OR(I4053="",G4053=""),"",IF(G4053="Saída",-I4053,I4053))</f>
        <v/>
      </c>
      <c r="L4053" t="str">
        <f>IF(E4053="","",IFERROR(VLOOKUP(E4053,Listas!$A$2:$C$1048576,3,FALSE),""))</f>
        <v/>
      </c>
    </row>
    <row r="4054" spans="10:12" x14ac:dyDescent="0.25">
      <c r="J4054" t="str">
        <f>IF(H4054="","",IFERROR(VLOOKUP(H4054,Listas!$J$2:$K$1048576,2,FALSE),""))</f>
        <v/>
      </c>
      <c r="K4054" s="5" t="str">
        <f>IF(OR(I4054="",G4054=""),"",IF(G4054="Saída",-I4054,I4054))</f>
        <v/>
      </c>
      <c r="L4054" t="str">
        <f>IF(E4054="","",IFERROR(VLOOKUP(E4054,Listas!$A$2:$C$1048576,3,FALSE),""))</f>
        <v/>
      </c>
    </row>
    <row r="4055" spans="10:12" x14ac:dyDescent="0.25">
      <c r="J4055" t="str">
        <f>IF(H4055="","",IFERROR(VLOOKUP(H4055,Listas!$J$2:$K$1048576,2,FALSE),""))</f>
        <v/>
      </c>
      <c r="K4055" s="5" t="str">
        <f>IF(OR(I4055="",G4055=""),"",IF(G4055="Saída",-I4055,I4055))</f>
        <v/>
      </c>
      <c r="L4055" t="str">
        <f>IF(E4055="","",IFERROR(VLOOKUP(E4055,Listas!$A$2:$C$1048576,3,FALSE),""))</f>
        <v/>
      </c>
    </row>
    <row r="4056" spans="10:12" x14ac:dyDescent="0.25">
      <c r="J4056" t="str">
        <f>IF(H4056="","",IFERROR(VLOOKUP(H4056,Listas!$J$2:$K$1048576,2,FALSE),""))</f>
        <v/>
      </c>
      <c r="K4056" s="5" t="str">
        <f>IF(OR(I4056="",G4056=""),"",IF(G4056="Saída",-I4056,I4056))</f>
        <v/>
      </c>
      <c r="L4056" t="str">
        <f>IF(E4056="","",IFERROR(VLOOKUP(E4056,Listas!$A$2:$C$1048576,3,FALSE),""))</f>
        <v/>
      </c>
    </row>
    <row r="4057" spans="10:12" x14ac:dyDescent="0.25">
      <c r="J4057" t="str">
        <f>IF(H4057="","",IFERROR(VLOOKUP(H4057,Listas!$J$2:$K$1048576,2,FALSE),""))</f>
        <v/>
      </c>
      <c r="K4057" s="5" t="str">
        <f>IF(OR(I4057="",G4057=""),"",IF(G4057="Saída",-I4057,I4057))</f>
        <v/>
      </c>
      <c r="L4057" t="str">
        <f>IF(E4057="","",IFERROR(VLOOKUP(E4057,Listas!$A$2:$C$1048576,3,FALSE),""))</f>
        <v/>
      </c>
    </row>
    <row r="4058" spans="10:12" x14ac:dyDescent="0.25">
      <c r="J4058" t="str">
        <f>IF(H4058="","",IFERROR(VLOOKUP(H4058,Listas!$J$2:$K$1048576,2,FALSE),""))</f>
        <v/>
      </c>
      <c r="K4058" s="5" t="str">
        <f>IF(OR(I4058="",G4058=""),"",IF(G4058="Saída",-I4058,I4058))</f>
        <v/>
      </c>
      <c r="L4058" t="str">
        <f>IF(E4058="","",IFERROR(VLOOKUP(E4058,Listas!$A$2:$C$1048576,3,FALSE),""))</f>
        <v/>
      </c>
    </row>
    <row r="4059" spans="10:12" x14ac:dyDescent="0.25">
      <c r="J4059" t="str">
        <f>IF(H4059="","",IFERROR(VLOOKUP(H4059,Listas!$J$2:$K$1048576,2,FALSE),""))</f>
        <v/>
      </c>
      <c r="K4059" s="5" t="str">
        <f>IF(OR(I4059="",G4059=""),"",IF(G4059="Saída",-I4059,I4059))</f>
        <v/>
      </c>
      <c r="L4059" t="str">
        <f>IF(E4059="","",IFERROR(VLOOKUP(E4059,Listas!$A$2:$C$1048576,3,FALSE),""))</f>
        <v/>
      </c>
    </row>
    <row r="4060" spans="10:12" x14ac:dyDescent="0.25">
      <c r="J4060" t="str">
        <f>IF(H4060="","",IFERROR(VLOOKUP(H4060,Listas!$J$2:$K$1048576,2,FALSE),""))</f>
        <v/>
      </c>
      <c r="K4060" s="5" t="str">
        <f>IF(OR(I4060="",G4060=""),"",IF(G4060="Saída",-I4060,I4060))</f>
        <v/>
      </c>
      <c r="L4060" t="str">
        <f>IF(E4060="","",IFERROR(VLOOKUP(E4060,Listas!$A$2:$C$1048576,3,FALSE),""))</f>
        <v/>
      </c>
    </row>
    <row r="4061" spans="10:12" x14ac:dyDescent="0.25">
      <c r="J4061" t="str">
        <f>IF(H4061="","",IFERROR(VLOOKUP(H4061,Listas!$J$2:$K$1048576,2,FALSE),""))</f>
        <v/>
      </c>
      <c r="K4061" s="5" t="str">
        <f>IF(OR(I4061="",G4061=""),"",IF(G4061="Saída",-I4061,I4061))</f>
        <v/>
      </c>
      <c r="L4061" t="str">
        <f>IF(E4061="","",IFERROR(VLOOKUP(E4061,Listas!$A$2:$C$1048576,3,FALSE),""))</f>
        <v/>
      </c>
    </row>
    <row r="4062" spans="10:12" x14ac:dyDescent="0.25">
      <c r="J4062" t="str">
        <f>IF(H4062="","",IFERROR(VLOOKUP(H4062,Listas!$J$2:$K$1048576,2,FALSE),""))</f>
        <v/>
      </c>
      <c r="K4062" s="5" t="str">
        <f>IF(OR(I4062="",G4062=""),"",IF(G4062="Saída",-I4062,I4062))</f>
        <v/>
      </c>
      <c r="L4062" t="str">
        <f>IF(E4062="","",IFERROR(VLOOKUP(E4062,Listas!$A$2:$C$1048576,3,FALSE),""))</f>
        <v/>
      </c>
    </row>
    <row r="4063" spans="10:12" x14ac:dyDescent="0.25">
      <c r="J4063" t="str">
        <f>IF(H4063="","",IFERROR(VLOOKUP(H4063,Listas!$J$2:$K$1048576,2,FALSE),""))</f>
        <v/>
      </c>
      <c r="K4063" s="5" t="str">
        <f>IF(OR(I4063="",G4063=""),"",IF(G4063="Saída",-I4063,I4063))</f>
        <v/>
      </c>
      <c r="L4063" t="str">
        <f>IF(E4063="","",IFERROR(VLOOKUP(E4063,Listas!$A$2:$C$1048576,3,FALSE),""))</f>
        <v/>
      </c>
    </row>
    <row r="4064" spans="10:12" x14ac:dyDescent="0.25">
      <c r="J4064" t="str">
        <f>IF(H4064="","",IFERROR(VLOOKUP(H4064,Listas!$J$2:$K$1048576,2,FALSE),""))</f>
        <v/>
      </c>
      <c r="K4064" s="5" t="str">
        <f>IF(OR(I4064="",G4064=""),"",IF(G4064="Saída",-I4064,I4064))</f>
        <v/>
      </c>
      <c r="L4064" t="str">
        <f>IF(E4064="","",IFERROR(VLOOKUP(E4064,Listas!$A$2:$C$1048576,3,FALSE),""))</f>
        <v/>
      </c>
    </row>
    <row r="4065" spans="10:12" x14ac:dyDescent="0.25">
      <c r="J4065" t="str">
        <f>IF(H4065="","",IFERROR(VLOOKUP(H4065,Listas!$J$2:$K$1048576,2,FALSE),""))</f>
        <v/>
      </c>
      <c r="K4065" s="5" t="str">
        <f>IF(OR(I4065="",G4065=""),"",IF(G4065="Saída",-I4065,I4065))</f>
        <v/>
      </c>
      <c r="L4065" t="str">
        <f>IF(E4065="","",IFERROR(VLOOKUP(E4065,Listas!$A$2:$C$1048576,3,FALSE),""))</f>
        <v/>
      </c>
    </row>
    <row r="4066" spans="10:12" x14ac:dyDescent="0.25">
      <c r="J4066" t="str">
        <f>IF(H4066="","",IFERROR(VLOOKUP(H4066,Listas!$J$2:$K$1048576,2,FALSE),""))</f>
        <v/>
      </c>
      <c r="K4066" s="5" t="str">
        <f>IF(OR(I4066="",G4066=""),"",IF(G4066="Saída",-I4066,I4066))</f>
        <v/>
      </c>
      <c r="L4066" t="str">
        <f>IF(E4066="","",IFERROR(VLOOKUP(E4066,Listas!$A$2:$C$1048576,3,FALSE),""))</f>
        <v/>
      </c>
    </row>
    <row r="4067" spans="10:12" x14ac:dyDescent="0.25">
      <c r="J4067" t="str">
        <f>IF(H4067="","",IFERROR(VLOOKUP(H4067,Listas!$J$2:$K$1048576,2,FALSE),""))</f>
        <v/>
      </c>
      <c r="K4067" s="5" t="str">
        <f>IF(OR(I4067="",G4067=""),"",IF(G4067="Saída",-I4067,I4067))</f>
        <v/>
      </c>
      <c r="L4067" t="str">
        <f>IF(E4067="","",IFERROR(VLOOKUP(E4067,Listas!$A$2:$C$1048576,3,FALSE),""))</f>
        <v/>
      </c>
    </row>
    <row r="4068" spans="10:12" x14ac:dyDescent="0.25">
      <c r="J4068" t="str">
        <f>IF(H4068="","",IFERROR(VLOOKUP(H4068,Listas!$J$2:$K$1048576,2,FALSE),""))</f>
        <v/>
      </c>
      <c r="K4068" s="5" t="str">
        <f>IF(OR(I4068="",G4068=""),"",IF(G4068="Saída",-I4068,I4068))</f>
        <v/>
      </c>
      <c r="L4068" t="str">
        <f>IF(E4068="","",IFERROR(VLOOKUP(E4068,Listas!$A$2:$C$1048576,3,FALSE),""))</f>
        <v/>
      </c>
    </row>
    <row r="4069" spans="10:12" x14ac:dyDescent="0.25">
      <c r="J4069" t="str">
        <f>IF(H4069="","",IFERROR(VLOOKUP(H4069,Listas!$J$2:$K$1048576,2,FALSE),""))</f>
        <v/>
      </c>
      <c r="K4069" s="5" t="str">
        <f>IF(OR(I4069="",G4069=""),"",IF(G4069="Saída",-I4069,I4069))</f>
        <v/>
      </c>
      <c r="L4069" t="str">
        <f>IF(E4069="","",IFERROR(VLOOKUP(E4069,Listas!$A$2:$C$1048576,3,FALSE),""))</f>
        <v/>
      </c>
    </row>
    <row r="4070" spans="10:12" x14ac:dyDescent="0.25">
      <c r="J4070" t="str">
        <f>IF(H4070="","",IFERROR(VLOOKUP(H4070,Listas!$J$2:$K$1048576,2,FALSE),""))</f>
        <v/>
      </c>
      <c r="K4070" s="5" t="str">
        <f>IF(OR(I4070="",G4070=""),"",IF(G4070="Saída",-I4070,I4070))</f>
        <v/>
      </c>
      <c r="L4070" t="str">
        <f>IF(E4070="","",IFERROR(VLOOKUP(E4070,Listas!$A$2:$C$1048576,3,FALSE),""))</f>
        <v/>
      </c>
    </row>
    <row r="4071" spans="10:12" x14ac:dyDescent="0.25">
      <c r="J4071" t="str">
        <f>IF(H4071="","",IFERROR(VLOOKUP(H4071,Listas!$J$2:$K$1048576,2,FALSE),""))</f>
        <v/>
      </c>
      <c r="K4071" s="5" t="str">
        <f>IF(OR(I4071="",G4071=""),"",IF(G4071="Saída",-I4071,I4071))</f>
        <v/>
      </c>
      <c r="L4071" t="str">
        <f>IF(E4071="","",IFERROR(VLOOKUP(E4071,Listas!$A$2:$C$1048576,3,FALSE),""))</f>
        <v/>
      </c>
    </row>
    <row r="4072" spans="10:12" x14ac:dyDescent="0.25">
      <c r="J4072" t="str">
        <f>IF(H4072="","",IFERROR(VLOOKUP(H4072,Listas!$J$2:$K$1048576,2,FALSE),""))</f>
        <v/>
      </c>
      <c r="K4072" s="5" t="str">
        <f>IF(OR(I4072="",G4072=""),"",IF(G4072="Saída",-I4072,I4072))</f>
        <v/>
      </c>
      <c r="L4072" t="str">
        <f>IF(E4072="","",IFERROR(VLOOKUP(E4072,Listas!$A$2:$C$1048576,3,FALSE),""))</f>
        <v/>
      </c>
    </row>
    <row r="4073" spans="10:12" x14ac:dyDescent="0.25">
      <c r="J4073" t="str">
        <f>IF(H4073="","",IFERROR(VLOOKUP(H4073,Listas!$J$2:$K$1048576,2,FALSE),""))</f>
        <v/>
      </c>
      <c r="K4073" s="5" t="str">
        <f>IF(OR(I4073="",G4073=""),"",IF(G4073="Saída",-I4073,I4073))</f>
        <v/>
      </c>
      <c r="L4073" t="str">
        <f>IF(E4073="","",IFERROR(VLOOKUP(E4073,Listas!$A$2:$C$1048576,3,FALSE),""))</f>
        <v/>
      </c>
    </row>
    <row r="4074" spans="10:12" x14ac:dyDescent="0.25">
      <c r="J4074" t="str">
        <f>IF(H4074="","",IFERROR(VLOOKUP(H4074,Listas!$J$2:$K$1048576,2,FALSE),""))</f>
        <v/>
      </c>
      <c r="K4074" s="5" t="str">
        <f>IF(OR(I4074="",G4074=""),"",IF(G4074="Saída",-I4074,I4074))</f>
        <v/>
      </c>
      <c r="L4074" t="str">
        <f>IF(E4074="","",IFERROR(VLOOKUP(E4074,Listas!$A$2:$C$1048576,3,FALSE),""))</f>
        <v/>
      </c>
    </row>
    <row r="4075" spans="10:12" x14ac:dyDescent="0.25">
      <c r="J4075" t="str">
        <f>IF(H4075="","",IFERROR(VLOOKUP(H4075,Listas!$J$2:$K$1048576,2,FALSE),""))</f>
        <v/>
      </c>
      <c r="K4075" s="5" t="str">
        <f>IF(OR(I4075="",G4075=""),"",IF(G4075="Saída",-I4075,I4075))</f>
        <v/>
      </c>
      <c r="L4075" t="str">
        <f>IF(E4075="","",IFERROR(VLOOKUP(E4075,Listas!$A$2:$C$1048576,3,FALSE),""))</f>
        <v/>
      </c>
    </row>
    <row r="4076" spans="10:12" x14ac:dyDescent="0.25">
      <c r="J4076" t="str">
        <f>IF(H4076="","",IFERROR(VLOOKUP(H4076,Listas!$J$2:$K$1048576,2,FALSE),""))</f>
        <v/>
      </c>
      <c r="K4076" s="5" t="str">
        <f>IF(OR(I4076="",G4076=""),"",IF(G4076="Saída",-I4076,I4076))</f>
        <v/>
      </c>
      <c r="L4076" t="str">
        <f>IF(E4076="","",IFERROR(VLOOKUP(E4076,Listas!$A$2:$C$1048576,3,FALSE),""))</f>
        <v/>
      </c>
    </row>
    <row r="4077" spans="10:12" x14ac:dyDescent="0.25">
      <c r="J4077" t="str">
        <f>IF(H4077="","",IFERROR(VLOOKUP(H4077,Listas!$J$2:$K$1048576,2,FALSE),""))</f>
        <v/>
      </c>
      <c r="K4077" s="5" t="str">
        <f>IF(OR(I4077="",G4077=""),"",IF(G4077="Saída",-I4077,I4077))</f>
        <v/>
      </c>
      <c r="L4077" t="str">
        <f>IF(E4077="","",IFERROR(VLOOKUP(E4077,Listas!$A$2:$C$1048576,3,FALSE),""))</f>
        <v/>
      </c>
    </row>
    <row r="4078" spans="10:12" x14ac:dyDescent="0.25">
      <c r="J4078" t="str">
        <f>IF(H4078="","",IFERROR(VLOOKUP(H4078,Listas!$J$2:$K$1048576,2,FALSE),""))</f>
        <v/>
      </c>
      <c r="K4078" s="5" t="str">
        <f>IF(OR(I4078="",G4078=""),"",IF(G4078="Saída",-I4078,I4078))</f>
        <v/>
      </c>
      <c r="L4078" t="str">
        <f>IF(E4078="","",IFERROR(VLOOKUP(E4078,Listas!$A$2:$C$1048576,3,FALSE),""))</f>
        <v/>
      </c>
    </row>
    <row r="4079" spans="10:12" x14ac:dyDescent="0.25">
      <c r="J4079" t="str">
        <f>IF(H4079="","",IFERROR(VLOOKUP(H4079,Listas!$J$2:$K$1048576,2,FALSE),""))</f>
        <v/>
      </c>
      <c r="K4079" s="5" t="str">
        <f>IF(OR(I4079="",G4079=""),"",IF(G4079="Saída",-I4079,I4079))</f>
        <v/>
      </c>
      <c r="L4079" t="str">
        <f>IF(E4079="","",IFERROR(VLOOKUP(E4079,Listas!$A$2:$C$1048576,3,FALSE),""))</f>
        <v/>
      </c>
    </row>
    <row r="4080" spans="10:12" x14ac:dyDescent="0.25">
      <c r="J4080" t="str">
        <f>IF(H4080="","",IFERROR(VLOOKUP(H4080,Listas!$J$2:$K$1048576,2,FALSE),""))</f>
        <v/>
      </c>
      <c r="K4080" s="5" t="str">
        <f>IF(OR(I4080="",G4080=""),"",IF(G4080="Saída",-I4080,I4080))</f>
        <v/>
      </c>
      <c r="L4080" t="str">
        <f>IF(E4080="","",IFERROR(VLOOKUP(E4080,Listas!$A$2:$C$1048576,3,FALSE),""))</f>
        <v/>
      </c>
    </row>
    <row r="4081" spans="10:12" x14ac:dyDescent="0.25">
      <c r="J4081" t="str">
        <f>IF(H4081="","",IFERROR(VLOOKUP(H4081,Listas!$J$2:$K$1048576,2,FALSE),""))</f>
        <v/>
      </c>
      <c r="K4081" s="5" t="str">
        <f>IF(OR(I4081="",G4081=""),"",IF(G4081="Saída",-I4081,I4081))</f>
        <v/>
      </c>
      <c r="L4081" t="str">
        <f>IF(E4081="","",IFERROR(VLOOKUP(E4081,Listas!$A$2:$C$1048576,3,FALSE),""))</f>
        <v/>
      </c>
    </row>
    <row r="4082" spans="10:12" x14ac:dyDescent="0.25">
      <c r="J4082" t="str">
        <f>IF(H4082="","",IFERROR(VLOOKUP(H4082,Listas!$J$2:$K$1048576,2,FALSE),""))</f>
        <v/>
      </c>
      <c r="K4082" s="5" t="str">
        <f>IF(OR(I4082="",G4082=""),"",IF(G4082="Saída",-I4082,I4082))</f>
        <v/>
      </c>
      <c r="L4082" t="str">
        <f>IF(E4082="","",IFERROR(VLOOKUP(E4082,Listas!$A$2:$C$1048576,3,FALSE),""))</f>
        <v/>
      </c>
    </row>
    <row r="4083" spans="10:12" x14ac:dyDescent="0.25">
      <c r="J4083" t="str">
        <f>IF(H4083="","",IFERROR(VLOOKUP(H4083,Listas!$J$2:$K$1048576,2,FALSE),""))</f>
        <v/>
      </c>
      <c r="K4083" s="5" t="str">
        <f>IF(OR(I4083="",G4083=""),"",IF(G4083="Saída",-I4083,I4083))</f>
        <v/>
      </c>
      <c r="L4083" t="str">
        <f>IF(E4083="","",IFERROR(VLOOKUP(E4083,Listas!$A$2:$C$1048576,3,FALSE),""))</f>
        <v/>
      </c>
    </row>
    <row r="4084" spans="10:12" x14ac:dyDescent="0.25">
      <c r="J4084" t="str">
        <f>IF(H4084="","",IFERROR(VLOOKUP(H4084,Listas!$J$2:$K$1048576,2,FALSE),""))</f>
        <v/>
      </c>
      <c r="K4084" s="5" t="str">
        <f>IF(OR(I4084="",G4084=""),"",IF(G4084="Saída",-I4084,I4084))</f>
        <v/>
      </c>
      <c r="L4084" t="str">
        <f>IF(E4084="","",IFERROR(VLOOKUP(E4084,Listas!$A$2:$C$1048576,3,FALSE),""))</f>
        <v/>
      </c>
    </row>
    <row r="4085" spans="10:12" x14ac:dyDescent="0.25">
      <c r="J4085" t="str">
        <f>IF(H4085="","",IFERROR(VLOOKUP(H4085,Listas!$J$2:$K$1048576,2,FALSE),""))</f>
        <v/>
      </c>
      <c r="K4085" s="5" t="str">
        <f>IF(OR(I4085="",G4085=""),"",IF(G4085="Saída",-I4085,I4085))</f>
        <v/>
      </c>
      <c r="L4085" t="str">
        <f>IF(E4085="","",IFERROR(VLOOKUP(E4085,Listas!$A$2:$C$1048576,3,FALSE),""))</f>
        <v/>
      </c>
    </row>
    <row r="4086" spans="10:12" x14ac:dyDescent="0.25">
      <c r="J4086" t="str">
        <f>IF(H4086="","",IFERROR(VLOOKUP(H4086,Listas!$J$2:$K$1048576,2,FALSE),""))</f>
        <v/>
      </c>
      <c r="K4086" s="5" t="str">
        <f>IF(OR(I4086="",G4086=""),"",IF(G4086="Saída",-I4086,I4086))</f>
        <v/>
      </c>
      <c r="L4086" t="str">
        <f>IF(E4086="","",IFERROR(VLOOKUP(E4086,Listas!$A$2:$C$1048576,3,FALSE),""))</f>
        <v/>
      </c>
    </row>
    <row r="4087" spans="10:12" x14ac:dyDescent="0.25">
      <c r="J4087" t="str">
        <f>IF(H4087="","",IFERROR(VLOOKUP(H4087,Listas!$J$2:$K$1048576,2,FALSE),""))</f>
        <v/>
      </c>
      <c r="K4087" s="5" t="str">
        <f>IF(OR(I4087="",G4087=""),"",IF(G4087="Saída",-I4087,I4087))</f>
        <v/>
      </c>
      <c r="L4087" t="str">
        <f>IF(E4087="","",IFERROR(VLOOKUP(E4087,Listas!$A$2:$C$1048576,3,FALSE),""))</f>
        <v/>
      </c>
    </row>
    <row r="4088" spans="10:12" x14ac:dyDescent="0.25">
      <c r="J4088" t="str">
        <f>IF(H4088="","",IFERROR(VLOOKUP(H4088,Listas!$J$2:$K$1048576,2,FALSE),""))</f>
        <v/>
      </c>
      <c r="K4088" s="5" t="str">
        <f>IF(OR(I4088="",G4088=""),"",IF(G4088="Saída",-I4088,I4088))</f>
        <v/>
      </c>
      <c r="L4088" t="str">
        <f>IF(E4088="","",IFERROR(VLOOKUP(E4088,Listas!$A$2:$C$1048576,3,FALSE),""))</f>
        <v/>
      </c>
    </row>
    <row r="4089" spans="10:12" x14ac:dyDescent="0.25">
      <c r="J4089" t="str">
        <f>IF(H4089="","",IFERROR(VLOOKUP(H4089,Listas!$J$2:$K$1048576,2,FALSE),""))</f>
        <v/>
      </c>
      <c r="K4089" s="5" t="str">
        <f>IF(OR(I4089="",G4089=""),"",IF(G4089="Saída",-I4089,I4089))</f>
        <v/>
      </c>
      <c r="L4089" t="str">
        <f>IF(E4089="","",IFERROR(VLOOKUP(E4089,Listas!$A$2:$C$1048576,3,FALSE),""))</f>
        <v/>
      </c>
    </row>
    <row r="4090" spans="10:12" x14ac:dyDescent="0.25">
      <c r="J4090" t="str">
        <f>IF(H4090="","",IFERROR(VLOOKUP(H4090,Listas!$J$2:$K$1048576,2,FALSE),""))</f>
        <v/>
      </c>
      <c r="K4090" s="5" t="str">
        <f>IF(OR(I4090="",G4090=""),"",IF(G4090="Saída",-I4090,I4090))</f>
        <v/>
      </c>
      <c r="L4090" t="str">
        <f>IF(E4090="","",IFERROR(VLOOKUP(E4090,Listas!$A$2:$C$1048576,3,FALSE),""))</f>
        <v/>
      </c>
    </row>
    <row r="4091" spans="10:12" x14ac:dyDescent="0.25">
      <c r="J4091" t="str">
        <f>IF(H4091="","",IFERROR(VLOOKUP(H4091,Listas!$J$2:$K$1048576,2,FALSE),""))</f>
        <v/>
      </c>
      <c r="K4091" s="5" t="str">
        <f>IF(OR(I4091="",G4091=""),"",IF(G4091="Saída",-I4091,I4091))</f>
        <v/>
      </c>
      <c r="L4091" t="str">
        <f>IF(E4091="","",IFERROR(VLOOKUP(E4091,Listas!$A$2:$C$1048576,3,FALSE),""))</f>
        <v/>
      </c>
    </row>
    <row r="4092" spans="10:12" x14ac:dyDescent="0.25">
      <c r="J4092" t="str">
        <f>IF(H4092="","",IFERROR(VLOOKUP(H4092,Listas!$J$2:$K$1048576,2,FALSE),""))</f>
        <v/>
      </c>
      <c r="K4092" s="5" t="str">
        <f>IF(OR(I4092="",G4092=""),"",IF(G4092="Saída",-I4092,I4092))</f>
        <v/>
      </c>
      <c r="L4092" t="str">
        <f>IF(E4092="","",IFERROR(VLOOKUP(E4092,Listas!$A$2:$C$1048576,3,FALSE),""))</f>
        <v/>
      </c>
    </row>
    <row r="4093" spans="10:12" x14ac:dyDescent="0.25">
      <c r="J4093" t="str">
        <f>IF(H4093="","",IFERROR(VLOOKUP(H4093,Listas!$J$2:$K$1048576,2,FALSE),""))</f>
        <v/>
      </c>
      <c r="K4093" s="5" t="str">
        <f>IF(OR(I4093="",G4093=""),"",IF(G4093="Saída",-I4093,I4093))</f>
        <v/>
      </c>
      <c r="L4093" t="str">
        <f>IF(E4093="","",IFERROR(VLOOKUP(E4093,Listas!$A$2:$C$1048576,3,FALSE),""))</f>
        <v/>
      </c>
    </row>
    <row r="4094" spans="10:12" x14ac:dyDescent="0.25">
      <c r="J4094" t="str">
        <f>IF(H4094="","",IFERROR(VLOOKUP(H4094,Listas!$J$2:$K$1048576,2,FALSE),""))</f>
        <v/>
      </c>
      <c r="K4094" s="5" t="str">
        <f>IF(OR(I4094="",G4094=""),"",IF(G4094="Saída",-I4094,I4094))</f>
        <v/>
      </c>
      <c r="L4094" t="str">
        <f>IF(E4094="","",IFERROR(VLOOKUP(E4094,Listas!$A$2:$C$1048576,3,FALSE),""))</f>
        <v/>
      </c>
    </row>
    <row r="4095" spans="10:12" x14ac:dyDescent="0.25">
      <c r="J4095" t="str">
        <f>IF(H4095="","",IFERROR(VLOOKUP(H4095,Listas!$J$2:$K$1048576,2,FALSE),""))</f>
        <v/>
      </c>
      <c r="K4095" s="5" t="str">
        <f>IF(OR(I4095="",G4095=""),"",IF(G4095="Saída",-I4095,I4095))</f>
        <v/>
      </c>
      <c r="L4095" t="str">
        <f>IF(E4095="","",IFERROR(VLOOKUP(E4095,Listas!$A$2:$C$1048576,3,FALSE),""))</f>
        <v/>
      </c>
    </row>
    <row r="4096" spans="10:12" x14ac:dyDescent="0.25">
      <c r="J4096" t="str">
        <f>IF(H4096="","",IFERROR(VLOOKUP(H4096,Listas!$J$2:$K$1048576,2,FALSE),""))</f>
        <v/>
      </c>
      <c r="K4096" s="5" t="str">
        <f>IF(OR(I4096="",G4096=""),"",IF(G4096="Saída",-I4096,I4096))</f>
        <v/>
      </c>
      <c r="L4096" t="str">
        <f>IF(E4096="","",IFERROR(VLOOKUP(E4096,Listas!$A$2:$C$1048576,3,FALSE),""))</f>
        <v/>
      </c>
    </row>
    <row r="4097" spans="10:12" x14ac:dyDescent="0.25">
      <c r="J4097" t="str">
        <f>IF(H4097="","",IFERROR(VLOOKUP(H4097,Listas!$J$2:$K$1048576,2,FALSE),""))</f>
        <v/>
      </c>
      <c r="K4097" s="5" t="str">
        <f>IF(OR(I4097="",G4097=""),"",IF(G4097="Saída",-I4097,I4097))</f>
        <v/>
      </c>
      <c r="L4097" t="str">
        <f>IF(E4097="","",IFERROR(VLOOKUP(E4097,Listas!$A$2:$C$1048576,3,FALSE),""))</f>
        <v/>
      </c>
    </row>
    <row r="4098" spans="10:12" x14ac:dyDescent="0.25">
      <c r="J4098" t="str">
        <f>IF(H4098="","",IFERROR(VLOOKUP(H4098,Listas!$J$2:$K$1048576,2,FALSE),""))</f>
        <v/>
      </c>
      <c r="K4098" s="5" t="str">
        <f>IF(OR(I4098="",G4098=""),"",IF(G4098="Saída",-I4098,I4098))</f>
        <v/>
      </c>
      <c r="L4098" t="str">
        <f>IF(E4098="","",IFERROR(VLOOKUP(E4098,Listas!$A$2:$C$1048576,3,FALSE),""))</f>
        <v/>
      </c>
    </row>
    <row r="4099" spans="10:12" x14ac:dyDescent="0.25">
      <c r="J4099" t="str">
        <f>IF(H4099="","",IFERROR(VLOOKUP(H4099,Listas!$J$2:$K$1048576,2,FALSE),""))</f>
        <v/>
      </c>
      <c r="K4099" s="5" t="str">
        <f>IF(OR(I4099="",G4099=""),"",IF(G4099="Saída",-I4099,I4099))</f>
        <v/>
      </c>
      <c r="L4099" t="str">
        <f>IF(E4099="","",IFERROR(VLOOKUP(E4099,Listas!$A$2:$C$1048576,3,FALSE),""))</f>
        <v/>
      </c>
    </row>
    <row r="4100" spans="10:12" x14ac:dyDescent="0.25">
      <c r="J4100" t="str">
        <f>IF(H4100="","",IFERROR(VLOOKUP(H4100,Listas!$J$2:$K$1048576,2,FALSE),""))</f>
        <v/>
      </c>
      <c r="K4100" s="5" t="str">
        <f>IF(OR(I4100="",G4100=""),"",IF(G4100="Saída",-I4100,I4100))</f>
        <v/>
      </c>
      <c r="L4100" t="str">
        <f>IF(E4100="","",IFERROR(VLOOKUP(E4100,Listas!$A$2:$C$1048576,3,FALSE),""))</f>
        <v/>
      </c>
    </row>
    <row r="4101" spans="10:12" x14ac:dyDescent="0.25">
      <c r="J4101" t="str">
        <f>IF(H4101="","",IFERROR(VLOOKUP(H4101,Listas!$J$2:$K$1048576,2,FALSE),""))</f>
        <v/>
      </c>
      <c r="K4101" s="5" t="str">
        <f>IF(OR(I4101="",G4101=""),"",IF(G4101="Saída",-I4101,I4101))</f>
        <v/>
      </c>
      <c r="L4101" t="str">
        <f>IF(E4101="","",IFERROR(VLOOKUP(E4101,Listas!$A$2:$C$1048576,3,FALSE),""))</f>
        <v/>
      </c>
    </row>
    <row r="4102" spans="10:12" x14ac:dyDescent="0.25">
      <c r="J4102" t="str">
        <f>IF(H4102="","",IFERROR(VLOOKUP(H4102,Listas!$J$2:$K$1048576,2,FALSE),""))</f>
        <v/>
      </c>
      <c r="K4102" s="5" t="str">
        <f>IF(OR(I4102="",G4102=""),"",IF(G4102="Saída",-I4102,I4102))</f>
        <v/>
      </c>
      <c r="L4102" t="str">
        <f>IF(E4102="","",IFERROR(VLOOKUP(E4102,Listas!$A$2:$C$1048576,3,FALSE),""))</f>
        <v/>
      </c>
    </row>
    <row r="4103" spans="10:12" x14ac:dyDescent="0.25">
      <c r="J4103" t="str">
        <f>IF(H4103="","",IFERROR(VLOOKUP(H4103,Listas!$J$2:$K$1048576,2,FALSE),""))</f>
        <v/>
      </c>
      <c r="K4103" s="5" t="str">
        <f>IF(OR(I4103="",G4103=""),"",IF(G4103="Saída",-I4103,I4103))</f>
        <v/>
      </c>
      <c r="L4103" t="str">
        <f>IF(E4103="","",IFERROR(VLOOKUP(E4103,Listas!$A$2:$C$1048576,3,FALSE),""))</f>
        <v/>
      </c>
    </row>
    <row r="4104" spans="10:12" x14ac:dyDescent="0.25">
      <c r="J4104" t="str">
        <f>IF(H4104="","",IFERROR(VLOOKUP(H4104,Listas!$J$2:$K$1048576,2,FALSE),""))</f>
        <v/>
      </c>
      <c r="K4104" s="5" t="str">
        <f>IF(OR(I4104="",G4104=""),"",IF(G4104="Saída",-I4104,I4104))</f>
        <v/>
      </c>
      <c r="L4104" t="str">
        <f>IF(E4104="","",IFERROR(VLOOKUP(E4104,Listas!$A$2:$C$1048576,3,FALSE),""))</f>
        <v/>
      </c>
    </row>
    <row r="4105" spans="10:12" x14ac:dyDescent="0.25">
      <c r="J4105" t="str">
        <f>IF(H4105="","",IFERROR(VLOOKUP(H4105,Listas!$J$2:$K$1048576,2,FALSE),""))</f>
        <v/>
      </c>
      <c r="K4105" s="5" t="str">
        <f>IF(OR(I4105="",G4105=""),"",IF(G4105="Saída",-I4105,I4105))</f>
        <v/>
      </c>
      <c r="L4105" t="str">
        <f>IF(E4105="","",IFERROR(VLOOKUP(E4105,Listas!$A$2:$C$1048576,3,FALSE),""))</f>
        <v/>
      </c>
    </row>
    <row r="4106" spans="10:12" x14ac:dyDescent="0.25">
      <c r="J4106" t="str">
        <f>IF(H4106="","",IFERROR(VLOOKUP(H4106,Listas!$J$2:$K$1048576,2,FALSE),""))</f>
        <v/>
      </c>
      <c r="K4106" s="5" t="str">
        <f>IF(OR(I4106="",G4106=""),"",IF(G4106="Saída",-I4106,I4106))</f>
        <v/>
      </c>
      <c r="L4106" t="str">
        <f>IF(E4106="","",IFERROR(VLOOKUP(E4106,Listas!$A$2:$C$1048576,3,FALSE),""))</f>
        <v/>
      </c>
    </row>
    <row r="4107" spans="10:12" x14ac:dyDescent="0.25">
      <c r="J4107" t="str">
        <f>IF(H4107="","",IFERROR(VLOOKUP(H4107,Listas!$J$2:$K$1048576,2,FALSE),""))</f>
        <v/>
      </c>
      <c r="K4107" s="5" t="str">
        <f>IF(OR(I4107="",G4107=""),"",IF(G4107="Saída",-I4107,I4107))</f>
        <v/>
      </c>
      <c r="L4107" t="str">
        <f>IF(E4107="","",IFERROR(VLOOKUP(E4107,Listas!$A$2:$C$1048576,3,FALSE),""))</f>
        <v/>
      </c>
    </row>
    <row r="4108" spans="10:12" x14ac:dyDescent="0.25">
      <c r="J4108" t="str">
        <f>IF(H4108="","",IFERROR(VLOOKUP(H4108,Listas!$J$2:$K$1048576,2,FALSE),""))</f>
        <v/>
      </c>
      <c r="K4108" s="5" t="str">
        <f>IF(OR(I4108="",G4108=""),"",IF(G4108="Saída",-I4108,I4108))</f>
        <v/>
      </c>
      <c r="L4108" t="str">
        <f>IF(E4108="","",IFERROR(VLOOKUP(E4108,Listas!$A$2:$C$1048576,3,FALSE),""))</f>
        <v/>
      </c>
    </row>
    <row r="4109" spans="10:12" x14ac:dyDescent="0.25">
      <c r="J4109" t="str">
        <f>IF(H4109="","",IFERROR(VLOOKUP(H4109,Listas!$J$2:$K$1048576,2,FALSE),""))</f>
        <v/>
      </c>
      <c r="K4109" s="5" t="str">
        <f>IF(OR(I4109="",G4109=""),"",IF(G4109="Saída",-I4109,I4109))</f>
        <v/>
      </c>
      <c r="L4109" t="str">
        <f>IF(E4109="","",IFERROR(VLOOKUP(E4109,Listas!$A$2:$C$1048576,3,FALSE),""))</f>
        <v/>
      </c>
    </row>
    <row r="4110" spans="10:12" x14ac:dyDescent="0.25">
      <c r="J4110" t="str">
        <f>IF(H4110="","",IFERROR(VLOOKUP(H4110,Listas!$J$2:$K$1048576,2,FALSE),""))</f>
        <v/>
      </c>
      <c r="K4110" s="5" t="str">
        <f>IF(OR(I4110="",G4110=""),"",IF(G4110="Saída",-I4110,I4110))</f>
        <v/>
      </c>
      <c r="L4110" t="str">
        <f>IF(E4110="","",IFERROR(VLOOKUP(E4110,Listas!$A$2:$C$1048576,3,FALSE),""))</f>
        <v/>
      </c>
    </row>
    <row r="4111" spans="10:12" x14ac:dyDescent="0.25">
      <c r="J4111" t="str">
        <f>IF(H4111="","",IFERROR(VLOOKUP(H4111,Listas!$J$2:$K$1048576,2,FALSE),""))</f>
        <v/>
      </c>
      <c r="K4111" s="5" t="str">
        <f>IF(OR(I4111="",G4111=""),"",IF(G4111="Saída",-I4111,I4111))</f>
        <v/>
      </c>
      <c r="L4111" t="str">
        <f>IF(E4111="","",IFERROR(VLOOKUP(E4111,Listas!$A$2:$C$1048576,3,FALSE),""))</f>
        <v/>
      </c>
    </row>
    <row r="4112" spans="10:12" x14ac:dyDescent="0.25">
      <c r="J4112" t="str">
        <f>IF(H4112="","",IFERROR(VLOOKUP(H4112,Listas!$J$2:$K$1048576,2,FALSE),""))</f>
        <v/>
      </c>
      <c r="K4112" s="5" t="str">
        <f>IF(OR(I4112="",G4112=""),"",IF(G4112="Saída",-I4112,I4112))</f>
        <v/>
      </c>
      <c r="L4112" t="str">
        <f>IF(E4112="","",IFERROR(VLOOKUP(E4112,Listas!$A$2:$C$1048576,3,FALSE),""))</f>
        <v/>
      </c>
    </row>
    <row r="4113" spans="10:12" x14ac:dyDescent="0.25">
      <c r="J4113" t="str">
        <f>IF(H4113="","",IFERROR(VLOOKUP(H4113,Listas!$J$2:$K$1048576,2,FALSE),""))</f>
        <v/>
      </c>
      <c r="K4113" s="5" t="str">
        <f>IF(OR(I4113="",G4113=""),"",IF(G4113="Saída",-I4113,I4113))</f>
        <v/>
      </c>
      <c r="L4113" t="str">
        <f>IF(E4113="","",IFERROR(VLOOKUP(E4113,Listas!$A$2:$C$1048576,3,FALSE),""))</f>
        <v/>
      </c>
    </row>
    <row r="4114" spans="10:12" x14ac:dyDescent="0.25">
      <c r="J4114" t="str">
        <f>IF(H4114="","",IFERROR(VLOOKUP(H4114,Listas!$J$2:$K$1048576,2,FALSE),""))</f>
        <v/>
      </c>
      <c r="K4114" s="5" t="str">
        <f>IF(OR(I4114="",G4114=""),"",IF(G4114="Saída",-I4114,I4114))</f>
        <v/>
      </c>
      <c r="L4114" t="str">
        <f>IF(E4114="","",IFERROR(VLOOKUP(E4114,Listas!$A$2:$C$1048576,3,FALSE),""))</f>
        <v/>
      </c>
    </row>
    <row r="4115" spans="10:12" x14ac:dyDescent="0.25">
      <c r="J4115" t="str">
        <f>IF(H4115="","",IFERROR(VLOOKUP(H4115,Listas!$J$2:$K$1048576,2,FALSE),""))</f>
        <v/>
      </c>
      <c r="K4115" s="5" t="str">
        <f>IF(OR(I4115="",G4115=""),"",IF(G4115="Saída",-I4115,I4115))</f>
        <v/>
      </c>
      <c r="L4115" t="str">
        <f>IF(E4115="","",IFERROR(VLOOKUP(E4115,Listas!$A$2:$C$1048576,3,FALSE),""))</f>
        <v/>
      </c>
    </row>
    <row r="4116" spans="10:12" x14ac:dyDescent="0.25">
      <c r="J4116" t="str">
        <f>IF(H4116="","",IFERROR(VLOOKUP(H4116,Listas!$J$2:$K$1048576,2,FALSE),""))</f>
        <v/>
      </c>
      <c r="K4116" s="5" t="str">
        <f>IF(OR(I4116="",G4116=""),"",IF(G4116="Saída",-I4116,I4116))</f>
        <v/>
      </c>
      <c r="L4116" t="str">
        <f>IF(E4116="","",IFERROR(VLOOKUP(E4116,Listas!$A$2:$C$1048576,3,FALSE),""))</f>
        <v/>
      </c>
    </row>
    <row r="4117" spans="10:12" x14ac:dyDescent="0.25">
      <c r="J4117" t="str">
        <f>IF(H4117="","",IFERROR(VLOOKUP(H4117,Listas!$J$2:$K$1048576,2,FALSE),""))</f>
        <v/>
      </c>
      <c r="K4117" s="5" t="str">
        <f>IF(OR(I4117="",G4117=""),"",IF(G4117="Saída",-I4117,I4117))</f>
        <v/>
      </c>
      <c r="L4117" t="str">
        <f>IF(E4117="","",IFERROR(VLOOKUP(E4117,Listas!$A$2:$C$1048576,3,FALSE),""))</f>
        <v/>
      </c>
    </row>
    <row r="4118" spans="10:12" x14ac:dyDescent="0.25">
      <c r="J4118" t="str">
        <f>IF(H4118="","",IFERROR(VLOOKUP(H4118,Listas!$J$2:$K$1048576,2,FALSE),""))</f>
        <v/>
      </c>
      <c r="K4118" s="5" t="str">
        <f>IF(OR(I4118="",G4118=""),"",IF(G4118="Saída",-I4118,I4118))</f>
        <v/>
      </c>
      <c r="L4118" t="str">
        <f>IF(E4118="","",IFERROR(VLOOKUP(E4118,Listas!$A$2:$C$1048576,3,FALSE),""))</f>
        <v/>
      </c>
    </row>
    <row r="4119" spans="10:12" x14ac:dyDescent="0.25">
      <c r="J4119" t="str">
        <f>IF(H4119="","",IFERROR(VLOOKUP(H4119,Listas!$J$2:$K$1048576,2,FALSE),""))</f>
        <v/>
      </c>
      <c r="K4119" s="5" t="str">
        <f>IF(OR(I4119="",G4119=""),"",IF(G4119="Saída",-I4119,I4119))</f>
        <v/>
      </c>
      <c r="L4119" t="str">
        <f>IF(E4119="","",IFERROR(VLOOKUP(E4119,Listas!$A$2:$C$1048576,3,FALSE),""))</f>
        <v/>
      </c>
    </row>
    <row r="4120" spans="10:12" x14ac:dyDescent="0.25">
      <c r="J4120" t="str">
        <f>IF(H4120="","",IFERROR(VLOOKUP(H4120,Listas!$J$2:$K$1048576,2,FALSE),""))</f>
        <v/>
      </c>
      <c r="K4120" s="5" t="str">
        <f>IF(OR(I4120="",G4120=""),"",IF(G4120="Saída",-I4120,I4120))</f>
        <v/>
      </c>
      <c r="L4120" t="str">
        <f>IF(E4120="","",IFERROR(VLOOKUP(E4120,Listas!$A$2:$C$1048576,3,FALSE),""))</f>
        <v/>
      </c>
    </row>
    <row r="4121" spans="10:12" x14ac:dyDescent="0.25">
      <c r="J4121" t="str">
        <f>IF(H4121="","",IFERROR(VLOOKUP(H4121,Listas!$J$2:$K$1048576,2,FALSE),""))</f>
        <v/>
      </c>
      <c r="K4121" s="5" t="str">
        <f>IF(OR(I4121="",G4121=""),"",IF(G4121="Saída",-I4121,I4121))</f>
        <v/>
      </c>
      <c r="L4121" t="str">
        <f>IF(E4121="","",IFERROR(VLOOKUP(E4121,Listas!$A$2:$C$1048576,3,FALSE),""))</f>
        <v/>
      </c>
    </row>
    <row r="4122" spans="10:12" x14ac:dyDescent="0.25">
      <c r="J4122" t="str">
        <f>IF(H4122="","",IFERROR(VLOOKUP(H4122,Listas!$J$2:$K$1048576,2,FALSE),""))</f>
        <v/>
      </c>
      <c r="K4122" s="5" t="str">
        <f>IF(OR(I4122="",G4122=""),"",IF(G4122="Saída",-I4122,I4122))</f>
        <v/>
      </c>
      <c r="L4122" t="str">
        <f>IF(E4122="","",IFERROR(VLOOKUP(E4122,Listas!$A$2:$C$1048576,3,FALSE),""))</f>
        <v/>
      </c>
    </row>
    <row r="4123" spans="10:12" x14ac:dyDescent="0.25">
      <c r="J4123" t="str">
        <f>IF(H4123="","",IFERROR(VLOOKUP(H4123,Listas!$J$2:$K$1048576,2,FALSE),""))</f>
        <v/>
      </c>
      <c r="K4123" s="5" t="str">
        <f>IF(OR(I4123="",G4123=""),"",IF(G4123="Saída",-I4123,I4123))</f>
        <v/>
      </c>
      <c r="L4123" t="str">
        <f>IF(E4123="","",IFERROR(VLOOKUP(E4123,Listas!$A$2:$C$1048576,3,FALSE),""))</f>
        <v/>
      </c>
    </row>
    <row r="4124" spans="10:12" x14ac:dyDescent="0.25">
      <c r="J4124" t="str">
        <f>IF(H4124="","",IFERROR(VLOOKUP(H4124,Listas!$J$2:$K$1048576,2,FALSE),""))</f>
        <v/>
      </c>
      <c r="K4124" s="5" t="str">
        <f>IF(OR(I4124="",G4124=""),"",IF(G4124="Saída",-I4124,I4124))</f>
        <v/>
      </c>
      <c r="L4124" t="str">
        <f>IF(E4124="","",IFERROR(VLOOKUP(E4124,Listas!$A$2:$C$1048576,3,FALSE),""))</f>
        <v/>
      </c>
    </row>
    <row r="4125" spans="10:12" x14ac:dyDescent="0.25">
      <c r="J4125" t="str">
        <f>IF(H4125="","",IFERROR(VLOOKUP(H4125,Listas!$J$2:$K$1048576,2,FALSE),""))</f>
        <v/>
      </c>
      <c r="K4125" s="5" t="str">
        <f>IF(OR(I4125="",G4125=""),"",IF(G4125="Saída",-I4125,I4125))</f>
        <v/>
      </c>
      <c r="L4125" t="str">
        <f>IF(E4125="","",IFERROR(VLOOKUP(E4125,Listas!$A$2:$C$1048576,3,FALSE),""))</f>
        <v/>
      </c>
    </row>
    <row r="4126" spans="10:12" x14ac:dyDescent="0.25">
      <c r="J4126" t="str">
        <f>IF(H4126="","",IFERROR(VLOOKUP(H4126,Listas!$J$2:$K$1048576,2,FALSE),""))</f>
        <v/>
      </c>
      <c r="K4126" s="5" t="str">
        <f>IF(OR(I4126="",G4126=""),"",IF(G4126="Saída",-I4126,I4126))</f>
        <v/>
      </c>
      <c r="L4126" t="str">
        <f>IF(E4126="","",IFERROR(VLOOKUP(E4126,Listas!$A$2:$C$1048576,3,FALSE),""))</f>
        <v/>
      </c>
    </row>
    <row r="4127" spans="10:12" x14ac:dyDescent="0.25">
      <c r="J4127" t="str">
        <f>IF(H4127="","",IFERROR(VLOOKUP(H4127,Listas!$J$2:$K$1048576,2,FALSE),""))</f>
        <v/>
      </c>
      <c r="K4127" s="5" t="str">
        <f>IF(OR(I4127="",G4127=""),"",IF(G4127="Saída",-I4127,I4127))</f>
        <v/>
      </c>
      <c r="L4127" t="str">
        <f>IF(E4127="","",IFERROR(VLOOKUP(E4127,Listas!$A$2:$C$1048576,3,FALSE),""))</f>
        <v/>
      </c>
    </row>
    <row r="4128" spans="10:12" x14ac:dyDescent="0.25">
      <c r="J4128" t="str">
        <f>IF(H4128="","",IFERROR(VLOOKUP(H4128,Listas!$J$2:$K$1048576,2,FALSE),""))</f>
        <v/>
      </c>
      <c r="K4128" s="5" t="str">
        <f>IF(OR(I4128="",G4128=""),"",IF(G4128="Saída",-I4128,I4128))</f>
        <v/>
      </c>
      <c r="L4128" t="str">
        <f>IF(E4128="","",IFERROR(VLOOKUP(E4128,Listas!$A$2:$C$1048576,3,FALSE),""))</f>
        <v/>
      </c>
    </row>
    <row r="4129" spans="10:12" x14ac:dyDescent="0.25">
      <c r="J4129" t="str">
        <f>IF(H4129="","",IFERROR(VLOOKUP(H4129,Listas!$J$2:$K$1048576,2,FALSE),""))</f>
        <v/>
      </c>
      <c r="K4129" s="5" t="str">
        <f>IF(OR(I4129="",G4129=""),"",IF(G4129="Saída",-I4129,I4129))</f>
        <v/>
      </c>
      <c r="L4129" t="str">
        <f>IF(E4129="","",IFERROR(VLOOKUP(E4129,Listas!$A$2:$C$1048576,3,FALSE),""))</f>
        <v/>
      </c>
    </row>
    <row r="4130" spans="10:12" x14ac:dyDescent="0.25">
      <c r="J4130" t="str">
        <f>IF(H4130="","",IFERROR(VLOOKUP(H4130,Listas!$J$2:$K$1048576,2,FALSE),""))</f>
        <v/>
      </c>
      <c r="K4130" s="5" t="str">
        <f>IF(OR(I4130="",G4130=""),"",IF(G4130="Saída",-I4130,I4130))</f>
        <v/>
      </c>
      <c r="L4130" t="str">
        <f>IF(E4130="","",IFERROR(VLOOKUP(E4130,Listas!$A$2:$C$1048576,3,FALSE),""))</f>
        <v/>
      </c>
    </row>
    <row r="4131" spans="10:12" x14ac:dyDescent="0.25">
      <c r="J4131" t="str">
        <f>IF(H4131="","",IFERROR(VLOOKUP(H4131,Listas!$J$2:$K$1048576,2,FALSE),""))</f>
        <v/>
      </c>
      <c r="K4131" s="5" t="str">
        <f>IF(OR(I4131="",G4131=""),"",IF(G4131="Saída",-I4131,I4131))</f>
        <v/>
      </c>
      <c r="L4131" t="str">
        <f>IF(E4131="","",IFERROR(VLOOKUP(E4131,Listas!$A$2:$C$1048576,3,FALSE),""))</f>
        <v/>
      </c>
    </row>
    <row r="4132" spans="10:12" x14ac:dyDescent="0.25">
      <c r="J4132" t="str">
        <f>IF(H4132="","",IFERROR(VLOOKUP(H4132,Listas!$J$2:$K$1048576,2,FALSE),""))</f>
        <v/>
      </c>
      <c r="K4132" s="5" t="str">
        <f>IF(OR(I4132="",G4132=""),"",IF(G4132="Saída",-I4132,I4132))</f>
        <v/>
      </c>
      <c r="L4132" t="str">
        <f>IF(E4132="","",IFERROR(VLOOKUP(E4132,Listas!$A$2:$C$1048576,3,FALSE),""))</f>
        <v/>
      </c>
    </row>
    <row r="4133" spans="10:12" x14ac:dyDescent="0.25">
      <c r="J4133" t="str">
        <f>IF(H4133="","",IFERROR(VLOOKUP(H4133,Listas!$J$2:$K$1048576,2,FALSE),""))</f>
        <v/>
      </c>
      <c r="K4133" s="5" t="str">
        <f>IF(OR(I4133="",G4133=""),"",IF(G4133="Saída",-I4133,I4133))</f>
        <v/>
      </c>
      <c r="L4133" t="str">
        <f>IF(E4133="","",IFERROR(VLOOKUP(E4133,Listas!$A$2:$C$1048576,3,FALSE),""))</f>
        <v/>
      </c>
    </row>
    <row r="4134" spans="10:12" x14ac:dyDescent="0.25">
      <c r="J4134" t="str">
        <f>IF(H4134="","",IFERROR(VLOOKUP(H4134,Listas!$J$2:$K$1048576,2,FALSE),""))</f>
        <v/>
      </c>
      <c r="K4134" s="5" t="str">
        <f>IF(OR(I4134="",G4134=""),"",IF(G4134="Saída",-I4134,I4134))</f>
        <v/>
      </c>
      <c r="L4134" t="str">
        <f>IF(E4134="","",IFERROR(VLOOKUP(E4134,Listas!$A$2:$C$1048576,3,FALSE),""))</f>
        <v/>
      </c>
    </row>
    <row r="4135" spans="10:12" x14ac:dyDescent="0.25">
      <c r="J4135" t="str">
        <f>IF(H4135="","",IFERROR(VLOOKUP(H4135,Listas!$J$2:$K$1048576,2,FALSE),""))</f>
        <v/>
      </c>
      <c r="K4135" s="5" t="str">
        <f>IF(OR(I4135="",G4135=""),"",IF(G4135="Saída",-I4135,I4135))</f>
        <v/>
      </c>
      <c r="L4135" t="str">
        <f>IF(E4135="","",IFERROR(VLOOKUP(E4135,Listas!$A$2:$C$1048576,3,FALSE),""))</f>
        <v/>
      </c>
    </row>
    <row r="4136" spans="10:12" x14ac:dyDescent="0.25">
      <c r="J4136" t="str">
        <f>IF(H4136="","",IFERROR(VLOOKUP(H4136,Listas!$J$2:$K$1048576,2,FALSE),""))</f>
        <v/>
      </c>
      <c r="K4136" s="5" t="str">
        <f>IF(OR(I4136="",G4136=""),"",IF(G4136="Saída",-I4136,I4136))</f>
        <v/>
      </c>
      <c r="L4136" t="str">
        <f>IF(E4136="","",IFERROR(VLOOKUP(E4136,Listas!$A$2:$C$1048576,3,FALSE),""))</f>
        <v/>
      </c>
    </row>
    <row r="4137" spans="10:12" x14ac:dyDescent="0.25">
      <c r="J4137" t="str">
        <f>IF(H4137="","",IFERROR(VLOOKUP(H4137,Listas!$J$2:$K$1048576,2,FALSE),""))</f>
        <v/>
      </c>
      <c r="K4137" s="5" t="str">
        <f>IF(OR(I4137="",G4137=""),"",IF(G4137="Saída",-I4137,I4137))</f>
        <v/>
      </c>
      <c r="L4137" t="str">
        <f>IF(E4137="","",IFERROR(VLOOKUP(E4137,Listas!$A$2:$C$1048576,3,FALSE),""))</f>
        <v/>
      </c>
    </row>
    <row r="4138" spans="10:12" x14ac:dyDescent="0.25">
      <c r="J4138" t="str">
        <f>IF(H4138="","",IFERROR(VLOOKUP(H4138,Listas!$J$2:$K$1048576,2,FALSE),""))</f>
        <v/>
      </c>
      <c r="K4138" s="5" t="str">
        <f>IF(OR(I4138="",G4138=""),"",IF(G4138="Saída",-I4138,I4138))</f>
        <v/>
      </c>
      <c r="L4138" t="str">
        <f>IF(E4138="","",IFERROR(VLOOKUP(E4138,Listas!$A$2:$C$1048576,3,FALSE),""))</f>
        <v/>
      </c>
    </row>
    <row r="4139" spans="10:12" x14ac:dyDescent="0.25">
      <c r="J4139" t="str">
        <f>IF(H4139="","",IFERROR(VLOOKUP(H4139,Listas!$J$2:$K$1048576,2,FALSE),""))</f>
        <v/>
      </c>
      <c r="K4139" s="5" t="str">
        <f>IF(OR(I4139="",G4139=""),"",IF(G4139="Saída",-I4139,I4139))</f>
        <v/>
      </c>
      <c r="L4139" t="str">
        <f>IF(E4139="","",IFERROR(VLOOKUP(E4139,Listas!$A$2:$C$1048576,3,FALSE),""))</f>
        <v/>
      </c>
    </row>
    <row r="4140" spans="10:12" x14ac:dyDescent="0.25">
      <c r="J4140" t="str">
        <f>IF(H4140="","",IFERROR(VLOOKUP(H4140,Listas!$J$2:$K$1048576,2,FALSE),""))</f>
        <v/>
      </c>
      <c r="K4140" s="5" t="str">
        <f>IF(OR(I4140="",G4140=""),"",IF(G4140="Saída",-I4140,I4140))</f>
        <v/>
      </c>
      <c r="L4140" t="str">
        <f>IF(E4140="","",IFERROR(VLOOKUP(E4140,Listas!$A$2:$C$1048576,3,FALSE),""))</f>
        <v/>
      </c>
    </row>
    <row r="4141" spans="10:12" x14ac:dyDescent="0.25">
      <c r="J4141" t="str">
        <f>IF(H4141="","",IFERROR(VLOOKUP(H4141,Listas!$J$2:$K$1048576,2,FALSE),""))</f>
        <v/>
      </c>
      <c r="K4141" s="5" t="str">
        <f>IF(OR(I4141="",G4141=""),"",IF(G4141="Saída",-I4141,I4141))</f>
        <v/>
      </c>
      <c r="L4141" t="str">
        <f>IF(E4141="","",IFERROR(VLOOKUP(E4141,Listas!$A$2:$C$1048576,3,FALSE),""))</f>
        <v/>
      </c>
    </row>
    <row r="4142" spans="10:12" x14ac:dyDescent="0.25">
      <c r="J4142" t="str">
        <f>IF(H4142="","",IFERROR(VLOOKUP(H4142,Listas!$J$2:$K$1048576,2,FALSE),""))</f>
        <v/>
      </c>
      <c r="K4142" s="5" t="str">
        <f>IF(OR(I4142="",G4142=""),"",IF(G4142="Saída",-I4142,I4142))</f>
        <v/>
      </c>
      <c r="L4142" t="str">
        <f>IF(E4142="","",IFERROR(VLOOKUP(E4142,Listas!$A$2:$C$1048576,3,FALSE),""))</f>
        <v/>
      </c>
    </row>
    <row r="4143" spans="10:12" x14ac:dyDescent="0.25">
      <c r="J4143" t="str">
        <f>IF(H4143="","",IFERROR(VLOOKUP(H4143,Listas!$J$2:$K$1048576,2,FALSE),""))</f>
        <v/>
      </c>
      <c r="K4143" s="5" t="str">
        <f>IF(OR(I4143="",G4143=""),"",IF(G4143="Saída",-I4143,I4143))</f>
        <v/>
      </c>
      <c r="L4143" t="str">
        <f>IF(E4143="","",IFERROR(VLOOKUP(E4143,Listas!$A$2:$C$1048576,3,FALSE),""))</f>
        <v/>
      </c>
    </row>
    <row r="4144" spans="10:12" x14ac:dyDescent="0.25">
      <c r="J4144" t="str">
        <f>IF(H4144="","",IFERROR(VLOOKUP(H4144,Listas!$J$2:$K$1048576,2,FALSE),""))</f>
        <v/>
      </c>
      <c r="K4144" s="5" t="str">
        <f>IF(OR(I4144="",G4144=""),"",IF(G4144="Saída",-I4144,I4144))</f>
        <v/>
      </c>
      <c r="L4144" t="str">
        <f>IF(E4144="","",IFERROR(VLOOKUP(E4144,Listas!$A$2:$C$1048576,3,FALSE),""))</f>
        <v/>
      </c>
    </row>
    <row r="4145" spans="10:12" x14ac:dyDescent="0.25">
      <c r="J4145" t="str">
        <f>IF(H4145="","",IFERROR(VLOOKUP(H4145,Listas!$J$2:$K$1048576,2,FALSE),""))</f>
        <v/>
      </c>
      <c r="K4145" s="5" t="str">
        <f>IF(OR(I4145="",G4145=""),"",IF(G4145="Saída",-I4145,I4145))</f>
        <v/>
      </c>
      <c r="L4145" t="str">
        <f>IF(E4145="","",IFERROR(VLOOKUP(E4145,Listas!$A$2:$C$1048576,3,FALSE),""))</f>
        <v/>
      </c>
    </row>
    <row r="4146" spans="10:12" x14ac:dyDescent="0.25">
      <c r="J4146" t="str">
        <f>IF(H4146="","",IFERROR(VLOOKUP(H4146,Listas!$J$2:$K$1048576,2,FALSE),""))</f>
        <v/>
      </c>
      <c r="K4146" s="5" t="str">
        <f>IF(OR(I4146="",G4146=""),"",IF(G4146="Saída",-I4146,I4146))</f>
        <v/>
      </c>
      <c r="L4146" t="str">
        <f>IF(E4146="","",IFERROR(VLOOKUP(E4146,Listas!$A$2:$C$1048576,3,FALSE),""))</f>
        <v/>
      </c>
    </row>
    <row r="4147" spans="10:12" x14ac:dyDescent="0.25">
      <c r="J4147" t="str">
        <f>IF(H4147="","",IFERROR(VLOOKUP(H4147,Listas!$J$2:$K$1048576,2,FALSE),""))</f>
        <v/>
      </c>
      <c r="K4147" s="5" t="str">
        <f>IF(OR(I4147="",G4147=""),"",IF(G4147="Saída",-I4147,I4147))</f>
        <v/>
      </c>
      <c r="L4147" t="str">
        <f>IF(E4147="","",IFERROR(VLOOKUP(E4147,Listas!$A$2:$C$1048576,3,FALSE),""))</f>
        <v/>
      </c>
    </row>
    <row r="4148" spans="10:12" x14ac:dyDescent="0.25">
      <c r="J4148" t="str">
        <f>IF(H4148="","",IFERROR(VLOOKUP(H4148,Listas!$J$2:$K$1048576,2,FALSE),""))</f>
        <v/>
      </c>
      <c r="K4148" s="5" t="str">
        <f>IF(OR(I4148="",G4148=""),"",IF(G4148="Saída",-I4148,I4148))</f>
        <v/>
      </c>
      <c r="L4148" t="str">
        <f>IF(E4148="","",IFERROR(VLOOKUP(E4148,Listas!$A$2:$C$1048576,3,FALSE),""))</f>
        <v/>
      </c>
    </row>
    <row r="4149" spans="10:12" x14ac:dyDescent="0.25">
      <c r="J4149" t="str">
        <f>IF(H4149="","",IFERROR(VLOOKUP(H4149,Listas!$J$2:$K$1048576,2,FALSE),""))</f>
        <v/>
      </c>
      <c r="K4149" s="5" t="str">
        <f>IF(OR(I4149="",G4149=""),"",IF(G4149="Saída",-I4149,I4149))</f>
        <v/>
      </c>
      <c r="L4149" t="str">
        <f>IF(E4149="","",IFERROR(VLOOKUP(E4149,Listas!$A$2:$C$1048576,3,FALSE),""))</f>
        <v/>
      </c>
    </row>
    <row r="4150" spans="10:12" x14ac:dyDescent="0.25">
      <c r="J4150" t="str">
        <f>IF(H4150="","",IFERROR(VLOOKUP(H4150,Listas!$J$2:$K$1048576,2,FALSE),""))</f>
        <v/>
      </c>
      <c r="K4150" s="5" t="str">
        <f>IF(OR(I4150="",G4150=""),"",IF(G4150="Saída",-I4150,I4150))</f>
        <v/>
      </c>
      <c r="L4150" t="str">
        <f>IF(E4150="","",IFERROR(VLOOKUP(E4150,Listas!$A$2:$C$1048576,3,FALSE),""))</f>
        <v/>
      </c>
    </row>
    <row r="4151" spans="10:12" x14ac:dyDescent="0.25">
      <c r="J4151" t="str">
        <f>IF(H4151="","",IFERROR(VLOOKUP(H4151,Listas!$J$2:$K$1048576,2,FALSE),""))</f>
        <v/>
      </c>
      <c r="K4151" s="5" t="str">
        <f>IF(OR(I4151="",G4151=""),"",IF(G4151="Saída",-I4151,I4151))</f>
        <v/>
      </c>
      <c r="L4151" t="str">
        <f>IF(E4151="","",IFERROR(VLOOKUP(E4151,Listas!$A$2:$C$1048576,3,FALSE),""))</f>
        <v/>
      </c>
    </row>
    <row r="4152" spans="10:12" x14ac:dyDescent="0.25">
      <c r="J4152" t="str">
        <f>IF(H4152="","",IFERROR(VLOOKUP(H4152,Listas!$J$2:$K$1048576,2,FALSE),""))</f>
        <v/>
      </c>
      <c r="K4152" s="5" t="str">
        <f>IF(OR(I4152="",G4152=""),"",IF(G4152="Saída",-I4152,I4152))</f>
        <v/>
      </c>
      <c r="L4152" t="str">
        <f>IF(E4152="","",IFERROR(VLOOKUP(E4152,Listas!$A$2:$C$1048576,3,FALSE),""))</f>
        <v/>
      </c>
    </row>
    <row r="4153" spans="10:12" x14ac:dyDescent="0.25">
      <c r="J4153" t="str">
        <f>IF(H4153="","",IFERROR(VLOOKUP(H4153,Listas!$J$2:$K$1048576,2,FALSE),""))</f>
        <v/>
      </c>
      <c r="K4153" s="5" t="str">
        <f>IF(OR(I4153="",G4153=""),"",IF(G4153="Saída",-I4153,I4153))</f>
        <v/>
      </c>
      <c r="L4153" t="str">
        <f>IF(E4153="","",IFERROR(VLOOKUP(E4153,Listas!$A$2:$C$1048576,3,FALSE),""))</f>
        <v/>
      </c>
    </row>
    <row r="4154" spans="10:12" x14ac:dyDescent="0.25">
      <c r="J4154" t="str">
        <f>IF(H4154="","",IFERROR(VLOOKUP(H4154,Listas!$J$2:$K$1048576,2,FALSE),""))</f>
        <v/>
      </c>
      <c r="K4154" s="5" t="str">
        <f>IF(OR(I4154="",G4154=""),"",IF(G4154="Saída",-I4154,I4154))</f>
        <v/>
      </c>
      <c r="L4154" t="str">
        <f>IF(E4154="","",IFERROR(VLOOKUP(E4154,Listas!$A$2:$C$1048576,3,FALSE),""))</f>
        <v/>
      </c>
    </row>
    <row r="4155" spans="10:12" x14ac:dyDescent="0.25">
      <c r="J4155" t="str">
        <f>IF(H4155="","",IFERROR(VLOOKUP(H4155,Listas!$J$2:$K$1048576,2,FALSE),""))</f>
        <v/>
      </c>
      <c r="K4155" s="5" t="str">
        <f>IF(OR(I4155="",G4155=""),"",IF(G4155="Saída",-I4155,I4155))</f>
        <v/>
      </c>
      <c r="L4155" t="str">
        <f>IF(E4155="","",IFERROR(VLOOKUP(E4155,Listas!$A$2:$C$1048576,3,FALSE),""))</f>
        <v/>
      </c>
    </row>
    <row r="4156" spans="10:12" x14ac:dyDescent="0.25">
      <c r="J4156" t="str">
        <f>IF(H4156="","",IFERROR(VLOOKUP(H4156,Listas!$J$2:$K$1048576,2,FALSE),""))</f>
        <v/>
      </c>
      <c r="K4156" s="5" t="str">
        <f>IF(OR(I4156="",G4156=""),"",IF(G4156="Saída",-I4156,I4156))</f>
        <v/>
      </c>
      <c r="L4156" t="str">
        <f>IF(E4156="","",IFERROR(VLOOKUP(E4156,Listas!$A$2:$C$1048576,3,FALSE),""))</f>
        <v/>
      </c>
    </row>
    <row r="4157" spans="10:12" x14ac:dyDescent="0.25">
      <c r="J4157" t="str">
        <f>IF(H4157="","",IFERROR(VLOOKUP(H4157,Listas!$J$2:$K$1048576,2,FALSE),""))</f>
        <v/>
      </c>
      <c r="K4157" s="5" t="str">
        <f>IF(OR(I4157="",G4157=""),"",IF(G4157="Saída",-I4157,I4157))</f>
        <v/>
      </c>
      <c r="L4157" t="str">
        <f>IF(E4157="","",IFERROR(VLOOKUP(E4157,Listas!$A$2:$C$1048576,3,FALSE),""))</f>
        <v/>
      </c>
    </row>
    <row r="4158" spans="10:12" x14ac:dyDescent="0.25">
      <c r="J4158" t="str">
        <f>IF(H4158="","",IFERROR(VLOOKUP(H4158,Listas!$J$2:$K$1048576,2,FALSE),""))</f>
        <v/>
      </c>
      <c r="K4158" s="5" t="str">
        <f>IF(OR(I4158="",G4158=""),"",IF(G4158="Saída",-I4158,I4158))</f>
        <v/>
      </c>
      <c r="L4158" t="str">
        <f>IF(E4158="","",IFERROR(VLOOKUP(E4158,Listas!$A$2:$C$1048576,3,FALSE),""))</f>
        <v/>
      </c>
    </row>
    <row r="4159" spans="10:12" x14ac:dyDescent="0.25">
      <c r="J4159" t="str">
        <f>IF(H4159="","",IFERROR(VLOOKUP(H4159,Listas!$J$2:$K$1048576,2,FALSE),""))</f>
        <v/>
      </c>
      <c r="K4159" s="5" t="str">
        <f>IF(OR(I4159="",G4159=""),"",IF(G4159="Saída",-I4159,I4159))</f>
        <v/>
      </c>
      <c r="L4159" t="str">
        <f>IF(E4159="","",IFERROR(VLOOKUP(E4159,Listas!$A$2:$C$1048576,3,FALSE),""))</f>
        <v/>
      </c>
    </row>
    <row r="4160" spans="10:12" x14ac:dyDescent="0.25">
      <c r="J4160" t="str">
        <f>IF(H4160="","",IFERROR(VLOOKUP(H4160,Listas!$J$2:$K$1048576,2,FALSE),""))</f>
        <v/>
      </c>
      <c r="K4160" s="5" t="str">
        <f>IF(OR(I4160="",G4160=""),"",IF(G4160="Saída",-I4160,I4160))</f>
        <v/>
      </c>
      <c r="L4160" t="str">
        <f>IF(E4160="","",IFERROR(VLOOKUP(E4160,Listas!$A$2:$C$1048576,3,FALSE),""))</f>
        <v/>
      </c>
    </row>
    <row r="4161" spans="10:12" x14ac:dyDescent="0.25">
      <c r="J4161" t="str">
        <f>IF(H4161="","",IFERROR(VLOOKUP(H4161,Listas!$J$2:$K$1048576,2,FALSE),""))</f>
        <v/>
      </c>
      <c r="K4161" s="5" t="str">
        <f>IF(OR(I4161="",G4161=""),"",IF(G4161="Saída",-I4161,I4161))</f>
        <v/>
      </c>
      <c r="L4161" t="str">
        <f>IF(E4161="","",IFERROR(VLOOKUP(E4161,Listas!$A$2:$C$1048576,3,FALSE),""))</f>
        <v/>
      </c>
    </row>
    <row r="4162" spans="10:12" x14ac:dyDescent="0.25">
      <c r="J4162" t="str">
        <f>IF(H4162="","",IFERROR(VLOOKUP(H4162,Listas!$J$2:$K$1048576,2,FALSE),""))</f>
        <v/>
      </c>
      <c r="K4162" s="5" t="str">
        <f>IF(OR(I4162="",G4162=""),"",IF(G4162="Saída",-I4162,I4162))</f>
        <v/>
      </c>
      <c r="L4162" t="str">
        <f>IF(E4162="","",IFERROR(VLOOKUP(E4162,Listas!$A$2:$C$1048576,3,FALSE),""))</f>
        <v/>
      </c>
    </row>
    <row r="4163" spans="10:12" x14ac:dyDescent="0.25">
      <c r="J4163" t="str">
        <f>IF(H4163="","",IFERROR(VLOOKUP(H4163,Listas!$J$2:$K$1048576,2,FALSE),""))</f>
        <v/>
      </c>
      <c r="K4163" s="5" t="str">
        <f>IF(OR(I4163="",G4163=""),"",IF(G4163="Saída",-I4163,I4163))</f>
        <v/>
      </c>
      <c r="L4163" t="str">
        <f>IF(E4163="","",IFERROR(VLOOKUP(E4163,Listas!$A$2:$C$1048576,3,FALSE),""))</f>
        <v/>
      </c>
    </row>
    <row r="4164" spans="10:12" x14ac:dyDescent="0.25">
      <c r="J4164" t="str">
        <f>IF(H4164="","",IFERROR(VLOOKUP(H4164,Listas!$J$2:$K$1048576,2,FALSE),""))</f>
        <v/>
      </c>
      <c r="K4164" s="5" t="str">
        <f>IF(OR(I4164="",G4164=""),"",IF(G4164="Saída",-I4164,I4164))</f>
        <v/>
      </c>
      <c r="L4164" t="str">
        <f>IF(E4164="","",IFERROR(VLOOKUP(E4164,Listas!$A$2:$C$1048576,3,FALSE),""))</f>
        <v/>
      </c>
    </row>
    <row r="4165" spans="10:12" x14ac:dyDescent="0.25">
      <c r="J4165" t="str">
        <f>IF(H4165="","",IFERROR(VLOOKUP(H4165,Listas!$J$2:$K$1048576,2,FALSE),""))</f>
        <v/>
      </c>
      <c r="K4165" s="5" t="str">
        <f>IF(OR(I4165="",G4165=""),"",IF(G4165="Saída",-I4165,I4165))</f>
        <v/>
      </c>
      <c r="L4165" t="str">
        <f>IF(E4165="","",IFERROR(VLOOKUP(E4165,Listas!$A$2:$C$1048576,3,FALSE),""))</f>
        <v/>
      </c>
    </row>
    <row r="4166" spans="10:12" x14ac:dyDescent="0.25">
      <c r="J4166" t="str">
        <f>IF(H4166="","",IFERROR(VLOOKUP(H4166,Listas!$J$2:$K$1048576,2,FALSE),""))</f>
        <v/>
      </c>
      <c r="K4166" s="5" t="str">
        <f>IF(OR(I4166="",G4166=""),"",IF(G4166="Saída",-I4166,I4166))</f>
        <v/>
      </c>
      <c r="L4166" t="str">
        <f>IF(E4166="","",IFERROR(VLOOKUP(E4166,Listas!$A$2:$C$1048576,3,FALSE),""))</f>
        <v/>
      </c>
    </row>
    <row r="4167" spans="10:12" x14ac:dyDescent="0.25">
      <c r="J4167" t="str">
        <f>IF(H4167="","",IFERROR(VLOOKUP(H4167,Listas!$J$2:$K$1048576,2,FALSE),""))</f>
        <v/>
      </c>
      <c r="K4167" s="5" t="str">
        <f>IF(OR(I4167="",G4167=""),"",IF(G4167="Saída",-I4167,I4167))</f>
        <v/>
      </c>
      <c r="L4167" t="str">
        <f>IF(E4167="","",IFERROR(VLOOKUP(E4167,Listas!$A$2:$C$1048576,3,FALSE),""))</f>
        <v/>
      </c>
    </row>
    <row r="4168" spans="10:12" x14ac:dyDescent="0.25">
      <c r="J4168" t="str">
        <f>IF(H4168="","",IFERROR(VLOOKUP(H4168,Listas!$J$2:$K$1048576,2,FALSE),""))</f>
        <v/>
      </c>
      <c r="K4168" s="5" t="str">
        <f>IF(OR(I4168="",G4168=""),"",IF(G4168="Saída",-I4168,I4168))</f>
        <v/>
      </c>
      <c r="L4168" t="str">
        <f>IF(E4168="","",IFERROR(VLOOKUP(E4168,Listas!$A$2:$C$1048576,3,FALSE),""))</f>
        <v/>
      </c>
    </row>
    <row r="4169" spans="10:12" x14ac:dyDescent="0.25">
      <c r="J4169" t="str">
        <f>IF(H4169="","",IFERROR(VLOOKUP(H4169,Listas!$J$2:$K$1048576,2,FALSE),""))</f>
        <v/>
      </c>
      <c r="K4169" s="5" t="str">
        <f>IF(OR(I4169="",G4169=""),"",IF(G4169="Saída",-I4169,I4169))</f>
        <v/>
      </c>
      <c r="L4169" t="str">
        <f>IF(E4169="","",IFERROR(VLOOKUP(E4169,Listas!$A$2:$C$1048576,3,FALSE),""))</f>
        <v/>
      </c>
    </row>
    <row r="4170" spans="10:12" x14ac:dyDescent="0.25">
      <c r="J4170" t="str">
        <f>IF(H4170="","",IFERROR(VLOOKUP(H4170,Listas!$J$2:$K$1048576,2,FALSE),""))</f>
        <v/>
      </c>
      <c r="K4170" s="5" t="str">
        <f>IF(OR(I4170="",G4170=""),"",IF(G4170="Saída",-I4170,I4170))</f>
        <v/>
      </c>
      <c r="L4170" t="str">
        <f>IF(E4170="","",IFERROR(VLOOKUP(E4170,Listas!$A$2:$C$1048576,3,FALSE),""))</f>
        <v/>
      </c>
    </row>
    <row r="4171" spans="10:12" x14ac:dyDescent="0.25">
      <c r="J4171" t="str">
        <f>IF(H4171="","",IFERROR(VLOOKUP(H4171,Listas!$J$2:$K$1048576,2,FALSE),""))</f>
        <v/>
      </c>
      <c r="K4171" s="5" t="str">
        <f>IF(OR(I4171="",G4171=""),"",IF(G4171="Saída",-I4171,I4171))</f>
        <v/>
      </c>
      <c r="L4171" t="str">
        <f>IF(E4171="","",IFERROR(VLOOKUP(E4171,Listas!$A$2:$C$1048576,3,FALSE),""))</f>
        <v/>
      </c>
    </row>
    <row r="4172" spans="10:12" x14ac:dyDescent="0.25">
      <c r="J4172" t="str">
        <f>IF(H4172="","",IFERROR(VLOOKUP(H4172,Listas!$J$2:$K$1048576,2,FALSE),""))</f>
        <v/>
      </c>
      <c r="K4172" s="5" t="str">
        <f>IF(OR(I4172="",G4172=""),"",IF(G4172="Saída",-I4172,I4172))</f>
        <v/>
      </c>
      <c r="L4172" t="str">
        <f>IF(E4172="","",IFERROR(VLOOKUP(E4172,Listas!$A$2:$C$1048576,3,FALSE),""))</f>
        <v/>
      </c>
    </row>
    <row r="4173" spans="10:12" x14ac:dyDescent="0.25">
      <c r="J4173" t="str">
        <f>IF(H4173="","",IFERROR(VLOOKUP(H4173,Listas!$J$2:$K$1048576,2,FALSE),""))</f>
        <v/>
      </c>
      <c r="K4173" s="5" t="str">
        <f>IF(OR(I4173="",G4173=""),"",IF(G4173="Saída",-I4173,I4173))</f>
        <v/>
      </c>
      <c r="L4173" t="str">
        <f>IF(E4173="","",IFERROR(VLOOKUP(E4173,Listas!$A$2:$C$1048576,3,FALSE),""))</f>
        <v/>
      </c>
    </row>
    <row r="4174" spans="10:12" x14ac:dyDescent="0.25">
      <c r="J4174" t="str">
        <f>IF(H4174="","",IFERROR(VLOOKUP(H4174,Listas!$J$2:$K$1048576,2,FALSE),""))</f>
        <v/>
      </c>
      <c r="K4174" s="5" t="str">
        <f>IF(OR(I4174="",G4174=""),"",IF(G4174="Saída",-I4174,I4174))</f>
        <v/>
      </c>
      <c r="L4174" t="str">
        <f>IF(E4174="","",IFERROR(VLOOKUP(E4174,Listas!$A$2:$C$1048576,3,FALSE),""))</f>
        <v/>
      </c>
    </row>
    <row r="4175" spans="10:12" x14ac:dyDescent="0.25">
      <c r="J4175" t="str">
        <f>IF(H4175="","",IFERROR(VLOOKUP(H4175,Listas!$J$2:$K$1048576,2,FALSE),""))</f>
        <v/>
      </c>
      <c r="K4175" s="5" t="str">
        <f>IF(OR(I4175="",G4175=""),"",IF(G4175="Saída",-I4175,I4175))</f>
        <v/>
      </c>
      <c r="L4175" t="str">
        <f>IF(E4175="","",IFERROR(VLOOKUP(E4175,Listas!$A$2:$C$1048576,3,FALSE),""))</f>
        <v/>
      </c>
    </row>
    <row r="4176" spans="10:12" x14ac:dyDescent="0.25">
      <c r="J4176" t="str">
        <f>IF(H4176="","",IFERROR(VLOOKUP(H4176,Listas!$J$2:$K$1048576,2,FALSE),""))</f>
        <v/>
      </c>
      <c r="K4176" s="5" t="str">
        <f>IF(OR(I4176="",G4176=""),"",IF(G4176="Saída",-I4176,I4176))</f>
        <v/>
      </c>
      <c r="L4176" t="str">
        <f>IF(E4176="","",IFERROR(VLOOKUP(E4176,Listas!$A$2:$C$1048576,3,FALSE),""))</f>
        <v/>
      </c>
    </row>
    <row r="4177" spans="10:12" x14ac:dyDescent="0.25">
      <c r="J4177" t="str">
        <f>IF(H4177="","",IFERROR(VLOOKUP(H4177,Listas!$J$2:$K$1048576,2,FALSE),""))</f>
        <v/>
      </c>
      <c r="K4177" s="5" t="str">
        <f>IF(OR(I4177="",G4177=""),"",IF(G4177="Saída",-I4177,I4177))</f>
        <v/>
      </c>
      <c r="L4177" t="str">
        <f>IF(E4177="","",IFERROR(VLOOKUP(E4177,Listas!$A$2:$C$1048576,3,FALSE),""))</f>
        <v/>
      </c>
    </row>
    <row r="4178" spans="10:12" x14ac:dyDescent="0.25">
      <c r="J4178" t="str">
        <f>IF(H4178="","",IFERROR(VLOOKUP(H4178,Listas!$J$2:$K$1048576,2,FALSE),""))</f>
        <v/>
      </c>
      <c r="K4178" s="5" t="str">
        <f>IF(OR(I4178="",G4178=""),"",IF(G4178="Saída",-I4178,I4178))</f>
        <v/>
      </c>
      <c r="L4178" t="str">
        <f>IF(E4178="","",IFERROR(VLOOKUP(E4178,Listas!$A$2:$C$1048576,3,FALSE),""))</f>
        <v/>
      </c>
    </row>
    <row r="4179" spans="10:12" x14ac:dyDescent="0.25">
      <c r="J4179" t="str">
        <f>IF(H4179="","",IFERROR(VLOOKUP(H4179,Listas!$J$2:$K$1048576,2,FALSE),""))</f>
        <v/>
      </c>
      <c r="K4179" s="5" t="str">
        <f>IF(OR(I4179="",G4179=""),"",IF(G4179="Saída",-I4179,I4179))</f>
        <v/>
      </c>
      <c r="L4179" t="str">
        <f>IF(E4179="","",IFERROR(VLOOKUP(E4179,Listas!$A$2:$C$1048576,3,FALSE),""))</f>
        <v/>
      </c>
    </row>
    <row r="4180" spans="10:12" x14ac:dyDescent="0.25">
      <c r="J4180" t="str">
        <f>IF(H4180="","",IFERROR(VLOOKUP(H4180,Listas!$J$2:$K$1048576,2,FALSE),""))</f>
        <v/>
      </c>
      <c r="K4180" s="5" t="str">
        <f>IF(OR(I4180="",G4180=""),"",IF(G4180="Saída",-I4180,I4180))</f>
        <v/>
      </c>
      <c r="L4180" t="str">
        <f>IF(E4180="","",IFERROR(VLOOKUP(E4180,Listas!$A$2:$C$1048576,3,FALSE),""))</f>
        <v/>
      </c>
    </row>
    <row r="4181" spans="10:12" x14ac:dyDescent="0.25">
      <c r="J4181" t="str">
        <f>IF(H4181="","",IFERROR(VLOOKUP(H4181,Listas!$J$2:$K$1048576,2,FALSE),""))</f>
        <v/>
      </c>
      <c r="K4181" s="5" t="str">
        <f>IF(OR(I4181="",G4181=""),"",IF(G4181="Saída",-I4181,I4181))</f>
        <v/>
      </c>
      <c r="L4181" t="str">
        <f>IF(E4181="","",IFERROR(VLOOKUP(E4181,Listas!$A$2:$C$1048576,3,FALSE),""))</f>
        <v/>
      </c>
    </row>
    <row r="4182" spans="10:12" x14ac:dyDescent="0.25">
      <c r="J4182" t="str">
        <f>IF(H4182="","",IFERROR(VLOOKUP(H4182,Listas!$J$2:$K$1048576,2,FALSE),""))</f>
        <v/>
      </c>
      <c r="K4182" s="5" t="str">
        <f>IF(OR(I4182="",G4182=""),"",IF(G4182="Saída",-I4182,I4182))</f>
        <v/>
      </c>
      <c r="L4182" t="str">
        <f>IF(E4182="","",IFERROR(VLOOKUP(E4182,Listas!$A$2:$C$1048576,3,FALSE),""))</f>
        <v/>
      </c>
    </row>
    <row r="4183" spans="10:12" x14ac:dyDescent="0.25">
      <c r="J4183" t="str">
        <f>IF(H4183="","",IFERROR(VLOOKUP(H4183,Listas!$J$2:$K$1048576,2,FALSE),""))</f>
        <v/>
      </c>
      <c r="K4183" s="5" t="str">
        <f>IF(OR(I4183="",G4183=""),"",IF(G4183="Saída",-I4183,I4183))</f>
        <v/>
      </c>
      <c r="L4183" t="str">
        <f>IF(E4183="","",IFERROR(VLOOKUP(E4183,Listas!$A$2:$C$1048576,3,FALSE),""))</f>
        <v/>
      </c>
    </row>
    <row r="4184" spans="10:12" x14ac:dyDescent="0.25">
      <c r="J4184" t="str">
        <f>IF(H4184="","",IFERROR(VLOOKUP(H4184,Listas!$J$2:$K$1048576,2,FALSE),""))</f>
        <v/>
      </c>
      <c r="K4184" s="5" t="str">
        <f>IF(OR(I4184="",G4184=""),"",IF(G4184="Saída",-I4184,I4184))</f>
        <v/>
      </c>
      <c r="L4184" t="str">
        <f>IF(E4184="","",IFERROR(VLOOKUP(E4184,Listas!$A$2:$C$1048576,3,FALSE),""))</f>
        <v/>
      </c>
    </row>
    <row r="4185" spans="10:12" x14ac:dyDescent="0.25">
      <c r="J4185" t="str">
        <f>IF(H4185="","",IFERROR(VLOOKUP(H4185,Listas!$J$2:$K$1048576,2,FALSE),""))</f>
        <v/>
      </c>
      <c r="K4185" s="5" t="str">
        <f>IF(OR(I4185="",G4185=""),"",IF(G4185="Saída",-I4185,I4185))</f>
        <v/>
      </c>
      <c r="L4185" t="str">
        <f>IF(E4185="","",IFERROR(VLOOKUP(E4185,Listas!$A$2:$C$1048576,3,FALSE),""))</f>
        <v/>
      </c>
    </row>
    <row r="4186" spans="10:12" x14ac:dyDescent="0.25">
      <c r="J4186" t="str">
        <f>IF(H4186="","",IFERROR(VLOOKUP(H4186,Listas!$J$2:$K$1048576,2,FALSE),""))</f>
        <v/>
      </c>
      <c r="K4186" s="5" t="str">
        <f>IF(OR(I4186="",G4186=""),"",IF(G4186="Saída",-I4186,I4186))</f>
        <v/>
      </c>
      <c r="L4186" t="str">
        <f>IF(E4186="","",IFERROR(VLOOKUP(E4186,Listas!$A$2:$C$1048576,3,FALSE),""))</f>
        <v/>
      </c>
    </row>
    <row r="4187" spans="10:12" x14ac:dyDescent="0.25">
      <c r="J4187" t="str">
        <f>IF(H4187="","",IFERROR(VLOOKUP(H4187,Listas!$J$2:$K$1048576,2,FALSE),""))</f>
        <v/>
      </c>
      <c r="K4187" s="5" t="str">
        <f>IF(OR(I4187="",G4187=""),"",IF(G4187="Saída",-I4187,I4187))</f>
        <v/>
      </c>
      <c r="L4187" t="str">
        <f>IF(E4187="","",IFERROR(VLOOKUP(E4187,Listas!$A$2:$C$1048576,3,FALSE),""))</f>
        <v/>
      </c>
    </row>
    <row r="4188" spans="10:12" x14ac:dyDescent="0.25">
      <c r="J4188" t="str">
        <f>IF(H4188="","",IFERROR(VLOOKUP(H4188,Listas!$J$2:$K$1048576,2,FALSE),""))</f>
        <v/>
      </c>
      <c r="K4188" s="5" t="str">
        <f>IF(OR(I4188="",G4188=""),"",IF(G4188="Saída",-I4188,I4188))</f>
        <v/>
      </c>
      <c r="L4188" t="str">
        <f>IF(E4188="","",IFERROR(VLOOKUP(E4188,Listas!$A$2:$C$1048576,3,FALSE),""))</f>
        <v/>
      </c>
    </row>
    <row r="4189" spans="10:12" x14ac:dyDescent="0.25">
      <c r="J4189" t="str">
        <f>IF(H4189="","",IFERROR(VLOOKUP(H4189,Listas!$J$2:$K$1048576,2,FALSE),""))</f>
        <v/>
      </c>
      <c r="K4189" s="5" t="str">
        <f>IF(OR(I4189="",G4189=""),"",IF(G4189="Saída",-I4189,I4189))</f>
        <v/>
      </c>
      <c r="L4189" t="str">
        <f>IF(E4189="","",IFERROR(VLOOKUP(E4189,Listas!$A$2:$C$1048576,3,FALSE),""))</f>
        <v/>
      </c>
    </row>
    <row r="4190" spans="10:12" x14ac:dyDescent="0.25">
      <c r="J4190" t="str">
        <f>IF(H4190="","",IFERROR(VLOOKUP(H4190,Listas!$J$2:$K$1048576,2,FALSE),""))</f>
        <v/>
      </c>
      <c r="K4190" s="5" t="str">
        <f>IF(OR(I4190="",G4190=""),"",IF(G4190="Saída",-I4190,I4190))</f>
        <v/>
      </c>
      <c r="L4190" t="str">
        <f>IF(E4190="","",IFERROR(VLOOKUP(E4190,Listas!$A$2:$C$1048576,3,FALSE),""))</f>
        <v/>
      </c>
    </row>
    <row r="4191" spans="10:12" x14ac:dyDescent="0.25">
      <c r="J4191" t="str">
        <f>IF(H4191="","",IFERROR(VLOOKUP(H4191,Listas!$J$2:$K$1048576,2,FALSE),""))</f>
        <v/>
      </c>
      <c r="K4191" s="5" t="str">
        <f>IF(OR(I4191="",G4191=""),"",IF(G4191="Saída",-I4191,I4191))</f>
        <v/>
      </c>
      <c r="L4191" t="str">
        <f>IF(E4191="","",IFERROR(VLOOKUP(E4191,Listas!$A$2:$C$1048576,3,FALSE),""))</f>
        <v/>
      </c>
    </row>
    <row r="4192" spans="10:12" x14ac:dyDescent="0.25">
      <c r="J4192" t="str">
        <f>IF(H4192="","",IFERROR(VLOOKUP(H4192,Listas!$J$2:$K$1048576,2,FALSE),""))</f>
        <v/>
      </c>
      <c r="K4192" s="5" t="str">
        <f>IF(OR(I4192="",G4192=""),"",IF(G4192="Saída",-I4192,I4192))</f>
        <v/>
      </c>
      <c r="L4192" t="str">
        <f>IF(E4192="","",IFERROR(VLOOKUP(E4192,Listas!$A$2:$C$1048576,3,FALSE),""))</f>
        <v/>
      </c>
    </row>
    <row r="4193" spans="10:12" x14ac:dyDescent="0.25">
      <c r="J4193" t="str">
        <f>IF(H4193="","",IFERROR(VLOOKUP(H4193,Listas!$J$2:$K$1048576,2,FALSE),""))</f>
        <v/>
      </c>
      <c r="K4193" s="5" t="str">
        <f>IF(OR(I4193="",G4193=""),"",IF(G4193="Saída",-I4193,I4193))</f>
        <v/>
      </c>
      <c r="L4193" t="str">
        <f>IF(E4193="","",IFERROR(VLOOKUP(E4193,Listas!$A$2:$C$1048576,3,FALSE),""))</f>
        <v/>
      </c>
    </row>
    <row r="4194" spans="10:12" x14ac:dyDescent="0.25">
      <c r="J4194" t="str">
        <f>IF(H4194="","",IFERROR(VLOOKUP(H4194,Listas!$J$2:$K$1048576,2,FALSE),""))</f>
        <v/>
      </c>
      <c r="K4194" s="5" t="str">
        <f>IF(OR(I4194="",G4194=""),"",IF(G4194="Saída",-I4194,I4194))</f>
        <v/>
      </c>
      <c r="L4194" t="str">
        <f>IF(E4194="","",IFERROR(VLOOKUP(E4194,Listas!$A$2:$C$1048576,3,FALSE),""))</f>
        <v/>
      </c>
    </row>
    <row r="4195" spans="10:12" x14ac:dyDescent="0.25">
      <c r="J4195" t="str">
        <f>IF(H4195="","",IFERROR(VLOOKUP(H4195,Listas!$J$2:$K$1048576,2,FALSE),""))</f>
        <v/>
      </c>
      <c r="K4195" s="5" t="str">
        <f>IF(OR(I4195="",G4195=""),"",IF(G4195="Saída",-I4195,I4195))</f>
        <v/>
      </c>
      <c r="L4195" t="str">
        <f>IF(E4195="","",IFERROR(VLOOKUP(E4195,Listas!$A$2:$C$1048576,3,FALSE),""))</f>
        <v/>
      </c>
    </row>
    <row r="4196" spans="10:12" x14ac:dyDescent="0.25">
      <c r="J4196" t="str">
        <f>IF(H4196="","",IFERROR(VLOOKUP(H4196,Listas!$J$2:$K$1048576,2,FALSE),""))</f>
        <v/>
      </c>
      <c r="K4196" s="5" t="str">
        <f>IF(OR(I4196="",G4196=""),"",IF(G4196="Saída",-I4196,I4196))</f>
        <v/>
      </c>
      <c r="L4196" t="str">
        <f>IF(E4196="","",IFERROR(VLOOKUP(E4196,Listas!$A$2:$C$1048576,3,FALSE),""))</f>
        <v/>
      </c>
    </row>
    <row r="4197" spans="10:12" x14ac:dyDescent="0.25">
      <c r="J4197" t="str">
        <f>IF(H4197="","",IFERROR(VLOOKUP(H4197,Listas!$J$2:$K$1048576,2,FALSE),""))</f>
        <v/>
      </c>
      <c r="K4197" s="5" t="str">
        <f>IF(OR(I4197="",G4197=""),"",IF(G4197="Saída",-I4197,I4197))</f>
        <v/>
      </c>
      <c r="L4197" t="str">
        <f>IF(E4197="","",IFERROR(VLOOKUP(E4197,Listas!$A$2:$C$1048576,3,FALSE),""))</f>
        <v/>
      </c>
    </row>
    <row r="4198" spans="10:12" x14ac:dyDescent="0.25">
      <c r="J4198" t="str">
        <f>IF(H4198="","",IFERROR(VLOOKUP(H4198,Listas!$J$2:$K$1048576,2,FALSE),""))</f>
        <v/>
      </c>
      <c r="K4198" s="5" t="str">
        <f>IF(OR(I4198="",G4198=""),"",IF(G4198="Saída",-I4198,I4198))</f>
        <v/>
      </c>
      <c r="L4198" t="str">
        <f>IF(E4198="","",IFERROR(VLOOKUP(E4198,Listas!$A$2:$C$1048576,3,FALSE),""))</f>
        <v/>
      </c>
    </row>
    <row r="4199" spans="10:12" x14ac:dyDescent="0.25">
      <c r="J4199" t="str">
        <f>IF(H4199="","",IFERROR(VLOOKUP(H4199,Listas!$J$2:$K$1048576,2,FALSE),""))</f>
        <v/>
      </c>
      <c r="K4199" s="5" t="str">
        <f>IF(OR(I4199="",G4199=""),"",IF(G4199="Saída",-I4199,I4199))</f>
        <v/>
      </c>
      <c r="L4199" t="str">
        <f>IF(E4199="","",IFERROR(VLOOKUP(E4199,Listas!$A$2:$C$1048576,3,FALSE),""))</f>
        <v/>
      </c>
    </row>
    <row r="4200" spans="10:12" x14ac:dyDescent="0.25">
      <c r="J4200" t="str">
        <f>IF(H4200="","",IFERROR(VLOOKUP(H4200,Listas!$J$2:$K$1048576,2,FALSE),""))</f>
        <v/>
      </c>
      <c r="K4200" s="5" t="str">
        <f>IF(OR(I4200="",G4200=""),"",IF(G4200="Saída",-I4200,I4200))</f>
        <v/>
      </c>
      <c r="L4200" t="str">
        <f>IF(E4200="","",IFERROR(VLOOKUP(E4200,Listas!$A$2:$C$1048576,3,FALSE),""))</f>
        <v/>
      </c>
    </row>
    <row r="4201" spans="10:12" x14ac:dyDescent="0.25">
      <c r="J4201" t="str">
        <f>IF(H4201="","",IFERROR(VLOOKUP(H4201,Listas!$J$2:$K$1048576,2,FALSE),""))</f>
        <v/>
      </c>
      <c r="K4201" s="5" t="str">
        <f>IF(OR(I4201="",G4201=""),"",IF(G4201="Saída",-I4201,I4201))</f>
        <v/>
      </c>
      <c r="L4201" t="str">
        <f>IF(E4201="","",IFERROR(VLOOKUP(E4201,Listas!$A$2:$C$1048576,3,FALSE),""))</f>
        <v/>
      </c>
    </row>
    <row r="4202" spans="10:12" x14ac:dyDescent="0.25">
      <c r="J4202" t="str">
        <f>IF(H4202="","",IFERROR(VLOOKUP(H4202,Listas!$J$2:$K$1048576,2,FALSE),""))</f>
        <v/>
      </c>
      <c r="K4202" s="5" t="str">
        <f>IF(OR(I4202="",G4202=""),"",IF(G4202="Saída",-I4202,I4202))</f>
        <v/>
      </c>
      <c r="L4202" t="str">
        <f>IF(E4202="","",IFERROR(VLOOKUP(E4202,Listas!$A$2:$C$1048576,3,FALSE),""))</f>
        <v/>
      </c>
    </row>
    <row r="4203" spans="10:12" x14ac:dyDescent="0.25">
      <c r="J4203" t="str">
        <f>IF(H4203="","",IFERROR(VLOOKUP(H4203,Listas!$J$2:$K$1048576,2,FALSE),""))</f>
        <v/>
      </c>
      <c r="K4203" s="5" t="str">
        <f>IF(OR(I4203="",G4203=""),"",IF(G4203="Saída",-I4203,I4203))</f>
        <v/>
      </c>
      <c r="L4203" t="str">
        <f>IF(E4203="","",IFERROR(VLOOKUP(E4203,Listas!$A$2:$C$1048576,3,FALSE),""))</f>
        <v/>
      </c>
    </row>
    <row r="4204" spans="10:12" x14ac:dyDescent="0.25">
      <c r="J4204" t="str">
        <f>IF(H4204="","",IFERROR(VLOOKUP(H4204,Listas!$J$2:$K$1048576,2,FALSE),""))</f>
        <v/>
      </c>
      <c r="K4204" s="5" t="str">
        <f>IF(OR(I4204="",G4204=""),"",IF(G4204="Saída",-I4204,I4204))</f>
        <v/>
      </c>
      <c r="L4204" t="str">
        <f>IF(E4204="","",IFERROR(VLOOKUP(E4204,Listas!$A$2:$C$1048576,3,FALSE),""))</f>
        <v/>
      </c>
    </row>
    <row r="4205" spans="10:12" x14ac:dyDescent="0.25">
      <c r="J4205" t="str">
        <f>IF(H4205="","",IFERROR(VLOOKUP(H4205,Listas!$J$2:$K$1048576,2,FALSE),""))</f>
        <v/>
      </c>
      <c r="K4205" s="5" t="str">
        <f>IF(OR(I4205="",G4205=""),"",IF(G4205="Saída",-I4205,I4205))</f>
        <v/>
      </c>
      <c r="L4205" t="str">
        <f>IF(E4205="","",IFERROR(VLOOKUP(E4205,Listas!$A$2:$C$1048576,3,FALSE),""))</f>
        <v/>
      </c>
    </row>
    <row r="4206" spans="10:12" x14ac:dyDescent="0.25">
      <c r="J4206" t="str">
        <f>IF(H4206="","",IFERROR(VLOOKUP(H4206,Listas!$J$2:$K$1048576,2,FALSE),""))</f>
        <v/>
      </c>
      <c r="K4206" s="5" t="str">
        <f>IF(OR(I4206="",G4206=""),"",IF(G4206="Saída",-I4206,I4206))</f>
        <v/>
      </c>
      <c r="L4206" t="str">
        <f>IF(E4206="","",IFERROR(VLOOKUP(E4206,Listas!$A$2:$C$1048576,3,FALSE),""))</f>
        <v/>
      </c>
    </row>
    <row r="4207" spans="10:12" x14ac:dyDescent="0.25">
      <c r="J4207" t="str">
        <f>IF(H4207="","",IFERROR(VLOOKUP(H4207,Listas!$J$2:$K$1048576,2,FALSE),""))</f>
        <v/>
      </c>
      <c r="K4207" s="5" t="str">
        <f>IF(OR(I4207="",G4207=""),"",IF(G4207="Saída",-I4207,I4207))</f>
        <v/>
      </c>
      <c r="L4207" t="str">
        <f>IF(E4207="","",IFERROR(VLOOKUP(E4207,Listas!$A$2:$C$1048576,3,FALSE),""))</f>
        <v/>
      </c>
    </row>
    <row r="4208" spans="10:12" x14ac:dyDescent="0.25">
      <c r="J4208" t="str">
        <f>IF(H4208="","",IFERROR(VLOOKUP(H4208,Listas!$J$2:$K$1048576,2,FALSE),""))</f>
        <v/>
      </c>
      <c r="K4208" s="5" t="str">
        <f>IF(OR(I4208="",G4208=""),"",IF(G4208="Saída",-I4208,I4208))</f>
        <v/>
      </c>
      <c r="L4208" t="str">
        <f>IF(E4208="","",IFERROR(VLOOKUP(E4208,Listas!$A$2:$C$1048576,3,FALSE),""))</f>
        <v/>
      </c>
    </row>
    <row r="4209" spans="10:12" x14ac:dyDescent="0.25">
      <c r="J4209" t="str">
        <f>IF(H4209="","",IFERROR(VLOOKUP(H4209,Listas!$J$2:$K$1048576,2,FALSE),""))</f>
        <v/>
      </c>
      <c r="K4209" s="5" t="str">
        <f>IF(OR(I4209="",G4209=""),"",IF(G4209="Saída",-I4209,I4209))</f>
        <v/>
      </c>
      <c r="L4209" t="str">
        <f>IF(E4209="","",IFERROR(VLOOKUP(E4209,Listas!$A$2:$C$1048576,3,FALSE),""))</f>
        <v/>
      </c>
    </row>
    <row r="4210" spans="10:12" x14ac:dyDescent="0.25">
      <c r="J4210" t="str">
        <f>IF(H4210="","",IFERROR(VLOOKUP(H4210,Listas!$J$2:$K$1048576,2,FALSE),""))</f>
        <v/>
      </c>
      <c r="K4210" s="5" t="str">
        <f>IF(OR(I4210="",G4210=""),"",IF(G4210="Saída",-I4210,I4210))</f>
        <v/>
      </c>
      <c r="L4210" t="str">
        <f>IF(E4210="","",IFERROR(VLOOKUP(E4210,Listas!$A$2:$C$1048576,3,FALSE),""))</f>
        <v/>
      </c>
    </row>
    <row r="4211" spans="10:12" x14ac:dyDescent="0.25">
      <c r="J4211" t="str">
        <f>IF(H4211="","",IFERROR(VLOOKUP(H4211,Listas!$J$2:$K$1048576,2,FALSE),""))</f>
        <v/>
      </c>
      <c r="K4211" s="5" t="str">
        <f>IF(OR(I4211="",G4211=""),"",IF(G4211="Saída",-I4211,I4211))</f>
        <v/>
      </c>
      <c r="L4211" t="str">
        <f>IF(E4211="","",IFERROR(VLOOKUP(E4211,Listas!$A$2:$C$1048576,3,FALSE),""))</f>
        <v/>
      </c>
    </row>
    <row r="4212" spans="10:12" x14ac:dyDescent="0.25">
      <c r="J4212" t="str">
        <f>IF(H4212="","",IFERROR(VLOOKUP(H4212,Listas!$J$2:$K$1048576,2,FALSE),""))</f>
        <v/>
      </c>
      <c r="K4212" s="5" t="str">
        <f>IF(OR(I4212="",G4212=""),"",IF(G4212="Saída",-I4212,I4212))</f>
        <v/>
      </c>
      <c r="L4212" t="str">
        <f>IF(E4212="","",IFERROR(VLOOKUP(E4212,Listas!$A$2:$C$1048576,3,FALSE),""))</f>
        <v/>
      </c>
    </row>
    <row r="4213" spans="10:12" x14ac:dyDescent="0.25">
      <c r="J4213" t="str">
        <f>IF(H4213="","",IFERROR(VLOOKUP(H4213,Listas!$J$2:$K$1048576,2,FALSE),""))</f>
        <v/>
      </c>
      <c r="K4213" s="5" t="str">
        <f>IF(OR(I4213="",G4213=""),"",IF(G4213="Saída",-I4213,I4213))</f>
        <v/>
      </c>
      <c r="L4213" t="str">
        <f>IF(E4213="","",IFERROR(VLOOKUP(E4213,Listas!$A$2:$C$1048576,3,FALSE),""))</f>
        <v/>
      </c>
    </row>
    <row r="4214" spans="10:12" x14ac:dyDescent="0.25">
      <c r="J4214" t="str">
        <f>IF(H4214="","",IFERROR(VLOOKUP(H4214,Listas!$J$2:$K$1048576,2,FALSE),""))</f>
        <v/>
      </c>
      <c r="K4214" s="5" t="str">
        <f>IF(OR(I4214="",G4214=""),"",IF(G4214="Saída",-I4214,I4214))</f>
        <v/>
      </c>
      <c r="L4214" t="str">
        <f>IF(E4214="","",IFERROR(VLOOKUP(E4214,Listas!$A$2:$C$1048576,3,FALSE),""))</f>
        <v/>
      </c>
    </row>
    <row r="4215" spans="10:12" x14ac:dyDescent="0.25">
      <c r="J4215" t="str">
        <f>IF(H4215="","",IFERROR(VLOOKUP(H4215,Listas!$J$2:$K$1048576,2,FALSE),""))</f>
        <v/>
      </c>
      <c r="K4215" s="5" t="str">
        <f>IF(OR(I4215="",G4215=""),"",IF(G4215="Saída",-I4215,I4215))</f>
        <v/>
      </c>
      <c r="L4215" t="str">
        <f>IF(E4215="","",IFERROR(VLOOKUP(E4215,Listas!$A$2:$C$1048576,3,FALSE),""))</f>
        <v/>
      </c>
    </row>
    <row r="4216" spans="10:12" x14ac:dyDescent="0.25">
      <c r="J4216" t="str">
        <f>IF(H4216="","",IFERROR(VLOOKUP(H4216,Listas!$J$2:$K$1048576,2,FALSE),""))</f>
        <v/>
      </c>
      <c r="K4216" s="5" t="str">
        <f>IF(OR(I4216="",G4216=""),"",IF(G4216="Saída",-I4216,I4216))</f>
        <v/>
      </c>
      <c r="L4216" t="str">
        <f>IF(E4216="","",IFERROR(VLOOKUP(E4216,Listas!$A$2:$C$1048576,3,FALSE),""))</f>
        <v/>
      </c>
    </row>
    <row r="4217" spans="10:12" x14ac:dyDescent="0.25">
      <c r="J4217" t="str">
        <f>IF(H4217="","",IFERROR(VLOOKUP(H4217,Listas!$J$2:$K$1048576,2,FALSE),""))</f>
        <v/>
      </c>
      <c r="K4217" s="5" t="str">
        <f>IF(OR(I4217="",G4217=""),"",IF(G4217="Saída",-I4217,I4217))</f>
        <v/>
      </c>
      <c r="L4217" t="str">
        <f>IF(E4217="","",IFERROR(VLOOKUP(E4217,Listas!$A$2:$C$1048576,3,FALSE),""))</f>
        <v/>
      </c>
    </row>
    <row r="4218" spans="10:12" x14ac:dyDescent="0.25">
      <c r="J4218" t="str">
        <f>IF(H4218="","",IFERROR(VLOOKUP(H4218,Listas!$J$2:$K$1048576,2,FALSE),""))</f>
        <v/>
      </c>
      <c r="K4218" s="5" t="str">
        <f>IF(OR(I4218="",G4218=""),"",IF(G4218="Saída",-I4218,I4218))</f>
        <v/>
      </c>
      <c r="L4218" t="str">
        <f>IF(E4218="","",IFERROR(VLOOKUP(E4218,Listas!$A$2:$C$1048576,3,FALSE),""))</f>
        <v/>
      </c>
    </row>
    <row r="4219" spans="10:12" x14ac:dyDescent="0.25">
      <c r="J4219" t="str">
        <f>IF(H4219="","",IFERROR(VLOOKUP(H4219,Listas!$J$2:$K$1048576,2,FALSE),""))</f>
        <v/>
      </c>
      <c r="K4219" s="5" t="str">
        <f>IF(OR(I4219="",G4219=""),"",IF(G4219="Saída",-I4219,I4219))</f>
        <v/>
      </c>
      <c r="L4219" t="str">
        <f>IF(E4219="","",IFERROR(VLOOKUP(E4219,Listas!$A$2:$C$1048576,3,FALSE),""))</f>
        <v/>
      </c>
    </row>
    <row r="4220" spans="10:12" x14ac:dyDescent="0.25">
      <c r="J4220" t="str">
        <f>IF(H4220="","",IFERROR(VLOOKUP(H4220,Listas!$J$2:$K$1048576,2,FALSE),""))</f>
        <v/>
      </c>
      <c r="K4220" s="5" t="str">
        <f>IF(OR(I4220="",G4220=""),"",IF(G4220="Saída",-I4220,I4220))</f>
        <v/>
      </c>
      <c r="L4220" t="str">
        <f>IF(E4220="","",IFERROR(VLOOKUP(E4220,Listas!$A$2:$C$1048576,3,FALSE),""))</f>
        <v/>
      </c>
    </row>
    <row r="4221" spans="10:12" x14ac:dyDescent="0.25">
      <c r="J4221" t="str">
        <f>IF(H4221="","",IFERROR(VLOOKUP(H4221,Listas!$J$2:$K$1048576,2,FALSE),""))</f>
        <v/>
      </c>
      <c r="K4221" s="5" t="str">
        <f>IF(OR(I4221="",G4221=""),"",IF(G4221="Saída",-I4221,I4221))</f>
        <v/>
      </c>
      <c r="L4221" t="str">
        <f>IF(E4221="","",IFERROR(VLOOKUP(E4221,Listas!$A$2:$C$1048576,3,FALSE),""))</f>
        <v/>
      </c>
    </row>
    <row r="4222" spans="10:12" x14ac:dyDescent="0.25">
      <c r="J4222" t="str">
        <f>IF(H4222="","",IFERROR(VLOOKUP(H4222,Listas!$J$2:$K$1048576,2,FALSE),""))</f>
        <v/>
      </c>
      <c r="K4222" s="5" t="str">
        <f>IF(OR(I4222="",G4222=""),"",IF(G4222="Saída",-I4222,I4222))</f>
        <v/>
      </c>
      <c r="L4222" t="str">
        <f>IF(E4222="","",IFERROR(VLOOKUP(E4222,Listas!$A$2:$C$1048576,3,FALSE),""))</f>
        <v/>
      </c>
    </row>
    <row r="4223" spans="10:12" x14ac:dyDescent="0.25">
      <c r="J4223" t="str">
        <f>IF(H4223="","",IFERROR(VLOOKUP(H4223,Listas!$J$2:$K$1048576,2,FALSE),""))</f>
        <v/>
      </c>
      <c r="K4223" s="5" t="str">
        <f>IF(OR(I4223="",G4223=""),"",IF(G4223="Saída",-I4223,I4223))</f>
        <v/>
      </c>
      <c r="L4223" t="str">
        <f>IF(E4223="","",IFERROR(VLOOKUP(E4223,Listas!$A$2:$C$1048576,3,FALSE),""))</f>
        <v/>
      </c>
    </row>
    <row r="4224" spans="10:12" x14ac:dyDescent="0.25">
      <c r="J4224" t="str">
        <f>IF(H4224="","",IFERROR(VLOOKUP(H4224,Listas!$J$2:$K$1048576,2,FALSE),""))</f>
        <v/>
      </c>
      <c r="K4224" s="5" t="str">
        <f>IF(OR(I4224="",G4224=""),"",IF(G4224="Saída",-I4224,I4224))</f>
        <v/>
      </c>
      <c r="L4224" t="str">
        <f>IF(E4224="","",IFERROR(VLOOKUP(E4224,Listas!$A$2:$C$1048576,3,FALSE),""))</f>
        <v/>
      </c>
    </row>
    <row r="4225" spans="10:12" x14ac:dyDescent="0.25">
      <c r="J4225" t="str">
        <f>IF(H4225="","",IFERROR(VLOOKUP(H4225,Listas!$J$2:$K$1048576,2,FALSE),""))</f>
        <v/>
      </c>
      <c r="K4225" s="5" t="str">
        <f>IF(OR(I4225="",G4225=""),"",IF(G4225="Saída",-I4225,I4225))</f>
        <v/>
      </c>
      <c r="L4225" t="str">
        <f>IF(E4225="","",IFERROR(VLOOKUP(E4225,Listas!$A$2:$C$1048576,3,FALSE),""))</f>
        <v/>
      </c>
    </row>
    <row r="4226" spans="10:12" x14ac:dyDescent="0.25">
      <c r="J4226" t="str">
        <f>IF(H4226="","",IFERROR(VLOOKUP(H4226,Listas!$J$2:$K$1048576,2,FALSE),""))</f>
        <v/>
      </c>
      <c r="K4226" s="5" t="str">
        <f>IF(OR(I4226="",G4226=""),"",IF(G4226="Saída",-I4226,I4226))</f>
        <v/>
      </c>
      <c r="L4226" t="str">
        <f>IF(E4226="","",IFERROR(VLOOKUP(E4226,Listas!$A$2:$C$1048576,3,FALSE),""))</f>
        <v/>
      </c>
    </row>
    <row r="4227" spans="10:12" x14ac:dyDescent="0.25">
      <c r="J4227" t="str">
        <f>IF(H4227="","",IFERROR(VLOOKUP(H4227,Listas!$J$2:$K$1048576,2,FALSE),""))</f>
        <v/>
      </c>
      <c r="K4227" s="5" t="str">
        <f>IF(OR(I4227="",G4227=""),"",IF(G4227="Saída",-I4227,I4227))</f>
        <v/>
      </c>
      <c r="L4227" t="str">
        <f>IF(E4227="","",IFERROR(VLOOKUP(E4227,Listas!$A$2:$C$1048576,3,FALSE),""))</f>
        <v/>
      </c>
    </row>
    <row r="4228" spans="10:12" x14ac:dyDescent="0.25">
      <c r="J4228" t="str">
        <f>IF(H4228="","",IFERROR(VLOOKUP(H4228,Listas!$J$2:$K$1048576,2,FALSE),""))</f>
        <v/>
      </c>
      <c r="K4228" s="5" t="str">
        <f>IF(OR(I4228="",G4228=""),"",IF(G4228="Saída",-I4228,I4228))</f>
        <v/>
      </c>
      <c r="L4228" t="str">
        <f>IF(E4228="","",IFERROR(VLOOKUP(E4228,Listas!$A$2:$C$1048576,3,FALSE),""))</f>
        <v/>
      </c>
    </row>
    <row r="4229" spans="10:12" x14ac:dyDescent="0.25">
      <c r="J4229" t="str">
        <f>IF(H4229="","",IFERROR(VLOOKUP(H4229,Listas!$J$2:$K$1048576,2,FALSE),""))</f>
        <v/>
      </c>
      <c r="K4229" s="5" t="str">
        <f>IF(OR(I4229="",G4229=""),"",IF(G4229="Saída",-I4229,I4229))</f>
        <v/>
      </c>
      <c r="L4229" t="str">
        <f>IF(E4229="","",IFERROR(VLOOKUP(E4229,Listas!$A$2:$C$1048576,3,FALSE),""))</f>
        <v/>
      </c>
    </row>
    <row r="4230" spans="10:12" x14ac:dyDescent="0.25">
      <c r="J4230" t="str">
        <f>IF(H4230="","",IFERROR(VLOOKUP(H4230,Listas!$J$2:$K$1048576,2,FALSE),""))</f>
        <v/>
      </c>
      <c r="K4230" s="5" t="str">
        <f>IF(OR(I4230="",G4230=""),"",IF(G4230="Saída",-I4230,I4230))</f>
        <v/>
      </c>
      <c r="L4230" t="str">
        <f>IF(E4230="","",IFERROR(VLOOKUP(E4230,Listas!$A$2:$C$1048576,3,FALSE),""))</f>
        <v/>
      </c>
    </row>
    <row r="4231" spans="10:12" x14ac:dyDescent="0.25">
      <c r="J4231" t="str">
        <f>IF(H4231="","",IFERROR(VLOOKUP(H4231,Listas!$J$2:$K$1048576,2,FALSE),""))</f>
        <v/>
      </c>
      <c r="K4231" s="5" t="str">
        <f>IF(OR(I4231="",G4231=""),"",IF(G4231="Saída",-I4231,I4231))</f>
        <v/>
      </c>
      <c r="L4231" t="str">
        <f>IF(E4231="","",IFERROR(VLOOKUP(E4231,Listas!$A$2:$C$1048576,3,FALSE),""))</f>
        <v/>
      </c>
    </row>
    <row r="4232" spans="10:12" x14ac:dyDescent="0.25">
      <c r="J4232" t="str">
        <f>IF(H4232="","",IFERROR(VLOOKUP(H4232,Listas!$J$2:$K$1048576,2,FALSE),""))</f>
        <v/>
      </c>
      <c r="K4232" s="5" t="str">
        <f>IF(OR(I4232="",G4232=""),"",IF(G4232="Saída",-I4232,I4232))</f>
        <v/>
      </c>
      <c r="L4232" t="str">
        <f>IF(E4232="","",IFERROR(VLOOKUP(E4232,Listas!$A$2:$C$1048576,3,FALSE),""))</f>
        <v/>
      </c>
    </row>
    <row r="4233" spans="10:12" x14ac:dyDescent="0.25">
      <c r="J4233" t="str">
        <f>IF(H4233="","",IFERROR(VLOOKUP(H4233,Listas!$J$2:$K$1048576,2,FALSE),""))</f>
        <v/>
      </c>
      <c r="K4233" s="5" t="str">
        <f>IF(OR(I4233="",G4233=""),"",IF(G4233="Saída",-I4233,I4233))</f>
        <v/>
      </c>
      <c r="L4233" t="str">
        <f>IF(E4233="","",IFERROR(VLOOKUP(E4233,Listas!$A$2:$C$1048576,3,FALSE),""))</f>
        <v/>
      </c>
    </row>
    <row r="4234" spans="10:12" x14ac:dyDescent="0.25">
      <c r="J4234" t="str">
        <f>IF(H4234="","",IFERROR(VLOOKUP(H4234,Listas!$J$2:$K$1048576,2,FALSE),""))</f>
        <v/>
      </c>
      <c r="K4234" s="5" t="str">
        <f>IF(OR(I4234="",G4234=""),"",IF(G4234="Saída",-I4234,I4234))</f>
        <v/>
      </c>
      <c r="L4234" t="str">
        <f>IF(E4234="","",IFERROR(VLOOKUP(E4234,Listas!$A$2:$C$1048576,3,FALSE),""))</f>
        <v/>
      </c>
    </row>
    <row r="4235" spans="10:12" x14ac:dyDescent="0.25">
      <c r="J4235" t="str">
        <f>IF(H4235="","",IFERROR(VLOOKUP(H4235,Listas!$J$2:$K$1048576,2,FALSE),""))</f>
        <v/>
      </c>
      <c r="K4235" s="5" t="str">
        <f>IF(OR(I4235="",G4235=""),"",IF(G4235="Saída",-I4235,I4235))</f>
        <v/>
      </c>
      <c r="L4235" t="str">
        <f>IF(E4235="","",IFERROR(VLOOKUP(E4235,Listas!$A$2:$C$1048576,3,FALSE),""))</f>
        <v/>
      </c>
    </row>
    <row r="4236" spans="10:12" x14ac:dyDescent="0.25">
      <c r="J4236" t="str">
        <f>IF(H4236="","",IFERROR(VLOOKUP(H4236,Listas!$J$2:$K$1048576,2,FALSE),""))</f>
        <v/>
      </c>
      <c r="K4236" s="5" t="str">
        <f>IF(OR(I4236="",G4236=""),"",IF(G4236="Saída",-I4236,I4236))</f>
        <v/>
      </c>
      <c r="L4236" t="str">
        <f>IF(E4236="","",IFERROR(VLOOKUP(E4236,Listas!$A$2:$C$1048576,3,FALSE),""))</f>
        <v/>
      </c>
    </row>
    <row r="4237" spans="10:12" x14ac:dyDescent="0.25">
      <c r="J4237" t="str">
        <f>IF(H4237="","",IFERROR(VLOOKUP(H4237,Listas!$J$2:$K$1048576,2,FALSE),""))</f>
        <v/>
      </c>
      <c r="K4237" s="5" t="str">
        <f>IF(OR(I4237="",G4237=""),"",IF(G4237="Saída",-I4237,I4237))</f>
        <v/>
      </c>
      <c r="L4237" t="str">
        <f>IF(E4237="","",IFERROR(VLOOKUP(E4237,Listas!$A$2:$C$1048576,3,FALSE),""))</f>
        <v/>
      </c>
    </row>
    <row r="4238" spans="10:12" x14ac:dyDescent="0.25">
      <c r="J4238" t="str">
        <f>IF(H4238="","",IFERROR(VLOOKUP(H4238,Listas!$J$2:$K$1048576,2,FALSE),""))</f>
        <v/>
      </c>
      <c r="K4238" s="5" t="str">
        <f>IF(OR(I4238="",G4238=""),"",IF(G4238="Saída",-I4238,I4238))</f>
        <v/>
      </c>
      <c r="L4238" t="str">
        <f>IF(E4238="","",IFERROR(VLOOKUP(E4238,Listas!$A$2:$C$1048576,3,FALSE),""))</f>
        <v/>
      </c>
    </row>
    <row r="4239" spans="10:12" x14ac:dyDescent="0.25">
      <c r="J4239" t="str">
        <f>IF(H4239="","",IFERROR(VLOOKUP(H4239,Listas!$J$2:$K$1048576,2,FALSE),""))</f>
        <v/>
      </c>
      <c r="K4239" s="5" t="str">
        <f>IF(OR(I4239="",G4239=""),"",IF(G4239="Saída",-I4239,I4239))</f>
        <v/>
      </c>
      <c r="L4239" t="str">
        <f>IF(E4239="","",IFERROR(VLOOKUP(E4239,Listas!$A$2:$C$1048576,3,FALSE),""))</f>
        <v/>
      </c>
    </row>
    <row r="4240" spans="10:12" x14ac:dyDescent="0.25">
      <c r="J4240" t="str">
        <f>IF(H4240="","",IFERROR(VLOOKUP(H4240,Listas!$J$2:$K$1048576,2,FALSE),""))</f>
        <v/>
      </c>
      <c r="K4240" s="5" t="str">
        <f>IF(OR(I4240="",G4240=""),"",IF(G4240="Saída",-I4240,I4240))</f>
        <v/>
      </c>
      <c r="L4240" t="str">
        <f>IF(E4240="","",IFERROR(VLOOKUP(E4240,Listas!$A$2:$C$1048576,3,FALSE),""))</f>
        <v/>
      </c>
    </row>
    <row r="4241" spans="10:12" x14ac:dyDescent="0.25">
      <c r="J4241" t="str">
        <f>IF(H4241="","",IFERROR(VLOOKUP(H4241,Listas!$J$2:$K$1048576,2,FALSE),""))</f>
        <v/>
      </c>
      <c r="K4241" s="5" t="str">
        <f>IF(OR(I4241="",G4241=""),"",IF(G4241="Saída",-I4241,I4241))</f>
        <v/>
      </c>
      <c r="L4241" t="str">
        <f>IF(E4241="","",IFERROR(VLOOKUP(E4241,Listas!$A$2:$C$1048576,3,FALSE),""))</f>
        <v/>
      </c>
    </row>
    <row r="4242" spans="10:12" x14ac:dyDescent="0.25">
      <c r="J4242" t="str">
        <f>IF(H4242="","",IFERROR(VLOOKUP(H4242,Listas!$J$2:$K$1048576,2,FALSE),""))</f>
        <v/>
      </c>
      <c r="K4242" s="5" t="str">
        <f>IF(OR(I4242="",G4242=""),"",IF(G4242="Saída",-I4242,I4242))</f>
        <v/>
      </c>
      <c r="L4242" t="str">
        <f>IF(E4242="","",IFERROR(VLOOKUP(E4242,Listas!$A$2:$C$1048576,3,FALSE),""))</f>
        <v/>
      </c>
    </row>
    <row r="4243" spans="10:12" x14ac:dyDescent="0.25">
      <c r="J4243" t="str">
        <f>IF(H4243="","",IFERROR(VLOOKUP(H4243,Listas!$J$2:$K$1048576,2,FALSE),""))</f>
        <v/>
      </c>
      <c r="K4243" s="5" t="str">
        <f>IF(OR(I4243="",G4243=""),"",IF(G4243="Saída",-I4243,I4243))</f>
        <v/>
      </c>
      <c r="L4243" t="str">
        <f>IF(E4243="","",IFERROR(VLOOKUP(E4243,Listas!$A$2:$C$1048576,3,FALSE),""))</f>
        <v/>
      </c>
    </row>
    <row r="4244" spans="10:12" x14ac:dyDescent="0.25">
      <c r="J4244" t="str">
        <f>IF(H4244="","",IFERROR(VLOOKUP(H4244,Listas!$J$2:$K$1048576,2,FALSE),""))</f>
        <v/>
      </c>
      <c r="K4244" s="5" t="str">
        <f>IF(OR(I4244="",G4244=""),"",IF(G4244="Saída",-I4244,I4244))</f>
        <v/>
      </c>
      <c r="L4244" t="str">
        <f>IF(E4244="","",IFERROR(VLOOKUP(E4244,Listas!$A$2:$C$1048576,3,FALSE),""))</f>
        <v/>
      </c>
    </row>
    <row r="4245" spans="10:12" x14ac:dyDescent="0.25">
      <c r="J4245" t="str">
        <f>IF(H4245="","",IFERROR(VLOOKUP(H4245,Listas!$J$2:$K$1048576,2,FALSE),""))</f>
        <v/>
      </c>
      <c r="K4245" s="5" t="str">
        <f>IF(OR(I4245="",G4245=""),"",IF(G4245="Saída",-I4245,I4245))</f>
        <v/>
      </c>
      <c r="L4245" t="str">
        <f>IF(E4245="","",IFERROR(VLOOKUP(E4245,Listas!$A$2:$C$1048576,3,FALSE),""))</f>
        <v/>
      </c>
    </row>
    <row r="4246" spans="10:12" x14ac:dyDescent="0.25">
      <c r="J4246" t="str">
        <f>IF(H4246="","",IFERROR(VLOOKUP(H4246,Listas!$J$2:$K$1048576,2,FALSE),""))</f>
        <v/>
      </c>
      <c r="K4246" s="5" t="str">
        <f>IF(OR(I4246="",G4246=""),"",IF(G4246="Saída",-I4246,I4246))</f>
        <v/>
      </c>
      <c r="L4246" t="str">
        <f>IF(E4246="","",IFERROR(VLOOKUP(E4246,Listas!$A$2:$C$1048576,3,FALSE),""))</f>
        <v/>
      </c>
    </row>
    <row r="4247" spans="10:12" x14ac:dyDescent="0.25">
      <c r="J4247" t="str">
        <f>IF(H4247="","",IFERROR(VLOOKUP(H4247,Listas!$J$2:$K$1048576,2,FALSE),""))</f>
        <v/>
      </c>
      <c r="K4247" s="5" t="str">
        <f>IF(OR(I4247="",G4247=""),"",IF(G4247="Saída",-I4247,I4247))</f>
        <v/>
      </c>
      <c r="L4247" t="str">
        <f>IF(E4247="","",IFERROR(VLOOKUP(E4247,Listas!$A$2:$C$1048576,3,FALSE),""))</f>
        <v/>
      </c>
    </row>
    <row r="4248" spans="10:12" x14ac:dyDescent="0.25">
      <c r="J4248" t="str">
        <f>IF(H4248="","",IFERROR(VLOOKUP(H4248,Listas!$J$2:$K$1048576,2,FALSE),""))</f>
        <v/>
      </c>
      <c r="K4248" s="5" t="str">
        <f>IF(OR(I4248="",G4248=""),"",IF(G4248="Saída",-I4248,I4248))</f>
        <v/>
      </c>
      <c r="L4248" t="str">
        <f>IF(E4248="","",IFERROR(VLOOKUP(E4248,Listas!$A$2:$C$1048576,3,FALSE),""))</f>
        <v/>
      </c>
    </row>
    <row r="4249" spans="10:12" x14ac:dyDescent="0.25">
      <c r="J4249" t="str">
        <f>IF(H4249="","",IFERROR(VLOOKUP(H4249,Listas!$J$2:$K$1048576,2,FALSE),""))</f>
        <v/>
      </c>
      <c r="K4249" s="5" t="str">
        <f>IF(OR(I4249="",G4249=""),"",IF(G4249="Saída",-I4249,I4249))</f>
        <v/>
      </c>
      <c r="L4249" t="str">
        <f>IF(E4249="","",IFERROR(VLOOKUP(E4249,Listas!$A$2:$C$1048576,3,FALSE),""))</f>
        <v/>
      </c>
    </row>
    <row r="4250" spans="10:12" x14ac:dyDescent="0.25">
      <c r="J4250" t="str">
        <f>IF(H4250="","",IFERROR(VLOOKUP(H4250,Listas!$J$2:$K$1048576,2,FALSE),""))</f>
        <v/>
      </c>
      <c r="K4250" s="5" t="str">
        <f>IF(OR(I4250="",G4250=""),"",IF(G4250="Saída",-I4250,I4250))</f>
        <v/>
      </c>
      <c r="L4250" t="str">
        <f>IF(E4250="","",IFERROR(VLOOKUP(E4250,Listas!$A$2:$C$1048576,3,FALSE),""))</f>
        <v/>
      </c>
    </row>
    <row r="4251" spans="10:12" x14ac:dyDescent="0.25">
      <c r="J4251" t="str">
        <f>IF(H4251="","",IFERROR(VLOOKUP(H4251,Listas!$J$2:$K$1048576,2,FALSE),""))</f>
        <v/>
      </c>
      <c r="K4251" s="5" t="str">
        <f>IF(OR(I4251="",G4251=""),"",IF(G4251="Saída",-I4251,I4251))</f>
        <v/>
      </c>
      <c r="L4251" t="str">
        <f>IF(E4251="","",IFERROR(VLOOKUP(E4251,Listas!$A$2:$C$1048576,3,FALSE),""))</f>
        <v/>
      </c>
    </row>
    <row r="4252" spans="10:12" x14ac:dyDescent="0.25">
      <c r="J4252" t="str">
        <f>IF(H4252="","",IFERROR(VLOOKUP(H4252,Listas!$J$2:$K$1048576,2,FALSE),""))</f>
        <v/>
      </c>
      <c r="K4252" s="5" t="str">
        <f>IF(OR(I4252="",G4252=""),"",IF(G4252="Saída",-I4252,I4252))</f>
        <v/>
      </c>
      <c r="L4252" t="str">
        <f>IF(E4252="","",IFERROR(VLOOKUP(E4252,Listas!$A$2:$C$1048576,3,FALSE),""))</f>
        <v/>
      </c>
    </row>
    <row r="4253" spans="10:12" x14ac:dyDescent="0.25">
      <c r="J4253" t="str">
        <f>IF(H4253="","",IFERROR(VLOOKUP(H4253,Listas!$J$2:$K$1048576,2,FALSE),""))</f>
        <v/>
      </c>
      <c r="K4253" s="5" t="str">
        <f>IF(OR(I4253="",G4253=""),"",IF(G4253="Saída",-I4253,I4253))</f>
        <v/>
      </c>
      <c r="L4253" t="str">
        <f>IF(E4253="","",IFERROR(VLOOKUP(E4253,Listas!$A$2:$C$1048576,3,FALSE),""))</f>
        <v/>
      </c>
    </row>
    <row r="4254" spans="10:12" x14ac:dyDescent="0.25">
      <c r="J4254" t="str">
        <f>IF(H4254="","",IFERROR(VLOOKUP(H4254,Listas!$J$2:$K$1048576,2,FALSE),""))</f>
        <v/>
      </c>
      <c r="K4254" s="5" t="str">
        <f>IF(OR(I4254="",G4254=""),"",IF(G4254="Saída",-I4254,I4254))</f>
        <v/>
      </c>
      <c r="L4254" t="str">
        <f>IF(E4254="","",IFERROR(VLOOKUP(E4254,Listas!$A$2:$C$1048576,3,FALSE),""))</f>
        <v/>
      </c>
    </row>
    <row r="4255" spans="10:12" x14ac:dyDescent="0.25">
      <c r="J4255" t="str">
        <f>IF(H4255="","",IFERROR(VLOOKUP(H4255,Listas!$J$2:$K$1048576,2,FALSE),""))</f>
        <v/>
      </c>
      <c r="K4255" s="5" t="str">
        <f>IF(OR(I4255="",G4255=""),"",IF(G4255="Saída",-I4255,I4255))</f>
        <v/>
      </c>
      <c r="L4255" t="str">
        <f>IF(E4255="","",IFERROR(VLOOKUP(E4255,Listas!$A$2:$C$1048576,3,FALSE),""))</f>
        <v/>
      </c>
    </row>
    <row r="4256" spans="10:12" x14ac:dyDescent="0.25">
      <c r="J4256" t="str">
        <f>IF(H4256="","",IFERROR(VLOOKUP(H4256,Listas!$J$2:$K$1048576,2,FALSE),""))</f>
        <v/>
      </c>
      <c r="K4256" s="5" t="str">
        <f>IF(OR(I4256="",G4256=""),"",IF(G4256="Saída",-I4256,I4256))</f>
        <v/>
      </c>
      <c r="L4256" t="str">
        <f>IF(E4256="","",IFERROR(VLOOKUP(E4256,Listas!$A$2:$C$1048576,3,FALSE),""))</f>
        <v/>
      </c>
    </row>
    <row r="4257" spans="10:12" x14ac:dyDescent="0.25">
      <c r="J4257" t="str">
        <f>IF(H4257="","",IFERROR(VLOOKUP(H4257,Listas!$J$2:$K$1048576,2,FALSE),""))</f>
        <v/>
      </c>
      <c r="K4257" s="5" t="str">
        <f>IF(OR(I4257="",G4257=""),"",IF(G4257="Saída",-I4257,I4257))</f>
        <v/>
      </c>
      <c r="L4257" t="str">
        <f>IF(E4257="","",IFERROR(VLOOKUP(E4257,Listas!$A$2:$C$1048576,3,FALSE),""))</f>
        <v/>
      </c>
    </row>
    <row r="4258" spans="10:12" x14ac:dyDescent="0.25">
      <c r="J4258" t="str">
        <f>IF(H4258="","",IFERROR(VLOOKUP(H4258,Listas!$J$2:$K$1048576,2,FALSE),""))</f>
        <v/>
      </c>
      <c r="K4258" s="5" t="str">
        <f>IF(OR(I4258="",G4258=""),"",IF(G4258="Saída",-I4258,I4258))</f>
        <v/>
      </c>
      <c r="L4258" t="str">
        <f>IF(E4258="","",IFERROR(VLOOKUP(E4258,Listas!$A$2:$C$1048576,3,FALSE),""))</f>
        <v/>
      </c>
    </row>
    <row r="4259" spans="10:12" x14ac:dyDescent="0.25">
      <c r="J4259" t="str">
        <f>IF(H4259="","",IFERROR(VLOOKUP(H4259,Listas!$J$2:$K$1048576,2,FALSE),""))</f>
        <v/>
      </c>
      <c r="K4259" s="5" t="str">
        <f>IF(OR(I4259="",G4259=""),"",IF(G4259="Saída",-I4259,I4259))</f>
        <v/>
      </c>
      <c r="L4259" t="str">
        <f>IF(E4259="","",IFERROR(VLOOKUP(E4259,Listas!$A$2:$C$1048576,3,FALSE),""))</f>
        <v/>
      </c>
    </row>
    <row r="4260" spans="10:12" x14ac:dyDescent="0.25">
      <c r="J4260" t="str">
        <f>IF(H4260="","",IFERROR(VLOOKUP(H4260,Listas!$J$2:$K$1048576,2,FALSE),""))</f>
        <v/>
      </c>
      <c r="K4260" s="5" t="str">
        <f>IF(OR(I4260="",G4260=""),"",IF(G4260="Saída",-I4260,I4260))</f>
        <v/>
      </c>
      <c r="L4260" t="str">
        <f>IF(E4260="","",IFERROR(VLOOKUP(E4260,Listas!$A$2:$C$1048576,3,FALSE),""))</f>
        <v/>
      </c>
    </row>
    <row r="4261" spans="10:12" x14ac:dyDescent="0.25">
      <c r="J4261" t="str">
        <f>IF(H4261="","",IFERROR(VLOOKUP(H4261,Listas!$J$2:$K$1048576,2,FALSE),""))</f>
        <v/>
      </c>
      <c r="K4261" s="5" t="str">
        <f>IF(OR(I4261="",G4261=""),"",IF(G4261="Saída",-I4261,I4261))</f>
        <v/>
      </c>
      <c r="L4261" t="str">
        <f>IF(E4261="","",IFERROR(VLOOKUP(E4261,Listas!$A$2:$C$1048576,3,FALSE),""))</f>
        <v/>
      </c>
    </row>
    <row r="4262" spans="10:12" x14ac:dyDescent="0.25">
      <c r="J4262" t="str">
        <f>IF(H4262="","",IFERROR(VLOOKUP(H4262,Listas!$J$2:$K$1048576,2,FALSE),""))</f>
        <v/>
      </c>
      <c r="K4262" s="5" t="str">
        <f>IF(OR(I4262="",G4262=""),"",IF(G4262="Saída",-I4262,I4262))</f>
        <v/>
      </c>
      <c r="L4262" t="str">
        <f>IF(E4262="","",IFERROR(VLOOKUP(E4262,Listas!$A$2:$C$1048576,3,FALSE),""))</f>
        <v/>
      </c>
    </row>
    <row r="4263" spans="10:12" x14ac:dyDescent="0.25">
      <c r="J4263" t="str">
        <f>IF(H4263="","",IFERROR(VLOOKUP(H4263,Listas!$J$2:$K$1048576,2,FALSE),""))</f>
        <v/>
      </c>
      <c r="K4263" s="5" t="str">
        <f>IF(OR(I4263="",G4263=""),"",IF(G4263="Saída",-I4263,I4263))</f>
        <v/>
      </c>
      <c r="L4263" t="str">
        <f>IF(E4263="","",IFERROR(VLOOKUP(E4263,Listas!$A$2:$C$1048576,3,FALSE),""))</f>
        <v/>
      </c>
    </row>
    <row r="4264" spans="10:12" x14ac:dyDescent="0.25">
      <c r="J4264" t="str">
        <f>IF(H4264="","",IFERROR(VLOOKUP(H4264,Listas!$J$2:$K$1048576,2,FALSE),""))</f>
        <v/>
      </c>
      <c r="K4264" s="5" t="str">
        <f>IF(OR(I4264="",G4264=""),"",IF(G4264="Saída",-I4264,I4264))</f>
        <v/>
      </c>
      <c r="L4264" t="str">
        <f>IF(E4264="","",IFERROR(VLOOKUP(E4264,Listas!$A$2:$C$1048576,3,FALSE),""))</f>
        <v/>
      </c>
    </row>
    <row r="4265" spans="10:12" x14ac:dyDescent="0.25">
      <c r="J4265" t="str">
        <f>IF(H4265="","",IFERROR(VLOOKUP(H4265,Listas!$J$2:$K$1048576,2,FALSE),""))</f>
        <v/>
      </c>
      <c r="K4265" s="5" t="str">
        <f>IF(OR(I4265="",G4265=""),"",IF(G4265="Saída",-I4265,I4265))</f>
        <v/>
      </c>
      <c r="L4265" t="str">
        <f>IF(E4265="","",IFERROR(VLOOKUP(E4265,Listas!$A$2:$C$1048576,3,FALSE),""))</f>
        <v/>
      </c>
    </row>
    <row r="4266" spans="10:12" x14ac:dyDescent="0.25">
      <c r="J4266" t="str">
        <f>IF(H4266="","",IFERROR(VLOOKUP(H4266,Listas!$J$2:$K$1048576,2,FALSE),""))</f>
        <v/>
      </c>
      <c r="K4266" s="5" t="str">
        <f>IF(OR(I4266="",G4266=""),"",IF(G4266="Saída",-I4266,I4266))</f>
        <v/>
      </c>
      <c r="L4266" t="str">
        <f>IF(E4266="","",IFERROR(VLOOKUP(E4266,Listas!$A$2:$C$1048576,3,FALSE),""))</f>
        <v/>
      </c>
    </row>
    <row r="4267" spans="10:12" x14ac:dyDescent="0.25">
      <c r="J4267" t="str">
        <f>IF(H4267="","",IFERROR(VLOOKUP(H4267,Listas!$J$2:$K$1048576,2,FALSE),""))</f>
        <v/>
      </c>
      <c r="K4267" s="5" t="str">
        <f>IF(OR(I4267="",G4267=""),"",IF(G4267="Saída",-I4267,I4267))</f>
        <v/>
      </c>
      <c r="L4267" t="str">
        <f>IF(E4267="","",IFERROR(VLOOKUP(E4267,Listas!$A$2:$C$1048576,3,FALSE),""))</f>
        <v/>
      </c>
    </row>
    <row r="4268" spans="10:12" x14ac:dyDescent="0.25">
      <c r="J4268" t="str">
        <f>IF(H4268="","",IFERROR(VLOOKUP(H4268,Listas!$J$2:$K$1048576,2,FALSE),""))</f>
        <v/>
      </c>
      <c r="K4268" s="5" t="str">
        <f>IF(OR(I4268="",G4268=""),"",IF(G4268="Saída",-I4268,I4268))</f>
        <v/>
      </c>
      <c r="L4268" t="str">
        <f>IF(E4268="","",IFERROR(VLOOKUP(E4268,Listas!$A$2:$C$1048576,3,FALSE),""))</f>
        <v/>
      </c>
    </row>
    <row r="4269" spans="10:12" x14ac:dyDescent="0.25">
      <c r="J4269" t="str">
        <f>IF(H4269="","",IFERROR(VLOOKUP(H4269,Listas!$J$2:$K$1048576,2,FALSE),""))</f>
        <v/>
      </c>
      <c r="K4269" s="5" t="str">
        <f>IF(OR(I4269="",G4269=""),"",IF(G4269="Saída",-I4269,I4269))</f>
        <v/>
      </c>
      <c r="L4269" t="str">
        <f>IF(E4269="","",IFERROR(VLOOKUP(E4269,Listas!$A$2:$C$1048576,3,FALSE),""))</f>
        <v/>
      </c>
    </row>
    <row r="4270" spans="10:12" x14ac:dyDescent="0.25">
      <c r="J4270" t="str">
        <f>IF(H4270="","",IFERROR(VLOOKUP(H4270,Listas!$J$2:$K$1048576,2,FALSE),""))</f>
        <v/>
      </c>
      <c r="K4270" s="5" t="str">
        <f>IF(OR(I4270="",G4270=""),"",IF(G4270="Saída",-I4270,I4270))</f>
        <v/>
      </c>
      <c r="L4270" t="str">
        <f>IF(E4270="","",IFERROR(VLOOKUP(E4270,Listas!$A$2:$C$1048576,3,FALSE),""))</f>
        <v/>
      </c>
    </row>
    <row r="4271" spans="10:12" x14ac:dyDescent="0.25">
      <c r="J4271" t="str">
        <f>IF(H4271="","",IFERROR(VLOOKUP(H4271,Listas!$J$2:$K$1048576,2,FALSE),""))</f>
        <v/>
      </c>
      <c r="K4271" s="5" t="str">
        <f>IF(OR(I4271="",G4271=""),"",IF(G4271="Saída",-I4271,I4271))</f>
        <v/>
      </c>
      <c r="L4271" t="str">
        <f>IF(E4271="","",IFERROR(VLOOKUP(E4271,Listas!$A$2:$C$1048576,3,FALSE),""))</f>
        <v/>
      </c>
    </row>
    <row r="4272" spans="10:12" x14ac:dyDescent="0.25">
      <c r="J4272" t="str">
        <f>IF(H4272="","",IFERROR(VLOOKUP(H4272,Listas!$J$2:$K$1048576,2,FALSE),""))</f>
        <v/>
      </c>
      <c r="K4272" s="5" t="str">
        <f>IF(OR(I4272="",G4272=""),"",IF(G4272="Saída",-I4272,I4272))</f>
        <v/>
      </c>
      <c r="L4272" t="str">
        <f>IF(E4272="","",IFERROR(VLOOKUP(E4272,Listas!$A$2:$C$1048576,3,FALSE),""))</f>
        <v/>
      </c>
    </row>
    <row r="4273" spans="10:12" x14ac:dyDescent="0.25">
      <c r="J4273" t="str">
        <f>IF(H4273="","",IFERROR(VLOOKUP(H4273,Listas!$J$2:$K$1048576,2,FALSE),""))</f>
        <v/>
      </c>
      <c r="K4273" s="5" t="str">
        <f>IF(OR(I4273="",G4273=""),"",IF(G4273="Saída",-I4273,I4273))</f>
        <v/>
      </c>
      <c r="L4273" t="str">
        <f>IF(E4273="","",IFERROR(VLOOKUP(E4273,Listas!$A$2:$C$1048576,3,FALSE),""))</f>
        <v/>
      </c>
    </row>
    <row r="4274" spans="10:12" x14ac:dyDescent="0.25">
      <c r="J4274" t="str">
        <f>IF(H4274="","",IFERROR(VLOOKUP(H4274,Listas!$J$2:$K$1048576,2,FALSE),""))</f>
        <v/>
      </c>
      <c r="K4274" s="5" t="str">
        <f>IF(OR(I4274="",G4274=""),"",IF(G4274="Saída",-I4274,I4274))</f>
        <v/>
      </c>
      <c r="L4274" t="str">
        <f>IF(E4274="","",IFERROR(VLOOKUP(E4274,Listas!$A$2:$C$1048576,3,FALSE),""))</f>
        <v/>
      </c>
    </row>
    <row r="4275" spans="10:12" x14ac:dyDescent="0.25">
      <c r="J4275" t="str">
        <f>IF(H4275="","",IFERROR(VLOOKUP(H4275,Listas!$J$2:$K$1048576,2,FALSE),""))</f>
        <v/>
      </c>
      <c r="K4275" s="5" t="str">
        <f>IF(OR(I4275="",G4275=""),"",IF(G4275="Saída",-I4275,I4275))</f>
        <v/>
      </c>
      <c r="L4275" t="str">
        <f>IF(E4275="","",IFERROR(VLOOKUP(E4275,Listas!$A$2:$C$1048576,3,FALSE),""))</f>
        <v/>
      </c>
    </row>
    <row r="4276" spans="10:12" x14ac:dyDescent="0.25">
      <c r="J4276" t="str">
        <f>IF(H4276="","",IFERROR(VLOOKUP(H4276,Listas!$J$2:$K$1048576,2,FALSE),""))</f>
        <v/>
      </c>
      <c r="K4276" s="5" t="str">
        <f>IF(OR(I4276="",G4276=""),"",IF(G4276="Saída",-I4276,I4276))</f>
        <v/>
      </c>
      <c r="L4276" t="str">
        <f>IF(E4276="","",IFERROR(VLOOKUP(E4276,Listas!$A$2:$C$1048576,3,FALSE),""))</f>
        <v/>
      </c>
    </row>
    <row r="4277" spans="10:12" x14ac:dyDescent="0.25">
      <c r="J4277" t="str">
        <f>IF(H4277="","",IFERROR(VLOOKUP(H4277,Listas!$J$2:$K$1048576,2,FALSE),""))</f>
        <v/>
      </c>
      <c r="K4277" s="5" t="str">
        <f>IF(OR(I4277="",G4277=""),"",IF(G4277="Saída",-I4277,I4277))</f>
        <v/>
      </c>
      <c r="L4277" t="str">
        <f>IF(E4277="","",IFERROR(VLOOKUP(E4277,Listas!$A$2:$C$1048576,3,FALSE),""))</f>
        <v/>
      </c>
    </row>
    <row r="4278" spans="10:12" x14ac:dyDescent="0.25">
      <c r="J4278" t="str">
        <f>IF(H4278="","",IFERROR(VLOOKUP(H4278,Listas!$J$2:$K$1048576,2,FALSE),""))</f>
        <v/>
      </c>
      <c r="K4278" s="5" t="str">
        <f>IF(OR(I4278="",G4278=""),"",IF(G4278="Saída",-I4278,I4278))</f>
        <v/>
      </c>
      <c r="L4278" t="str">
        <f>IF(E4278="","",IFERROR(VLOOKUP(E4278,Listas!$A$2:$C$1048576,3,FALSE),""))</f>
        <v/>
      </c>
    </row>
    <row r="4279" spans="10:12" x14ac:dyDescent="0.25">
      <c r="J4279" t="str">
        <f>IF(H4279="","",IFERROR(VLOOKUP(H4279,Listas!$J$2:$K$1048576,2,FALSE),""))</f>
        <v/>
      </c>
      <c r="K4279" s="5" t="str">
        <f>IF(OR(I4279="",G4279=""),"",IF(G4279="Saída",-I4279,I4279))</f>
        <v/>
      </c>
      <c r="L4279" t="str">
        <f>IF(E4279="","",IFERROR(VLOOKUP(E4279,Listas!$A$2:$C$1048576,3,FALSE),""))</f>
        <v/>
      </c>
    </row>
    <row r="4280" spans="10:12" x14ac:dyDescent="0.25">
      <c r="J4280" t="str">
        <f>IF(H4280="","",IFERROR(VLOOKUP(H4280,Listas!$J$2:$K$1048576,2,FALSE),""))</f>
        <v/>
      </c>
      <c r="K4280" s="5" t="str">
        <f>IF(OR(I4280="",G4280=""),"",IF(G4280="Saída",-I4280,I4280))</f>
        <v/>
      </c>
      <c r="L4280" t="str">
        <f>IF(E4280="","",IFERROR(VLOOKUP(E4280,Listas!$A$2:$C$1048576,3,FALSE),""))</f>
        <v/>
      </c>
    </row>
    <row r="4281" spans="10:12" x14ac:dyDescent="0.25">
      <c r="J4281" t="str">
        <f>IF(H4281="","",IFERROR(VLOOKUP(H4281,Listas!$J$2:$K$1048576,2,FALSE),""))</f>
        <v/>
      </c>
      <c r="K4281" s="5" t="str">
        <f>IF(OR(I4281="",G4281=""),"",IF(G4281="Saída",-I4281,I4281))</f>
        <v/>
      </c>
      <c r="L4281" t="str">
        <f>IF(E4281="","",IFERROR(VLOOKUP(E4281,Listas!$A$2:$C$1048576,3,FALSE),""))</f>
        <v/>
      </c>
    </row>
    <row r="4282" spans="10:12" x14ac:dyDescent="0.25">
      <c r="J4282" t="str">
        <f>IF(H4282="","",IFERROR(VLOOKUP(H4282,Listas!$J$2:$K$1048576,2,FALSE),""))</f>
        <v/>
      </c>
      <c r="K4282" s="5" t="str">
        <f>IF(OR(I4282="",G4282=""),"",IF(G4282="Saída",-I4282,I4282))</f>
        <v/>
      </c>
      <c r="L4282" t="str">
        <f>IF(E4282="","",IFERROR(VLOOKUP(E4282,Listas!$A$2:$C$1048576,3,FALSE),""))</f>
        <v/>
      </c>
    </row>
    <row r="4283" spans="10:12" x14ac:dyDescent="0.25">
      <c r="J4283" t="str">
        <f>IF(H4283="","",IFERROR(VLOOKUP(H4283,Listas!$J$2:$K$1048576,2,FALSE),""))</f>
        <v/>
      </c>
      <c r="K4283" s="5" t="str">
        <f>IF(OR(I4283="",G4283=""),"",IF(G4283="Saída",-I4283,I4283))</f>
        <v/>
      </c>
      <c r="L4283" t="str">
        <f>IF(E4283="","",IFERROR(VLOOKUP(E4283,Listas!$A$2:$C$1048576,3,FALSE),""))</f>
        <v/>
      </c>
    </row>
    <row r="4284" spans="10:12" x14ac:dyDescent="0.25">
      <c r="J4284" t="str">
        <f>IF(H4284="","",IFERROR(VLOOKUP(H4284,Listas!$J$2:$K$1048576,2,FALSE),""))</f>
        <v/>
      </c>
      <c r="K4284" s="5" t="str">
        <f>IF(OR(I4284="",G4284=""),"",IF(G4284="Saída",-I4284,I4284))</f>
        <v/>
      </c>
      <c r="L4284" t="str">
        <f>IF(E4284="","",IFERROR(VLOOKUP(E4284,Listas!$A$2:$C$1048576,3,FALSE),""))</f>
        <v/>
      </c>
    </row>
    <row r="4285" spans="10:12" x14ac:dyDescent="0.25">
      <c r="J4285" t="str">
        <f>IF(H4285="","",IFERROR(VLOOKUP(H4285,Listas!$J$2:$K$1048576,2,FALSE),""))</f>
        <v/>
      </c>
      <c r="K4285" s="5" t="str">
        <f>IF(OR(I4285="",G4285=""),"",IF(G4285="Saída",-I4285,I4285))</f>
        <v/>
      </c>
      <c r="L4285" t="str">
        <f>IF(E4285="","",IFERROR(VLOOKUP(E4285,Listas!$A$2:$C$1048576,3,FALSE),""))</f>
        <v/>
      </c>
    </row>
    <row r="4286" spans="10:12" x14ac:dyDescent="0.25">
      <c r="J4286" t="str">
        <f>IF(H4286="","",IFERROR(VLOOKUP(H4286,Listas!$J$2:$K$1048576,2,FALSE),""))</f>
        <v/>
      </c>
      <c r="K4286" s="5" t="str">
        <f>IF(OR(I4286="",G4286=""),"",IF(G4286="Saída",-I4286,I4286))</f>
        <v/>
      </c>
      <c r="L4286" t="str">
        <f>IF(E4286="","",IFERROR(VLOOKUP(E4286,Listas!$A$2:$C$1048576,3,FALSE),""))</f>
        <v/>
      </c>
    </row>
    <row r="4287" spans="10:12" x14ac:dyDescent="0.25">
      <c r="J4287" t="str">
        <f>IF(H4287="","",IFERROR(VLOOKUP(H4287,Listas!$J$2:$K$1048576,2,FALSE),""))</f>
        <v/>
      </c>
      <c r="K4287" s="5" t="str">
        <f>IF(OR(I4287="",G4287=""),"",IF(G4287="Saída",-I4287,I4287))</f>
        <v/>
      </c>
      <c r="L4287" t="str">
        <f>IF(E4287="","",IFERROR(VLOOKUP(E4287,Listas!$A$2:$C$1048576,3,FALSE),""))</f>
        <v/>
      </c>
    </row>
    <row r="4288" spans="10:12" x14ac:dyDescent="0.25">
      <c r="J4288" t="str">
        <f>IF(H4288="","",IFERROR(VLOOKUP(H4288,Listas!$J$2:$K$1048576,2,FALSE),""))</f>
        <v/>
      </c>
      <c r="K4288" s="5" t="str">
        <f>IF(OR(I4288="",G4288=""),"",IF(G4288="Saída",-I4288,I4288))</f>
        <v/>
      </c>
      <c r="L4288" t="str">
        <f>IF(E4288="","",IFERROR(VLOOKUP(E4288,Listas!$A$2:$C$1048576,3,FALSE),""))</f>
        <v/>
      </c>
    </row>
    <row r="4289" spans="10:12" x14ac:dyDescent="0.25">
      <c r="J4289" t="str">
        <f>IF(H4289="","",IFERROR(VLOOKUP(H4289,Listas!$J$2:$K$1048576,2,FALSE),""))</f>
        <v/>
      </c>
      <c r="K4289" s="5" t="str">
        <f>IF(OR(I4289="",G4289=""),"",IF(G4289="Saída",-I4289,I4289))</f>
        <v/>
      </c>
      <c r="L4289" t="str">
        <f>IF(E4289="","",IFERROR(VLOOKUP(E4289,Listas!$A$2:$C$1048576,3,FALSE),""))</f>
        <v/>
      </c>
    </row>
    <row r="4290" spans="10:12" x14ac:dyDescent="0.25">
      <c r="J4290" t="str">
        <f>IF(H4290="","",IFERROR(VLOOKUP(H4290,Listas!$J$2:$K$1048576,2,FALSE),""))</f>
        <v/>
      </c>
      <c r="K4290" s="5" t="str">
        <f>IF(OR(I4290="",G4290=""),"",IF(G4290="Saída",-I4290,I4290))</f>
        <v/>
      </c>
      <c r="L4290" t="str">
        <f>IF(E4290="","",IFERROR(VLOOKUP(E4290,Listas!$A$2:$C$1048576,3,FALSE),""))</f>
        <v/>
      </c>
    </row>
    <row r="4291" spans="10:12" x14ac:dyDescent="0.25">
      <c r="J4291" t="str">
        <f>IF(H4291="","",IFERROR(VLOOKUP(H4291,Listas!$J$2:$K$1048576,2,FALSE),""))</f>
        <v/>
      </c>
      <c r="K4291" s="5" t="str">
        <f>IF(OR(I4291="",G4291=""),"",IF(G4291="Saída",-I4291,I4291))</f>
        <v/>
      </c>
      <c r="L4291" t="str">
        <f>IF(E4291="","",IFERROR(VLOOKUP(E4291,Listas!$A$2:$C$1048576,3,FALSE),""))</f>
        <v/>
      </c>
    </row>
    <row r="4292" spans="10:12" x14ac:dyDescent="0.25">
      <c r="J4292" t="str">
        <f>IF(H4292="","",IFERROR(VLOOKUP(H4292,Listas!$J$2:$K$1048576,2,FALSE),""))</f>
        <v/>
      </c>
      <c r="K4292" s="5" t="str">
        <f>IF(OR(I4292="",G4292=""),"",IF(G4292="Saída",-I4292,I4292))</f>
        <v/>
      </c>
      <c r="L4292" t="str">
        <f>IF(E4292="","",IFERROR(VLOOKUP(E4292,Listas!$A$2:$C$1048576,3,FALSE),""))</f>
        <v/>
      </c>
    </row>
    <row r="4293" spans="10:12" x14ac:dyDescent="0.25">
      <c r="J4293" t="str">
        <f>IF(H4293="","",IFERROR(VLOOKUP(H4293,Listas!$J$2:$K$1048576,2,FALSE),""))</f>
        <v/>
      </c>
      <c r="K4293" s="5" t="str">
        <f>IF(OR(I4293="",G4293=""),"",IF(G4293="Saída",-I4293,I4293))</f>
        <v/>
      </c>
      <c r="L4293" t="str">
        <f>IF(E4293="","",IFERROR(VLOOKUP(E4293,Listas!$A$2:$C$1048576,3,FALSE),""))</f>
        <v/>
      </c>
    </row>
    <row r="4294" spans="10:12" x14ac:dyDescent="0.25">
      <c r="J4294" t="str">
        <f>IF(H4294="","",IFERROR(VLOOKUP(H4294,Listas!$J$2:$K$1048576,2,FALSE),""))</f>
        <v/>
      </c>
      <c r="K4294" s="5" t="str">
        <f>IF(OR(I4294="",G4294=""),"",IF(G4294="Saída",-I4294,I4294))</f>
        <v/>
      </c>
      <c r="L4294" t="str">
        <f>IF(E4294="","",IFERROR(VLOOKUP(E4294,Listas!$A$2:$C$1048576,3,FALSE),""))</f>
        <v/>
      </c>
    </row>
    <row r="4295" spans="10:12" x14ac:dyDescent="0.25">
      <c r="J4295" t="str">
        <f>IF(H4295="","",IFERROR(VLOOKUP(H4295,Listas!$J$2:$K$1048576,2,FALSE),""))</f>
        <v/>
      </c>
      <c r="K4295" s="5" t="str">
        <f>IF(OR(I4295="",G4295=""),"",IF(G4295="Saída",-I4295,I4295))</f>
        <v/>
      </c>
      <c r="L4295" t="str">
        <f>IF(E4295="","",IFERROR(VLOOKUP(E4295,Listas!$A$2:$C$1048576,3,FALSE),""))</f>
        <v/>
      </c>
    </row>
    <row r="4296" spans="10:12" x14ac:dyDescent="0.25">
      <c r="J4296" t="str">
        <f>IF(H4296="","",IFERROR(VLOOKUP(H4296,Listas!$J$2:$K$1048576,2,FALSE),""))</f>
        <v/>
      </c>
      <c r="K4296" s="5" t="str">
        <f>IF(OR(I4296="",G4296=""),"",IF(G4296="Saída",-I4296,I4296))</f>
        <v/>
      </c>
      <c r="L4296" t="str">
        <f>IF(E4296="","",IFERROR(VLOOKUP(E4296,Listas!$A$2:$C$1048576,3,FALSE),""))</f>
        <v/>
      </c>
    </row>
    <row r="4297" spans="10:12" x14ac:dyDescent="0.25">
      <c r="J4297" t="str">
        <f>IF(H4297="","",IFERROR(VLOOKUP(H4297,Listas!$J$2:$K$1048576,2,FALSE),""))</f>
        <v/>
      </c>
      <c r="K4297" s="5" t="str">
        <f>IF(OR(I4297="",G4297=""),"",IF(G4297="Saída",-I4297,I4297))</f>
        <v/>
      </c>
      <c r="L4297" t="str">
        <f>IF(E4297="","",IFERROR(VLOOKUP(E4297,Listas!$A$2:$C$1048576,3,FALSE),""))</f>
        <v/>
      </c>
    </row>
    <row r="4298" spans="10:12" x14ac:dyDescent="0.25">
      <c r="J4298" t="str">
        <f>IF(H4298="","",IFERROR(VLOOKUP(H4298,Listas!$J$2:$K$1048576,2,FALSE),""))</f>
        <v/>
      </c>
      <c r="K4298" s="5" t="str">
        <f>IF(OR(I4298="",G4298=""),"",IF(G4298="Saída",-I4298,I4298))</f>
        <v/>
      </c>
      <c r="L4298" t="str">
        <f>IF(E4298="","",IFERROR(VLOOKUP(E4298,Listas!$A$2:$C$1048576,3,FALSE),""))</f>
        <v/>
      </c>
    </row>
    <row r="4299" spans="10:12" x14ac:dyDescent="0.25">
      <c r="J4299" t="str">
        <f>IF(H4299="","",IFERROR(VLOOKUP(H4299,Listas!$J$2:$K$1048576,2,FALSE),""))</f>
        <v/>
      </c>
      <c r="K4299" s="5" t="str">
        <f>IF(OR(I4299="",G4299=""),"",IF(G4299="Saída",-I4299,I4299))</f>
        <v/>
      </c>
      <c r="L4299" t="str">
        <f>IF(E4299="","",IFERROR(VLOOKUP(E4299,Listas!$A$2:$C$1048576,3,FALSE),""))</f>
        <v/>
      </c>
    </row>
    <row r="4300" spans="10:12" x14ac:dyDescent="0.25">
      <c r="J4300" t="str">
        <f>IF(H4300="","",IFERROR(VLOOKUP(H4300,Listas!$J$2:$K$1048576,2,FALSE),""))</f>
        <v/>
      </c>
      <c r="K4300" s="5" t="str">
        <f>IF(OR(I4300="",G4300=""),"",IF(G4300="Saída",-I4300,I4300))</f>
        <v/>
      </c>
      <c r="L4300" t="str">
        <f>IF(E4300="","",IFERROR(VLOOKUP(E4300,Listas!$A$2:$C$1048576,3,FALSE),""))</f>
        <v/>
      </c>
    </row>
    <row r="4301" spans="10:12" x14ac:dyDescent="0.25">
      <c r="J4301" t="str">
        <f>IF(H4301="","",IFERROR(VLOOKUP(H4301,Listas!$J$2:$K$1048576,2,FALSE),""))</f>
        <v/>
      </c>
      <c r="K4301" s="5" t="str">
        <f>IF(OR(I4301="",G4301=""),"",IF(G4301="Saída",-I4301,I4301))</f>
        <v/>
      </c>
      <c r="L4301" t="str">
        <f>IF(E4301="","",IFERROR(VLOOKUP(E4301,Listas!$A$2:$C$1048576,3,FALSE),""))</f>
        <v/>
      </c>
    </row>
    <row r="4302" spans="10:12" x14ac:dyDescent="0.25">
      <c r="J4302" t="str">
        <f>IF(H4302="","",IFERROR(VLOOKUP(H4302,Listas!$J$2:$K$1048576,2,FALSE),""))</f>
        <v/>
      </c>
      <c r="K4302" s="5" t="str">
        <f>IF(OR(I4302="",G4302=""),"",IF(G4302="Saída",-I4302,I4302))</f>
        <v/>
      </c>
      <c r="L4302" t="str">
        <f>IF(E4302="","",IFERROR(VLOOKUP(E4302,Listas!$A$2:$C$1048576,3,FALSE),""))</f>
        <v/>
      </c>
    </row>
    <row r="4303" spans="10:12" x14ac:dyDescent="0.25">
      <c r="J4303" t="str">
        <f>IF(H4303="","",IFERROR(VLOOKUP(H4303,Listas!$J$2:$K$1048576,2,FALSE),""))</f>
        <v/>
      </c>
      <c r="K4303" s="5" t="str">
        <f>IF(OR(I4303="",G4303=""),"",IF(G4303="Saída",-I4303,I4303))</f>
        <v/>
      </c>
      <c r="L4303" t="str">
        <f>IF(E4303="","",IFERROR(VLOOKUP(E4303,Listas!$A$2:$C$1048576,3,FALSE),""))</f>
        <v/>
      </c>
    </row>
    <row r="4304" spans="10:12" x14ac:dyDescent="0.25">
      <c r="J4304" t="str">
        <f>IF(H4304="","",IFERROR(VLOOKUP(H4304,Listas!$J$2:$K$1048576,2,FALSE),""))</f>
        <v/>
      </c>
      <c r="K4304" s="5" t="str">
        <f>IF(OR(I4304="",G4304=""),"",IF(G4304="Saída",-I4304,I4304))</f>
        <v/>
      </c>
      <c r="L4304" t="str">
        <f>IF(E4304="","",IFERROR(VLOOKUP(E4304,Listas!$A$2:$C$1048576,3,FALSE),""))</f>
        <v/>
      </c>
    </row>
    <row r="4305" spans="10:12" x14ac:dyDescent="0.25">
      <c r="J4305" t="str">
        <f>IF(H4305="","",IFERROR(VLOOKUP(H4305,Listas!$J$2:$K$1048576,2,FALSE),""))</f>
        <v/>
      </c>
      <c r="K4305" s="5" t="str">
        <f>IF(OR(I4305="",G4305=""),"",IF(G4305="Saída",-I4305,I4305))</f>
        <v/>
      </c>
      <c r="L4305" t="str">
        <f>IF(E4305="","",IFERROR(VLOOKUP(E4305,Listas!$A$2:$C$1048576,3,FALSE),""))</f>
        <v/>
      </c>
    </row>
    <row r="4306" spans="10:12" x14ac:dyDescent="0.25">
      <c r="J4306" t="str">
        <f>IF(H4306="","",IFERROR(VLOOKUP(H4306,Listas!$J$2:$K$1048576,2,FALSE),""))</f>
        <v/>
      </c>
      <c r="K4306" s="5" t="str">
        <f>IF(OR(I4306="",G4306=""),"",IF(G4306="Saída",-I4306,I4306))</f>
        <v/>
      </c>
      <c r="L4306" t="str">
        <f>IF(E4306="","",IFERROR(VLOOKUP(E4306,Listas!$A$2:$C$1048576,3,FALSE),""))</f>
        <v/>
      </c>
    </row>
    <row r="4307" spans="10:12" x14ac:dyDescent="0.25">
      <c r="J4307" t="str">
        <f>IF(H4307="","",IFERROR(VLOOKUP(H4307,Listas!$J$2:$K$1048576,2,FALSE),""))</f>
        <v/>
      </c>
      <c r="K4307" s="5" t="str">
        <f>IF(OR(I4307="",G4307=""),"",IF(G4307="Saída",-I4307,I4307))</f>
        <v/>
      </c>
      <c r="L4307" t="str">
        <f>IF(E4307="","",IFERROR(VLOOKUP(E4307,Listas!$A$2:$C$1048576,3,FALSE),""))</f>
        <v/>
      </c>
    </row>
    <row r="4308" spans="10:12" x14ac:dyDescent="0.25">
      <c r="J4308" t="str">
        <f>IF(H4308="","",IFERROR(VLOOKUP(H4308,Listas!$J$2:$K$1048576,2,FALSE),""))</f>
        <v/>
      </c>
      <c r="K4308" s="5" t="str">
        <f>IF(OR(I4308="",G4308=""),"",IF(G4308="Saída",-I4308,I4308))</f>
        <v/>
      </c>
      <c r="L4308" t="str">
        <f>IF(E4308="","",IFERROR(VLOOKUP(E4308,Listas!$A$2:$C$1048576,3,FALSE),""))</f>
        <v/>
      </c>
    </row>
    <row r="4309" spans="10:12" x14ac:dyDescent="0.25">
      <c r="J4309" t="str">
        <f>IF(H4309="","",IFERROR(VLOOKUP(H4309,Listas!$J$2:$K$1048576,2,FALSE),""))</f>
        <v/>
      </c>
      <c r="K4309" s="5" t="str">
        <f>IF(OR(I4309="",G4309=""),"",IF(G4309="Saída",-I4309,I4309))</f>
        <v/>
      </c>
      <c r="L4309" t="str">
        <f>IF(E4309="","",IFERROR(VLOOKUP(E4309,Listas!$A$2:$C$1048576,3,FALSE),""))</f>
        <v/>
      </c>
    </row>
    <row r="4310" spans="10:12" x14ac:dyDescent="0.25">
      <c r="J4310" t="str">
        <f>IF(H4310="","",IFERROR(VLOOKUP(H4310,Listas!$J$2:$K$1048576,2,FALSE),""))</f>
        <v/>
      </c>
      <c r="K4310" s="5" t="str">
        <f>IF(OR(I4310="",G4310=""),"",IF(G4310="Saída",-I4310,I4310))</f>
        <v/>
      </c>
      <c r="L4310" t="str">
        <f>IF(E4310="","",IFERROR(VLOOKUP(E4310,Listas!$A$2:$C$1048576,3,FALSE),""))</f>
        <v/>
      </c>
    </row>
    <row r="4311" spans="10:12" x14ac:dyDescent="0.25">
      <c r="J4311" t="str">
        <f>IF(H4311="","",IFERROR(VLOOKUP(H4311,Listas!$J$2:$K$1048576,2,FALSE),""))</f>
        <v/>
      </c>
      <c r="K4311" s="5" t="str">
        <f>IF(OR(I4311="",G4311=""),"",IF(G4311="Saída",-I4311,I4311))</f>
        <v/>
      </c>
      <c r="L4311" t="str">
        <f>IF(E4311="","",IFERROR(VLOOKUP(E4311,Listas!$A$2:$C$1048576,3,FALSE),""))</f>
        <v/>
      </c>
    </row>
    <row r="4312" spans="10:12" x14ac:dyDescent="0.25">
      <c r="J4312" t="str">
        <f>IF(H4312="","",IFERROR(VLOOKUP(H4312,Listas!$J$2:$K$1048576,2,FALSE),""))</f>
        <v/>
      </c>
      <c r="K4312" s="5" t="str">
        <f>IF(OR(I4312="",G4312=""),"",IF(G4312="Saída",-I4312,I4312))</f>
        <v/>
      </c>
      <c r="L4312" t="str">
        <f>IF(E4312="","",IFERROR(VLOOKUP(E4312,Listas!$A$2:$C$1048576,3,FALSE),""))</f>
        <v/>
      </c>
    </row>
    <row r="4313" spans="10:12" x14ac:dyDescent="0.25">
      <c r="J4313" t="str">
        <f>IF(H4313="","",IFERROR(VLOOKUP(H4313,Listas!$J$2:$K$1048576,2,FALSE),""))</f>
        <v/>
      </c>
      <c r="K4313" s="5" t="str">
        <f>IF(OR(I4313="",G4313=""),"",IF(G4313="Saída",-I4313,I4313))</f>
        <v/>
      </c>
      <c r="L4313" t="str">
        <f>IF(E4313="","",IFERROR(VLOOKUP(E4313,Listas!$A$2:$C$1048576,3,FALSE),""))</f>
        <v/>
      </c>
    </row>
    <row r="4314" spans="10:12" x14ac:dyDescent="0.25">
      <c r="J4314" t="str">
        <f>IF(H4314="","",IFERROR(VLOOKUP(H4314,Listas!$J$2:$K$1048576,2,FALSE),""))</f>
        <v/>
      </c>
      <c r="K4314" s="5" t="str">
        <f>IF(OR(I4314="",G4314=""),"",IF(G4314="Saída",-I4314,I4314))</f>
        <v/>
      </c>
      <c r="L4314" t="str">
        <f>IF(E4314="","",IFERROR(VLOOKUP(E4314,Listas!$A$2:$C$1048576,3,FALSE),""))</f>
        <v/>
      </c>
    </row>
    <row r="4315" spans="10:12" x14ac:dyDescent="0.25">
      <c r="J4315" t="str">
        <f>IF(H4315="","",IFERROR(VLOOKUP(H4315,Listas!$J$2:$K$1048576,2,FALSE),""))</f>
        <v/>
      </c>
      <c r="K4315" s="5" t="str">
        <f>IF(OR(I4315="",G4315=""),"",IF(G4315="Saída",-I4315,I4315))</f>
        <v/>
      </c>
      <c r="L4315" t="str">
        <f>IF(E4315="","",IFERROR(VLOOKUP(E4315,Listas!$A$2:$C$1048576,3,FALSE),""))</f>
        <v/>
      </c>
    </row>
    <row r="4316" spans="10:12" x14ac:dyDescent="0.25">
      <c r="J4316" t="str">
        <f>IF(H4316="","",IFERROR(VLOOKUP(H4316,Listas!$J$2:$K$1048576,2,FALSE),""))</f>
        <v/>
      </c>
      <c r="K4316" s="5" t="str">
        <f>IF(OR(I4316="",G4316=""),"",IF(G4316="Saída",-I4316,I4316))</f>
        <v/>
      </c>
      <c r="L4316" t="str">
        <f>IF(E4316="","",IFERROR(VLOOKUP(E4316,Listas!$A$2:$C$1048576,3,FALSE),""))</f>
        <v/>
      </c>
    </row>
    <row r="4317" spans="10:12" x14ac:dyDescent="0.25">
      <c r="J4317" t="str">
        <f>IF(H4317="","",IFERROR(VLOOKUP(H4317,Listas!$J$2:$K$1048576,2,FALSE),""))</f>
        <v/>
      </c>
      <c r="K4317" s="5" t="str">
        <f>IF(OR(I4317="",G4317=""),"",IF(G4317="Saída",-I4317,I4317))</f>
        <v/>
      </c>
      <c r="L4317" t="str">
        <f>IF(E4317="","",IFERROR(VLOOKUP(E4317,Listas!$A$2:$C$1048576,3,FALSE),""))</f>
        <v/>
      </c>
    </row>
    <row r="4318" spans="10:12" x14ac:dyDescent="0.25">
      <c r="J4318" t="str">
        <f>IF(H4318="","",IFERROR(VLOOKUP(H4318,Listas!$J$2:$K$1048576,2,FALSE),""))</f>
        <v/>
      </c>
      <c r="K4318" s="5" t="str">
        <f>IF(OR(I4318="",G4318=""),"",IF(G4318="Saída",-I4318,I4318))</f>
        <v/>
      </c>
      <c r="L4318" t="str">
        <f>IF(E4318="","",IFERROR(VLOOKUP(E4318,Listas!$A$2:$C$1048576,3,FALSE),""))</f>
        <v/>
      </c>
    </row>
    <row r="4319" spans="10:12" x14ac:dyDescent="0.25">
      <c r="J4319" t="str">
        <f>IF(H4319="","",IFERROR(VLOOKUP(H4319,Listas!$J$2:$K$1048576,2,FALSE),""))</f>
        <v/>
      </c>
      <c r="K4319" s="5" t="str">
        <f>IF(OR(I4319="",G4319=""),"",IF(G4319="Saída",-I4319,I4319))</f>
        <v/>
      </c>
      <c r="L4319" t="str">
        <f>IF(E4319="","",IFERROR(VLOOKUP(E4319,Listas!$A$2:$C$1048576,3,FALSE),""))</f>
        <v/>
      </c>
    </row>
    <row r="4320" spans="10:12" x14ac:dyDescent="0.25">
      <c r="J4320" t="str">
        <f>IF(H4320="","",IFERROR(VLOOKUP(H4320,Listas!$J$2:$K$1048576,2,FALSE),""))</f>
        <v/>
      </c>
      <c r="K4320" s="5" t="str">
        <f>IF(OR(I4320="",G4320=""),"",IF(G4320="Saída",-I4320,I4320))</f>
        <v/>
      </c>
      <c r="L4320" t="str">
        <f>IF(E4320="","",IFERROR(VLOOKUP(E4320,Listas!$A$2:$C$1048576,3,FALSE),""))</f>
        <v/>
      </c>
    </row>
    <row r="4321" spans="10:12" x14ac:dyDescent="0.25">
      <c r="J4321" t="str">
        <f>IF(H4321="","",IFERROR(VLOOKUP(H4321,Listas!$J$2:$K$1048576,2,FALSE),""))</f>
        <v/>
      </c>
      <c r="K4321" s="5" t="str">
        <f>IF(OR(I4321="",G4321=""),"",IF(G4321="Saída",-I4321,I4321))</f>
        <v/>
      </c>
      <c r="L4321" t="str">
        <f>IF(E4321="","",IFERROR(VLOOKUP(E4321,Listas!$A$2:$C$1048576,3,FALSE),""))</f>
        <v/>
      </c>
    </row>
    <row r="4322" spans="10:12" x14ac:dyDescent="0.25">
      <c r="J4322" t="str">
        <f>IF(H4322="","",IFERROR(VLOOKUP(H4322,Listas!$J$2:$K$1048576,2,FALSE),""))</f>
        <v/>
      </c>
      <c r="K4322" s="5" t="str">
        <f>IF(OR(I4322="",G4322=""),"",IF(G4322="Saída",-I4322,I4322))</f>
        <v/>
      </c>
      <c r="L4322" t="str">
        <f>IF(E4322="","",IFERROR(VLOOKUP(E4322,Listas!$A$2:$C$1048576,3,FALSE),""))</f>
        <v/>
      </c>
    </row>
    <row r="4323" spans="10:12" x14ac:dyDescent="0.25">
      <c r="J4323" t="str">
        <f>IF(H4323="","",IFERROR(VLOOKUP(H4323,Listas!$J$2:$K$1048576,2,FALSE),""))</f>
        <v/>
      </c>
      <c r="K4323" s="5" t="str">
        <f>IF(OR(I4323="",G4323=""),"",IF(G4323="Saída",-I4323,I4323))</f>
        <v/>
      </c>
      <c r="L4323" t="str">
        <f>IF(E4323="","",IFERROR(VLOOKUP(E4323,Listas!$A$2:$C$1048576,3,FALSE),""))</f>
        <v/>
      </c>
    </row>
    <row r="4324" spans="10:12" x14ac:dyDescent="0.25">
      <c r="J4324" t="str">
        <f>IF(H4324="","",IFERROR(VLOOKUP(H4324,Listas!$J$2:$K$1048576,2,FALSE),""))</f>
        <v/>
      </c>
      <c r="K4324" s="5" t="str">
        <f>IF(OR(I4324="",G4324=""),"",IF(G4324="Saída",-I4324,I4324))</f>
        <v/>
      </c>
      <c r="L4324" t="str">
        <f>IF(E4324="","",IFERROR(VLOOKUP(E4324,Listas!$A$2:$C$1048576,3,FALSE),""))</f>
        <v/>
      </c>
    </row>
    <row r="4325" spans="10:12" x14ac:dyDescent="0.25">
      <c r="J4325" t="str">
        <f>IF(H4325="","",IFERROR(VLOOKUP(H4325,Listas!$J$2:$K$1048576,2,FALSE),""))</f>
        <v/>
      </c>
      <c r="K4325" s="5" t="str">
        <f>IF(OR(I4325="",G4325=""),"",IF(G4325="Saída",-I4325,I4325))</f>
        <v/>
      </c>
      <c r="L4325" t="str">
        <f>IF(E4325="","",IFERROR(VLOOKUP(E4325,Listas!$A$2:$C$1048576,3,FALSE),""))</f>
        <v/>
      </c>
    </row>
    <row r="4326" spans="10:12" x14ac:dyDescent="0.25">
      <c r="J4326" t="str">
        <f>IF(H4326="","",IFERROR(VLOOKUP(H4326,Listas!$J$2:$K$1048576,2,FALSE),""))</f>
        <v/>
      </c>
      <c r="K4326" s="5" t="str">
        <f>IF(OR(I4326="",G4326=""),"",IF(G4326="Saída",-I4326,I4326))</f>
        <v/>
      </c>
      <c r="L4326" t="str">
        <f>IF(E4326="","",IFERROR(VLOOKUP(E4326,Listas!$A$2:$C$1048576,3,FALSE),""))</f>
        <v/>
      </c>
    </row>
    <row r="4327" spans="10:12" x14ac:dyDescent="0.25">
      <c r="J4327" t="str">
        <f>IF(H4327="","",IFERROR(VLOOKUP(H4327,Listas!$J$2:$K$1048576,2,FALSE),""))</f>
        <v/>
      </c>
      <c r="K4327" s="5" t="str">
        <f>IF(OR(I4327="",G4327=""),"",IF(G4327="Saída",-I4327,I4327))</f>
        <v/>
      </c>
      <c r="L4327" t="str">
        <f>IF(E4327="","",IFERROR(VLOOKUP(E4327,Listas!$A$2:$C$1048576,3,FALSE),""))</f>
        <v/>
      </c>
    </row>
    <row r="4328" spans="10:12" x14ac:dyDescent="0.25">
      <c r="J4328" t="str">
        <f>IF(H4328="","",IFERROR(VLOOKUP(H4328,Listas!$J$2:$K$1048576,2,FALSE),""))</f>
        <v/>
      </c>
      <c r="K4328" s="5" t="str">
        <f>IF(OR(I4328="",G4328=""),"",IF(G4328="Saída",-I4328,I4328))</f>
        <v/>
      </c>
      <c r="L4328" t="str">
        <f>IF(E4328="","",IFERROR(VLOOKUP(E4328,Listas!$A$2:$C$1048576,3,FALSE),""))</f>
        <v/>
      </c>
    </row>
    <row r="4329" spans="10:12" x14ac:dyDescent="0.25">
      <c r="J4329" t="str">
        <f>IF(H4329="","",IFERROR(VLOOKUP(H4329,Listas!$J$2:$K$1048576,2,FALSE),""))</f>
        <v/>
      </c>
      <c r="K4329" s="5" t="str">
        <f>IF(OR(I4329="",G4329=""),"",IF(G4329="Saída",-I4329,I4329))</f>
        <v/>
      </c>
      <c r="L4329" t="str">
        <f>IF(E4329="","",IFERROR(VLOOKUP(E4329,Listas!$A$2:$C$1048576,3,FALSE),""))</f>
        <v/>
      </c>
    </row>
    <row r="4330" spans="10:12" x14ac:dyDescent="0.25">
      <c r="J4330" t="str">
        <f>IF(H4330="","",IFERROR(VLOOKUP(H4330,Listas!$J$2:$K$1048576,2,FALSE),""))</f>
        <v/>
      </c>
      <c r="K4330" s="5" t="str">
        <f>IF(OR(I4330="",G4330=""),"",IF(G4330="Saída",-I4330,I4330))</f>
        <v/>
      </c>
      <c r="L4330" t="str">
        <f>IF(E4330="","",IFERROR(VLOOKUP(E4330,Listas!$A$2:$C$1048576,3,FALSE),""))</f>
        <v/>
      </c>
    </row>
    <row r="4331" spans="10:12" x14ac:dyDescent="0.25">
      <c r="J4331" t="str">
        <f>IF(H4331="","",IFERROR(VLOOKUP(H4331,Listas!$J$2:$K$1048576,2,FALSE),""))</f>
        <v/>
      </c>
      <c r="K4331" s="5" t="str">
        <f>IF(OR(I4331="",G4331=""),"",IF(G4331="Saída",-I4331,I4331))</f>
        <v/>
      </c>
      <c r="L4331" t="str">
        <f>IF(E4331="","",IFERROR(VLOOKUP(E4331,Listas!$A$2:$C$1048576,3,FALSE),""))</f>
        <v/>
      </c>
    </row>
    <row r="4332" spans="10:12" x14ac:dyDescent="0.25">
      <c r="J4332" t="str">
        <f>IF(H4332="","",IFERROR(VLOOKUP(H4332,Listas!$J$2:$K$1048576,2,FALSE),""))</f>
        <v/>
      </c>
      <c r="K4332" s="5" t="str">
        <f>IF(OR(I4332="",G4332=""),"",IF(G4332="Saída",-I4332,I4332))</f>
        <v/>
      </c>
      <c r="L4332" t="str">
        <f>IF(E4332="","",IFERROR(VLOOKUP(E4332,Listas!$A$2:$C$1048576,3,FALSE),""))</f>
        <v/>
      </c>
    </row>
    <row r="4333" spans="10:12" x14ac:dyDescent="0.25">
      <c r="J4333" t="str">
        <f>IF(H4333="","",IFERROR(VLOOKUP(H4333,Listas!$J$2:$K$1048576,2,FALSE),""))</f>
        <v/>
      </c>
      <c r="K4333" s="5" t="str">
        <f>IF(OR(I4333="",G4333=""),"",IF(G4333="Saída",-I4333,I4333))</f>
        <v/>
      </c>
      <c r="L4333" t="str">
        <f>IF(E4333="","",IFERROR(VLOOKUP(E4333,Listas!$A$2:$C$1048576,3,FALSE),""))</f>
        <v/>
      </c>
    </row>
    <row r="4334" spans="10:12" x14ac:dyDescent="0.25">
      <c r="J4334" t="str">
        <f>IF(H4334="","",IFERROR(VLOOKUP(H4334,Listas!$J$2:$K$1048576,2,FALSE),""))</f>
        <v/>
      </c>
      <c r="K4334" s="5" t="str">
        <f>IF(OR(I4334="",G4334=""),"",IF(G4334="Saída",-I4334,I4334))</f>
        <v/>
      </c>
      <c r="L4334" t="str">
        <f>IF(E4334="","",IFERROR(VLOOKUP(E4334,Listas!$A$2:$C$1048576,3,FALSE),""))</f>
        <v/>
      </c>
    </row>
    <row r="4335" spans="10:12" x14ac:dyDescent="0.25">
      <c r="J4335" t="str">
        <f>IF(H4335="","",IFERROR(VLOOKUP(H4335,Listas!$J$2:$K$1048576,2,FALSE),""))</f>
        <v/>
      </c>
      <c r="K4335" s="5" t="str">
        <f>IF(OR(I4335="",G4335=""),"",IF(G4335="Saída",-I4335,I4335))</f>
        <v/>
      </c>
      <c r="L4335" t="str">
        <f>IF(E4335="","",IFERROR(VLOOKUP(E4335,Listas!$A$2:$C$1048576,3,FALSE),""))</f>
        <v/>
      </c>
    </row>
    <row r="4336" spans="10:12" x14ac:dyDescent="0.25">
      <c r="J4336" t="str">
        <f>IF(H4336="","",IFERROR(VLOOKUP(H4336,Listas!$J$2:$K$1048576,2,FALSE),""))</f>
        <v/>
      </c>
      <c r="K4336" s="5" t="str">
        <f>IF(OR(I4336="",G4336=""),"",IF(G4336="Saída",-I4336,I4336))</f>
        <v/>
      </c>
      <c r="L4336" t="str">
        <f>IF(E4336="","",IFERROR(VLOOKUP(E4336,Listas!$A$2:$C$1048576,3,FALSE),""))</f>
        <v/>
      </c>
    </row>
    <row r="4337" spans="10:12" x14ac:dyDescent="0.25">
      <c r="J4337" t="str">
        <f>IF(H4337="","",IFERROR(VLOOKUP(H4337,Listas!$J$2:$K$1048576,2,FALSE),""))</f>
        <v/>
      </c>
      <c r="K4337" s="5" t="str">
        <f>IF(OR(I4337="",G4337=""),"",IF(G4337="Saída",-I4337,I4337))</f>
        <v/>
      </c>
      <c r="L4337" t="str">
        <f>IF(E4337="","",IFERROR(VLOOKUP(E4337,Listas!$A$2:$C$1048576,3,FALSE),""))</f>
        <v/>
      </c>
    </row>
    <row r="4338" spans="10:12" x14ac:dyDescent="0.25">
      <c r="J4338" t="str">
        <f>IF(H4338="","",IFERROR(VLOOKUP(H4338,Listas!$J$2:$K$1048576,2,FALSE),""))</f>
        <v/>
      </c>
      <c r="K4338" s="5" t="str">
        <f>IF(OR(I4338="",G4338=""),"",IF(G4338="Saída",-I4338,I4338))</f>
        <v/>
      </c>
      <c r="L4338" t="str">
        <f>IF(E4338="","",IFERROR(VLOOKUP(E4338,Listas!$A$2:$C$1048576,3,FALSE),""))</f>
        <v/>
      </c>
    </row>
    <row r="4339" spans="10:12" x14ac:dyDescent="0.25">
      <c r="J4339" t="str">
        <f>IF(H4339="","",IFERROR(VLOOKUP(H4339,Listas!$J$2:$K$1048576,2,FALSE),""))</f>
        <v/>
      </c>
      <c r="K4339" s="5" t="str">
        <f>IF(OR(I4339="",G4339=""),"",IF(G4339="Saída",-I4339,I4339))</f>
        <v/>
      </c>
      <c r="L4339" t="str">
        <f>IF(E4339="","",IFERROR(VLOOKUP(E4339,Listas!$A$2:$C$1048576,3,FALSE),""))</f>
        <v/>
      </c>
    </row>
    <row r="4340" spans="10:12" x14ac:dyDescent="0.25">
      <c r="J4340" t="str">
        <f>IF(H4340="","",IFERROR(VLOOKUP(H4340,Listas!$J$2:$K$1048576,2,FALSE),""))</f>
        <v/>
      </c>
      <c r="K4340" s="5" t="str">
        <f>IF(OR(I4340="",G4340=""),"",IF(G4340="Saída",-I4340,I4340))</f>
        <v/>
      </c>
      <c r="L4340" t="str">
        <f>IF(E4340="","",IFERROR(VLOOKUP(E4340,Listas!$A$2:$C$1048576,3,FALSE),""))</f>
        <v/>
      </c>
    </row>
    <row r="4341" spans="10:12" x14ac:dyDescent="0.25">
      <c r="J4341" t="str">
        <f>IF(H4341="","",IFERROR(VLOOKUP(H4341,Listas!$J$2:$K$1048576,2,FALSE),""))</f>
        <v/>
      </c>
      <c r="K4341" s="5" t="str">
        <f>IF(OR(I4341="",G4341=""),"",IF(G4341="Saída",-I4341,I4341))</f>
        <v/>
      </c>
      <c r="L4341" t="str">
        <f>IF(E4341="","",IFERROR(VLOOKUP(E4341,Listas!$A$2:$C$1048576,3,FALSE),""))</f>
        <v/>
      </c>
    </row>
    <row r="4342" spans="10:12" x14ac:dyDescent="0.25">
      <c r="J4342" t="str">
        <f>IF(H4342="","",IFERROR(VLOOKUP(H4342,Listas!$J$2:$K$1048576,2,FALSE),""))</f>
        <v/>
      </c>
      <c r="K4342" s="5" t="str">
        <f>IF(OR(I4342="",G4342=""),"",IF(G4342="Saída",-I4342,I4342))</f>
        <v/>
      </c>
      <c r="L4342" t="str">
        <f>IF(E4342="","",IFERROR(VLOOKUP(E4342,Listas!$A$2:$C$1048576,3,FALSE),""))</f>
        <v/>
      </c>
    </row>
    <row r="4343" spans="10:12" x14ac:dyDescent="0.25">
      <c r="J4343" t="str">
        <f>IF(H4343="","",IFERROR(VLOOKUP(H4343,Listas!$J$2:$K$1048576,2,FALSE),""))</f>
        <v/>
      </c>
      <c r="K4343" s="5" t="str">
        <f>IF(OR(I4343="",G4343=""),"",IF(G4343="Saída",-I4343,I4343))</f>
        <v/>
      </c>
      <c r="L4343" t="str">
        <f>IF(E4343="","",IFERROR(VLOOKUP(E4343,Listas!$A$2:$C$1048576,3,FALSE),""))</f>
        <v/>
      </c>
    </row>
    <row r="4344" spans="10:12" x14ac:dyDescent="0.25">
      <c r="J4344" t="str">
        <f>IF(H4344="","",IFERROR(VLOOKUP(H4344,Listas!$J$2:$K$1048576,2,FALSE),""))</f>
        <v/>
      </c>
      <c r="K4344" s="5" t="str">
        <f>IF(OR(I4344="",G4344=""),"",IF(G4344="Saída",-I4344,I4344))</f>
        <v/>
      </c>
      <c r="L4344" t="str">
        <f>IF(E4344="","",IFERROR(VLOOKUP(E4344,Listas!$A$2:$C$1048576,3,FALSE),""))</f>
        <v/>
      </c>
    </row>
    <row r="4345" spans="10:12" x14ac:dyDescent="0.25">
      <c r="J4345" t="str">
        <f>IF(H4345="","",IFERROR(VLOOKUP(H4345,Listas!$J$2:$K$1048576,2,FALSE),""))</f>
        <v/>
      </c>
      <c r="K4345" s="5" t="str">
        <f>IF(OR(I4345="",G4345=""),"",IF(G4345="Saída",-I4345,I4345))</f>
        <v/>
      </c>
      <c r="L4345" t="str">
        <f>IF(E4345="","",IFERROR(VLOOKUP(E4345,Listas!$A$2:$C$1048576,3,FALSE),""))</f>
        <v/>
      </c>
    </row>
    <row r="4346" spans="10:12" x14ac:dyDescent="0.25">
      <c r="J4346" t="str">
        <f>IF(H4346="","",IFERROR(VLOOKUP(H4346,Listas!$J$2:$K$1048576,2,FALSE),""))</f>
        <v/>
      </c>
      <c r="K4346" s="5" t="str">
        <f>IF(OR(I4346="",G4346=""),"",IF(G4346="Saída",-I4346,I4346))</f>
        <v/>
      </c>
      <c r="L4346" t="str">
        <f>IF(E4346="","",IFERROR(VLOOKUP(E4346,Listas!$A$2:$C$1048576,3,FALSE),""))</f>
        <v/>
      </c>
    </row>
    <row r="4347" spans="10:12" x14ac:dyDescent="0.25">
      <c r="J4347" t="str">
        <f>IF(H4347="","",IFERROR(VLOOKUP(H4347,Listas!$J$2:$K$1048576,2,FALSE),""))</f>
        <v/>
      </c>
      <c r="K4347" s="5" t="str">
        <f>IF(OR(I4347="",G4347=""),"",IF(G4347="Saída",-I4347,I4347))</f>
        <v/>
      </c>
      <c r="L4347" t="str">
        <f>IF(E4347="","",IFERROR(VLOOKUP(E4347,Listas!$A$2:$C$1048576,3,FALSE),""))</f>
        <v/>
      </c>
    </row>
    <row r="4348" spans="10:12" x14ac:dyDescent="0.25">
      <c r="J4348" t="str">
        <f>IF(H4348="","",IFERROR(VLOOKUP(H4348,Listas!$J$2:$K$1048576,2,FALSE),""))</f>
        <v/>
      </c>
      <c r="K4348" s="5" t="str">
        <f>IF(OR(I4348="",G4348=""),"",IF(G4348="Saída",-I4348,I4348))</f>
        <v/>
      </c>
      <c r="L4348" t="str">
        <f>IF(E4348="","",IFERROR(VLOOKUP(E4348,Listas!$A$2:$C$1048576,3,FALSE),""))</f>
        <v/>
      </c>
    </row>
    <row r="4349" spans="10:12" x14ac:dyDescent="0.25">
      <c r="J4349" t="str">
        <f>IF(H4349="","",IFERROR(VLOOKUP(H4349,Listas!$J$2:$K$1048576,2,FALSE),""))</f>
        <v/>
      </c>
      <c r="K4349" s="5" t="str">
        <f>IF(OR(I4349="",G4349=""),"",IF(G4349="Saída",-I4349,I4349))</f>
        <v/>
      </c>
      <c r="L4349" t="str">
        <f>IF(E4349="","",IFERROR(VLOOKUP(E4349,Listas!$A$2:$C$1048576,3,FALSE),""))</f>
        <v/>
      </c>
    </row>
    <row r="4350" spans="10:12" x14ac:dyDescent="0.25">
      <c r="J4350" t="str">
        <f>IF(H4350="","",IFERROR(VLOOKUP(H4350,Listas!$J$2:$K$1048576,2,FALSE),""))</f>
        <v/>
      </c>
      <c r="K4350" s="5" t="str">
        <f>IF(OR(I4350="",G4350=""),"",IF(G4350="Saída",-I4350,I4350))</f>
        <v/>
      </c>
      <c r="L4350" t="str">
        <f>IF(E4350="","",IFERROR(VLOOKUP(E4350,Listas!$A$2:$C$1048576,3,FALSE),""))</f>
        <v/>
      </c>
    </row>
    <row r="4351" spans="10:12" x14ac:dyDescent="0.25">
      <c r="J4351" t="str">
        <f>IF(H4351="","",IFERROR(VLOOKUP(H4351,Listas!$J$2:$K$1048576,2,FALSE),""))</f>
        <v/>
      </c>
      <c r="K4351" s="5" t="str">
        <f>IF(OR(I4351="",G4351=""),"",IF(G4351="Saída",-I4351,I4351))</f>
        <v/>
      </c>
      <c r="L4351" t="str">
        <f>IF(E4351="","",IFERROR(VLOOKUP(E4351,Listas!$A$2:$C$1048576,3,FALSE),""))</f>
        <v/>
      </c>
    </row>
    <row r="4352" spans="10:12" x14ac:dyDescent="0.25">
      <c r="J4352" t="str">
        <f>IF(H4352="","",IFERROR(VLOOKUP(H4352,Listas!$J$2:$K$1048576,2,FALSE),""))</f>
        <v/>
      </c>
      <c r="K4352" s="5" t="str">
        <f>IF(OR(I4352="",G4352=""),"",IF(G4352="Saída",-I4352,I4352))</f>
        <v/>
      </c>
      <c r="L4352" t="str">
        <f>IF(E4352="","",IFERROR(VLOOKUP(E4352,Listas!$A$2:$C$1048576,3,FALSE),""))</f>
        <v/>
      </c>
    </row>
    <row r="4353" spans="10:12" x14ac:dyDescent="0.25">
      <c r="J4353" t="str">
        <f>IF(H4353="","",IFERROR(VLOOKUP(H4353,Listas!$J$2:$K$1048576,2,FALSE),""))</f>
        <v/>
      </c>
      <c r="K4353" s="5" t="str">
        <f>IF(OR(I4353="",G4353=""),"",IF(G4353="Saída",-I4353,I4353))</f>
        <v/>
      </c>
      <c r="L4353" t="str">
        <f>IF(E4353="","",IFERROR(VLOOKUP(E4353,Listas!$A$2:$C$1048576,3,FALSE),""))</f>
        <v/>
      </c>
    </row>
    <row r="4354" spans="10:12" x14ac:dyDescent="0.25">
      <c r="J4354" t="str">
        <f>IF(H4354="","",IFERROR(VLOOKUP(H4354,Listas!$J$2:$K$1048576,2,FALSE),""))</f>
        <v/>
      </c>
      <c r="K4354" s="5" t="str">
        <f>IF(OR(I4354="",G4354=""),"",IF(G4354="Saída",-I4354,I4354))</f>
        <v/>
      </c>
      <c r="L4354" t="str">
        <f>IF(E4354="","",IFERROR(VLOOKUP(E4354,Listas!$A$2:$C$1048576,3,FALSE),""))</f>
        <v/>
      </c>
    </row>
    <row r="4355" spans="10:12" x14ac:dyDescent="0.25">
      <c r="J4355" t="str">
        <f>IF(H4355="","",IFERROR(VLOOKUP(H4355,Listas!$J$2:$K$1048576,2,FALSE),""))</f>
        <v/>
      </c>
      <c r="K4355" s="5" t="str">
        <f>IF(OR(I4355="",G4355=""),"",IF(G4355="Saída",-I4355,I4355))</f>
        <v/>
      </c>
      <c r="L4355" t="str">
        <f>IF(E4355="","",IFERROR(VLOOKUP(E4355,Listas!$A$2:$C$1048576,3,FALSE),""))</f>
        <v/>
      </c>
    </row>
    <row r="4356" spans="10:12" x14ac:dyDescent="0.25">
      <c r="J4356" t="str">
        <f>IF(H4356="","",IFERROR(VLOOKUP(H4356,Listas!$J$2:$K$1048576,2,FALSE),""))</f>
        <v/>
      </c>
      <c r="K4356" s="5" t="str">
        <f>IF(OR(I4356="",G4356=""),"",IF(G4356="Saída",-I4356,I4356))</f>
        <v/>
      </c>
      <c r="L4356" t="str">
        <f>IF(E4356="","",IFERROR(VLOOKUP(E4356,Listas!$A$2:$C$1048576,3,FALSE),""))</f>
        <v/>
      </c>
    </row>
    <row r="4357" spans="10:12" x14ac:dyDescent="0.25">
      <c r="J4357" t="str">
        <f>IF(H4357="","",IFERROR(VLOOKUP(H4357,Listas!$J$2:$K$1048576,2,FALSE),""))</f>
        <v/>
      </c>
      <c r="K4357" s="5" t="str">
        <f>IF(OR(I4357="",G4357=""),"",IF(G4357="Saída",-I4357,I4357))</f>
        <v/>
      </c>
      <c r="L4357" t="str">
        <f>IF(E4357="","",IFERROR(VLOOKUP(E4357,Listas!$A$2:$C$1048576,3,FALSE),""))</f>
        <v/>
      </c>
    </row>
    <row r="4358" spans="10:12" x14ac:dyDescent="0.25">
      <c r="J4358" t="str">
        <f>IF(H4358="","",IFERROR(VLOOKUP(H4358,Listas!$J$2:$K$1048576,2,FALSE),""))</f>
        <v/>
      </c>
      <c r="K4358" s="5" t="str">
        <f>IF(OR(I4358="",G4358=""),"",IF(G4358="Saída",-I4358,I4358))</f>
        <v/>
      </c>
      <c r="L4358" t="str">
        <f>IF(E4358="","",IFERROR(VLOOKUP(E4358,Listas!$A$2:$C$1048576,3,FALSE),""))</f>
        <v/>
      </c>
    </row>
    <row r="4359" spans="10:12" x14ac:dyDescent="0.25">
      <c r="J4359" t="str">
        <f>IF(H4359="","",IFERROR(VLOOKUP(H4359,Listas!$J$2:$K$1048576,2,FALSE),""))</f>
        <v/>
      </c>
      <c r="K4359" s="5" t="str">
        <f>IF(OR(I4359="",G4359=""),"",IF(G4359="Saída",-I4359,I4359))</f>
        <v/>
      </c>
      <c r="L4359" t="str">
        <f>IF(E4359="","",IFERROR(VLOOKUP(E4359,Listas!$A$2:$C$1048576,3,FALSE),""))</f>
        <v/>
      </c>
    </row>
    <row r="4360" spans="10:12" x14ac:dyDescent="0.25">
      <c r="J4360" t="str">
        <f>IF(H4360="","",IFERROR(VLOOKUP(H4360,Listas!$J$2:$K$1048576,2,FALSE),""))</f>
        <v/>
      </c>
      <c r="K4360" s="5" t="str">
        <f>IF(OR(I4360="",G4360=""),"",IF(G4360="Saída",-I4360,I4360))</f>
        <v/>
      </c>
      <c r="L4360" t="str">
        <f>IF(E4360="","",IFERROR(VLOOKUP(E4360,Listas!$A$2:$C$1048576,3,FALSE),""))</f>
        <v/>
      </c>
    </row>
    <row r="4361" spans="10:12" x14ac:dyDescent="0.25">
      <c r="J4361" t="str">
        <f>IF(H4361="","",IFERROR(VLOOKUP(H4361,Listas!$J$2:$K$1048576,2,FALSE),""))</f>
        <v/>
      </c>
      <c r="K4361" s="5" t="str">
        <f>IF(OR(I4361="",G4361=""),"",IF(G4361="Saída",-I4361,I4361))</f>
        <v/>
      </c>
      <c r="L4361" t="str">
        <f>IF(E4361="","",IFERROR(VLOOKUP(E4361,Listas!$A$2:$C$1048576,3,FALSE),""))</f>
        <v/>
      </c>
    </row>
    <row r="4362" spans="10:12" x14ac:dyDescent="0.25">
      <c r="J4362" t="str">
        <f>IF(H4362="","",IFERROR(VLOOKUP(H4362,Listas!$J$2:$K$1048576,2,FALSE),""))</f>
        <v/>
      </c>
      <c r="K4362" s="5" t="str">
        <f>IF(OR(I4362="",G4362=""),"",IF(G4362="Saída",-I4362,I4362))</f>
        <v/>
      </c>
      <c r="L4362" t="str">
        <f>IF(E4362="","",IFERROR(VLOOKUP(E4362,Listas!$A$2:$C$1048576,3,FALSE),""))</f>
        <v/>
      </c>
    </row>
    <row r="4363" spans="10:12" x14ac:dyDescent="0.25">
      <c r="J4363" t="str">
        <f>IF(H4363="","",IFERROR(VLOOKUP(H4363,Listas!$J$2:$K$1048576,2,FALSE),""))</f>
        <v/>
      </c>
      <c r="K4363" s="5" t="str">
        <f>IF(OR(I4363="",G4363=""),"",IF(G4363="Saída",-I4363,I4363))</f>
        <v/>
      </c>
      <c r="L4363" t="str">
        <f>IF(E4363="","",IFERROR(VLOOKUP(E4363,Listas!$A$2:$C$1048576,3,FALSE),""))</f>
        <v/>
      </c>
    </row>
    <row r="4364" spans="10:12" x14ac:dyDescent="0.25">
      <c r="J4364" t="str">
        <f>IF(H4364="","",IFERROR(VLOOKUP(H4364,Listas!$J$2:$K$1048576,2,FALSE),""))</f>
        <v/>
      </c>
      <c r="K4364" s="5" t="str">
        <f>IF(OR(I4364="",G4364=""),"",IF(G4364="Saída",-I4364,I4364))</f>
        <v/>
      </c>
      <c r="L4364" t="str">
        <f>IF(E4364="","",IFERROR(VLOOKUP(E4364,Listas!$A$2:$C$1048576,3,FALSE),""))</f>
        <v/>
      </c>
    </row>
    <row r="4365" spans="10:12" x14ac:dyDescent="0.25">
      <c r="J4365" t="str">
        <f>IF(H4365="","",IFERROR(VLOOKUP(H4365,Listas!$J$2:$K$1048576,2,FALSE),""))</f>
        <v/>
      </c>
      <c r="K4365" s="5" t="str">
        <f>IF(OR(I4365="",G4365=""),"",IF(G4365="Saída",-I4365,I4365))</f>
        <v/>
      </c>
      <c r="L4365" t="str">
        <f>IF(E4365="","",IFERROR(VLOOKUP(E4365,Listas!$A$2:$C$1048576,3,FALSE),""))</f>
        <v/>
      </c>
    </row>
    <row r="4366" spans="10:12" x14ac:dyDescent="0.25">
      <c r="J4366" t="str">
        <f>IF(H4366="","",IFERROR(VLOOKUP(H4366,Listas!$J$2:$K$1048576,2,FALSE),""))</f>
        <v/>
      </c>
      <c r="K4366" s="5" t="str">
        <f>IF(OR(I4366="",G4366=""),"",IF(G4366="Saída",-I4366,I4366))</f>
        <v/>
      </c>
      <c r="L4366" t="str">
        <f>IF(E4366="","",IFERROR(VLOOKUP(E4366,Listas!$A$2:$C$1048576,3,FALSE),""))</f>
        <v/>
      </c>
    </row>
    <row r="4367" spans="10:12" x14ac:dyDescent="0.25">
      <c r="J4367" t="str">
        <f>IF(H4367="","",IFERROR(VLOOKUP(H4367,Listas!$J$2:$K$1048576,2,FALSE),""))</f>
        <v/>
      </c>
      <c r="K4367" s="5" t="str">
        <f>IF(OR(I4367="",G4367=""),"",IF(G4367="Saída",-I4367,I4367))</f>
        <v/>
      </c>
      <c r="L4367" t="str">
        <f>IF(E4367="","",IFERROR(VLOOKUP(E4367,Listas!$A$2:$C$1048576,3,FALSE),""))</f>
        <v/>
      </c>
    </row>
    <row r="4368" spans="10:12" x14ac:dyDescent="0.25">
      <c r="J4368" t="str">
        <f>IF(H4368="","",IFERROR(VLOOKUP(H4368,Listas!$J$2:$K$1048576,2,FALSE),""))</f>
        <v/>
      </c>
      <c r="K4368" s="5" t="str">
        <f>IF(OR(I4368="",G4368=""),"",IF(G4368="Saída",-I4368,I4368))</f>
        <v/>
      </c>
      <c r="L4368" t="str">
        <f>IF(E4368="","",IFERROR(VLOOKUP(E4368,Listas!$A$2:$C$1048576,3,FALSE),""))</f>
        <v/>
      </c>
    </row>
    <row r="4369" spans="10:12" x14ac:dyDescent="0.25">
      <c r="J4369" t="str">
        <f>IF(H4369="","",IFERROR(VLOOKUP(H4369,Listas!$J$2:$K$1048576,2,FALSE),""))</f>
        <v/>
      </c>
      <c r="K4369" s="5" t="str">
        <f>IF(OR(I4369="",G4369=""),"",IF(G4369="Saída",-I4369,I4369))</f>
        <v/>
      </c>
      <c r="L4369" t="str">
        <f>IF(E4369="","",IFERROR(VLOOKUP(E4369,Listas!$A$2:$C$1048576,3,FALSE),""))</f>
        <v/>
      </c>
    </row>
    <row r="4370" spans="10:12" x14ac:dyDescent="0.25">
      <c r="J4370" t="str">
        <f>IF(H4370="","",IFERROR(VLOOKUP(H4370,Listas!$J$2:$K$1048576,2,FALSE),""))</f>
        <v/>
      </c>
      <c r="K4370" s="5" t="str">
        <f>IF(OR(I4370="",G4370=""),"",IF(G4370="Saída",-I4370,I4370))</f>
        <v/>
      </c>
      <c r="L4370" t="str">
        <f>IF(E4370="","",IFERROR(VLOOKUP(E4370,Listas!$A$2:$C$1048576,3,FALSE),""))</f>
        <v/>
      </c>
    </row>
    <row r="4371" spans="10:12" x14ac:dyDescent="0.25">
      <c r="J4371" t="str">
        <f>IF(H4371="","",IFERROR(VLOOKUP(H4371,Listas!$J$2:$K$1048576,2,FALSE),""))</f>
        <v/>
      </c>
      <c r="K4371" s="5" t="str">
        <f>IF(OR(I4371="",G4371=""),"",IF(G4371="Saída",-I4371,I4371))</f>
        <v/>
      </c>
      <c r="L4371" t="str">
        <f>IF(E4371="","",IFERROR(VLOOKUP(E4371,Listas!$A$2:$C$1048576,3,FALSE),""))</f>
        <v/>
      </c>
    </row>
    <row r="4372" spans="10:12" x14ac:dyDescent="0.25">
      <c r="J4372" t="str">
        <f>IF(H4372="","",IFERROR(VLOOKUP(H4372,Listas!$J$2:$K$1048576,2,FALSE),""))</f>
        <v/>
      </c>
      <c r="K4372" s="5" t="str">
        <f>IF(OR(I4372="",G4372=""),"",IF(G4372="Saída",-I4372,I4372))</f>
        <v/>
      </c>
      <c r="L4372" t="str">
        <f>IF(E4372="","",IFERROR(VLOOKUP(E4372,Listas!$A$2:$C$1048576,3,FALSE),""))</f>
        <v/>
      </c>
    </row>
    <row r="4373" spans="10:12" x14ac:dyDescent="0.25">
      <c r="J4373" t="str">
        <f>IF(H4373="","",IFERROR(VLOOKUP(H4373,Listas!$J$2:$K$1048576,2,FALSE),""))</f>
        <v/>
      </c>
      <c r="K4373" s="5" t="str">
        <f>IF(OR(I4373="",G4373=""),"",IF(G4373="Saída",-I4373,I4373))</f>
        <v/>
      </c>
      <c r="L4373" t="str">
        <f>IF(E4373="","",IFERROR(VLOOKUP(E4373,Listas!$A$2:$C$1048576,3,FALSE),""))</f>
        <v/>
      </c>
    </row>
    <row r="4374" spans="10:12" x14ac:dyDescent="0.25">
      <c r="J4374" t="str">
        <f>IF(H4374="","",IFERROR(VLOOKUP(H4374,Listas!$J$2:$K$1048576,2,FALSE),""))</f>
        <v/>
      </c>
      <c r="K4374" s="5" t="str">
        <f>IF(OR(I4374="",G4374=""),"",IF(G4374="Saída",-I4374,I4374))</f>
        <v/>
      </c>
      <c r="L4374" t="str">
        <f>IF(E4374="","",IFERROR(VLOOKUP(E4374,Listas!$A$2:$C$1048576,3,FALSE),""))</f>
        <v/>
      </c>
    </row>
    <row r="4375" spans="10:12" x14ac:dyDescent="0.25">
      <c r="J4375" t="str">
        <f>IF(H4375="","",IFERROR(VLOOKUP(H4375,Listas!$J$2:$K$1048576,2,FALSE),""))</f>
        <v/>
      </c>
      <c r="K4375" s="5" t="str">
        <f>IF(OR(I4375="",G4375=""),"",IF(G4375="Saída",-I4375,I4375))</f>
        <v/>
      </c>
      <c r="L4375" t="str">
        <f>IF(E4375="","",IFERROR(VLOOKUP(E4375,Listas!$A$2:$C$1048576,3,FALSE),""))</f>
        <v/>
      </c>
    </row>
    <row r="4376" spans="10:12" x14ac:dyDescent="0.25">
      <c r="J4376" t="str">
        <f>IF(H4376="","",IFERROR(VLOOKUP(H4376,Listas!$J$2:$K$1048576,2,FALSE),""))</f>
        <v/>
      </c>
      <c r="K4376" s="5" t="str">
        <f>IF(OR(I4376="",G4376=""),"",IF(G4376="Saída",-I4376,I4376))</f>
        <v/>
      </c>
      <c r="L4376" t="str">
        <f>IF(E4376="","",IFERROR(VLOOKUP(E4376,Listas!$A$2:$C$1048576,3,FALSE),""))</f>
        <v/>
      </c>
    </row>
    <row r="4377" spans="10:12" x14ac:dyDescent="0.25">
      <c r="J4377" t="str">
        <f>IF(H4377="","",IFERROR(VLOOKUP(H4377,Listas!$J$2:$K$1048576,2,FALSE),""))</f>
        <v/>
      </c>
      <c r="K4377" s="5" t="str">
        <f>IF(OR(I4377="",G4377=""),"",IF(G4377="Saída",-I4377,I4377))</f>
        <v/>
      </c>
      <c r="L4377" t="str">
        <f>IF(E4377="","",IFERROR(VLOOKUP(E4377,Listas!$A$2:$C$1048576,3,FALSE),""))</f>
        <v/>
      </c>
    </row>
    <row r="4378" spans="10:12" x14ac:dyDescent="0.25">
      <c r="J4378" t="str">
        <f>IF(H4378="","",IFERROR(VLOOKUP(H4378,Listas!$J$2:$K$1048576,2,FALSE),""))</f>
        <v/>
      </c>
      <c r="K4378" s="5" t="str">
        <f>IF(OR(I4378="",G4378=""),"",IF(G4378="Saída",-I4378,I4378))</f>
        <v/>
      </c>
      <c r="L4378" t="str">
        <f>IF(E4378="","",IFERROR(VLOOKUP(E4378,Listas!$A$2:$C$1048576,3,FALSE),""))</f>
        <v/>
      </c>
    </row>
    <row r="4379" spans="10:12" x14ac:dyDescent="0.25">
      <c r="J4379" t="str">
        <f>IF(H4379="","",IFERROR(VLOOKUP(H4379,Listas!$J$2:$K$1048576,2,FALSE),""))</f>
        <v/>
      </c>
      <c r="K4379" s="5" t="str">
        <f>IF(OR(I4379="",G4379=""),"",IF(G4379="Saída",-I4379,I4379))</f>
        <v/>
      </c>
      <c r="L4379" t="str">
        <f>IF(E4379="","",IFERROR(VLOOKUP(E4379,Listas!$A$2:$C$1048576,3,FALSE),""))</f>
        <v/>
      </c>
    </row>
    <row r="4380" spans="10:12" x14ac:dyDescent="0.25">
      <c r="J4380" t="str">
        <f>IF(H4380="","",IFERROR(VLOOKUP(H4380,Listas!$J$2:$K$1048576,2,FALSE),""))</f>
        <v/>
      </c>
      <c r="K4380" s="5" t="str">
        <f>IF(OR(I4380="",G4380=""),"",IF(G4380="Saída",-I4380,I4380))</f>
        <v/>
      </c>
      <c r="L4380" t="str">
        <f>IF(E4380="","",IFERROR(VLOOKUP(E4380,Listas!$A$2:$C$1048576,3,FALSE),""))</f>
        <v/>
      </c>
    </row>
    <row r="4381" spans="10:12" x14ac:dyDescent="0.25">
      <c r="J4381" t="str">
        <f>IF(H4381="","",IFERROR(VLOOKUP(H4381,Listas!$J$2:$K$1048576,2,FALSE),""))</f>
        <v/>
      </c>
      <c r="K4381" s="5" t="str">
        <f>IF(OR(I4381="",G4381=""),"",IF(G4381="Saída",-I4381,I4381))</f>
        <v/>
      </c>
      <c r="L4381" t="str">
        <f>IF(E4381="","",IFERROR(VLOOKUP(E4381,Listas!$A$2:$C$1048576,3,FALSE),""))</f>
        <v/>
      </c>
    </row>
    <row r="4382" spans="10:12" x14ac:dyDescent="0.25">
      <c r="J4382" t="str">
        <f>IF(H4382="","",IFERROR(VLOOKUP(H4382,Listas!$J$2:$K$1048576,2,FALSE),""))</f>
        <v/>
      </c>
      <c r="K4382" s="5" t="str">
        <f>IF(OR(I4382="",G4382=""),"",IF(G4382="Saída",-I4382,I4382))</f>
        <v/>
      </c>
      <c r="L4382" t="str">
        <f>IF(E4382="","",IFERROR(VLOOKUP(E4382,Listas!$A$2:$C$1048576,3,FALSE),""))</f>
        <v/>
      </c>
    </row>
    <row r="4383" spans="10:12" x14ac:dyDescent="0.25">
      <c r="J4383" t="str">
        <f>IF(H4383="","",IFERROR(VLOOKUP(H4383,Listas!$J$2:$K$1048576,2,FALSE),""))</f>
        <v/>
      </c>
      <c r="K4383" s="5" t="str">
        <f>IF(OR(I4383="",G4383=""),"",IF(G4383="Saída",-I4383,I4383))</f>
        <v/>
      </c>
      <c r="L4383" t="str">
        <f>IF(E4383="","",IFERROR(VLOOKUP(E4383,Listas!$A$2:$C$1048576,3,FALSE),""))</f>
        <v/>
      </c>
    </row>
    <row r="4384" spans="10:12" x14ac:dyDescent="0.25">
      <c r="J4384" t="str">
        <f>IF(H4384="","",IFERROR(VLOOKUP(H4384,Listas!$J$2:$K$1048576,2,FALSE),""))</f>
        <v/>
      </c>
      <c r="K4384" s="5" t="str">
        <f>IF(OR(I4384="",G4384=""),"",IF(G4384="Saída",-I4384,I4384))</f>
        <v/>
      </c>
      <c r="L4384" t="str">
        <f>IF(E4384="","",IFERROR(VLOOKUP(E4384,Listas!$A$2:$C$1048576,3,FALSE),""))</f>
        <v/>
      </c>
    </row>
    <row r="4385" spans="10:12" x14ac:dyDescent="0.25">
      <c r="J4385" t="str">
        <f>IF(H4385="","",IFERROR(VLOOKUP(H4385,Listas!$J$2:$K$1048576,2,FALSE),""))</f>
        <v/>
      </c>
      <c r="K4385" s="5" t="str">
        <f>IF(OR(I4385="",G4385=""),"",IF(G4385="Saída",-I4385,I4385))</f>
        <v/>
      </c>
      <c r="L4385" t="str">
        <f>IF(E4385="","",IFERROR(VLOOKUP(E4385,Listas!$A$2:$C$1048576,3,FALSE),""))</f>
        <v/>
      </c>
    </row>
    <row r="4386" spans="10:12" x14ac:dyDescent="0.25">
      <c r="J4386" t="str">
        <f>IF(H4386="","",IFERROR(VLOOKUP(H4386,Listas!$J$2:$K$1048576,2,FALSE),""))</f>
        <v/>
      </c>
      <c r="K4386" s="5" t="str">
        <f>IF(OR(I4386="",G4386=""),"",IF(G4386="Saída",-I4386,I4386))</f>
        <v/>
      </c>
      <c r="L4386" t="str">
        <f>IF(E4386="","",IFERROR(VLOOKUP(E4386,Listas!$A$2:$C$1048576,3,FALSE),""))</f>
        <v/>
      </c>
    </row>
    <row r="4387" spans="10:12" x14ac:dyDescent="0.25">
      <c r="J4387" t="str">
        <f>IF(H4387="","",IFERROR(VLOOKUP(H4387,Listas!$J$2:$K$1048576,2,FALSE),""))</f>
        <v/>
      </c>
      <c r="K4387" s="5" t="str">
        <f>IF(OR(I4387="",G4387=""),"",IF(G4387="Saída",-I4387,I4387))</f>
        <v/>
      </c>
      <c r="L4387" t="str">
        <f>IF(E4387="","",IFERROR(VLOOKUP(E4387,Listas!$A$2:$C$1048576,3,FALSE),""))</f>
        <v/>
      </c>
    </row>
    <row r="4388" spans="10:12" x14ac:dyDescent="0.25">
      <c r="J4388" t="str">
        <f>IF(H4388="","",IFERROR(VLOOKUP(H4388,Listas!$J$2:$K$1048576,2,FALSE),""))</f>
        <v/>
      </c>
      <c r="K4388" s="5" t="str">
        <f>IF(OR(I4388="",G4388=""),"",IF(G4388="Saída",-I4388,I4388))</f>
        <v/>
      </c>
      <c r="L4388" t="str">
        <f>IF(E4388="","",IFERROR(VLOOKUP(E4388,Listas!$A$2:$C$1048576,3,FALSE),""))</f>
        <v/>
      </c>
    </row>
    <row r="4389" spans="10:12" x14ac:dyDescent="0.25">
      <c r="J4389" t="str">
        <f>IF(H4389="","",IFERROR(VLOOKUP(H4389,Listas!$J$2:$K$1048576,2,FALSE),""))</f>
        <v/>
      </c>
      <c r="K4389" s="5" t="str">
        <f>IF(OR(I4389="",G4389=""),"",IF(G4389="Saída",-I4389,I4389))</f>
        <v/>
      </c>
      <c r="L4389" t="str">
        <f>IF(E4389="","",IFERROR(VLOOKUP(E4389,Listas!$A$2:$C$1048576,3,FALSE),""))</f>
        <v/>
      </c>
    </row>
    <row r="4390" spans="10:12" x14ac:dyDescent="0.25">
      <c r="J4390" t="str">
        <f>IF(H4390="","",IFERROR(VLOOKUP(H4390,Listas!$J$2:$K$1048576,2,FALSE),""))</f>
        <v/>
      </c>
      <c r="K4390" s="5" t="str">
        <f>IF(OR(I4390="",G4390=""),"",IF(G4390="Saída",-I4390,I4390))</f>
        <v/>
      </c>
      <c r="L4390" t="str">
        <f>IF(E4390="","",IFERROR(VLOOKUP(E4390,Listas!$A$2:$C$1048576,3,FALSE),""))</f>
        <v/>
      </c>
    </row>
    <row r="4391" spans="10:12" x14ac:dyDescent="0.25">
      <c r="J4391" t="str">
        <f>IF(H4391="","",IFERROR(VLOOKUP(H4391,Listas!$J$2:$K$1048576,2,FALSE),""))</f>
        <v/>
      </c>
      <c r="K4391" s="5" t="str">
        <f>IF(OR(I4391="",G4391=""),"",IF(G4391="Saída",-I4391,I4391))</f>
        <v/>
      </c>
      <c r="L4391" t="str">
        <f>IF(E4391="","",IFERROR(VLOOKUP(E4391,Listas!$A$2:$C$1048576,3,FALSE),""))</f>
        <v/>
      </c>
    </row>
    <row r="4392" spans="10:12" x14ac:dyDescent="0.25">
      <c r="J4392" t="str">
        <f>IF(H4392="","",IFERROR(VLOOKUP(H4392,Listas!$J$2:$K$1048576,2,FALSE),""))</f>
        <v/>
      </c>
      <c r="K4392" s="5" t="str">
        <f>IF(OR(I4392="",G4392=""),"",IF(G4392="Saída",-I4392,I4392))</f>
        <v/>
      </c>
      <c r="L4392" t="str">
        <f>IF(E4392="","",IFERROR(VLOOKUP(E4392,Listas!$A$2:$C$1048576,3,FALSE),""))</f>
        <v/>
      </c>
    </row>
    <row r="4393" spans="10:12" x14ac:dyDescent="0.25">
      <c r="J4393" t="str">
        <f>IF(H4393="","",IFERROR(VLOOKUP(H4393,Listas!$J$2:$K$1048576,2,FALSE),""))</f>
        <v/>
      </c>
      <c r="K4393" s="5" t="str">
        <f>IF(OR(I4393="",G4393=""),"",IF(G4393="Saída",-I4393,I4393))</f>
        <v/>
      </c>
      <c r="L4393" t="str">
        <f>IF(E4393="","",IFERROR(VLOOKUP(E4393,Listas!$A$2:$C$1048576,3,FALSE),""))</f>
        <v/>
      </c>
    </row>
    <row r="4394" spans="10:12" x14ac:dyDescent="0.25">
      <c r="J4394" t="str">
        <f>IF(H4394="","",IFERROR(VLOOKUP(H4394,Listas!$J$2:$K$1048576,2,FALSE),""))</f>
        <v/>
      </c>
      <c r="K4394" s="5" t="str">
        <f>IF(OR(I4394="",G4394=""),"",IF(G4394="Saída",-I4394,I4394))</f>
        <v/>
      </c>
      <c r="L4394" t="str">
        <f>IF(E4394="","",IFERROR(VLOOKUP(E4394,Listas!$A$2:$C$1048576,3,FALSE),""))</f>
        <v/>
      </c>
    </row>
    <row r="4395" spans="10:12" x14ac:dyDescent="0.25">
      <c r="J4395" t="str">
        <f>IF(H4395="","",IFERROR(VLOOKUP(H4395,Listas!$J$2:$K$1048576,2,FALSE),""))</f>
        <v/>
      </c>
      <c r="K4395" s="5" t="str">
        <f>IF(OR(I4395="",G4395=""),"",IF(G4395="Saída",-I4395,I4395))</f>
        <v/>
      </c>
      <c r="L4395" t="str">
        <f>IF(E4395="","",IFERROR(VLOOKUP(E4395,Listas!$A$2:$C$1048576,3,FALSE),""))</f>
        <v/>
      </c>
    </row>
    <row r="4396" spans="10:12" x14ac:dyDescent="0.25">
      <c r="J4396" t="str">
        <f>IF(H4396="","",IFERROR(VLOOKUP(H4396,Listas!$J$2:$K$1048576,2,FALSE),""))</f>
        <v/>
      </c>
      <c r="K4396" s="5" t="str">
        <f>IF(OR(I4396="",G4396=""),"",IF(G4396="Saída",-I4396,I4396))</f>
        <v/>
      </c>
      <c r="L4396" t="str">
        <f>IF(E4396="","",IFERROR(VLOOKUP(E4396,Listas!$A$2:$C$1048576,3,FALSE),""))</f>
        <v/>
      </c>
    </row>
    <row r="4397" spans="10:12" x14ac:dyDescent="0.25">
      <c r="J4397" t="str">
        <f>IF(H4397="","",IFERROR(VLOOKUP(H4397,Listas!$J$2:$K$1048576,2,FALSE),""))</f>
        <v/>
      </c>
      <c r="K4397" s="5" t="str">
        <f>IF(OR(I4397="",G4397=""),"",IF(G4397="Saída",-I4397,I4397))</f>
        <v/>
      </c>
      <c r="L4397" t="str">
        <f>IF(E4397="","",IFERROR(VLOOKUP(E4397,Listas!$A$2:$C$1048576,3,FALSE),""))</f>
        <v/>
      </c>
    </row>
    <row r="4398" spans="10:12" x14ac:dyDescent="0.25">
      <c r="J4398" t="str">
        <f>IF(H4398="","",IFERROR(VLOOKUP(H4398,Listas!$J$2:$K$1048576,2,FALSE),""))</f>
        <v/>
      </c>
      <c r="K4398" s="5" t="str">
        <f>IF(OR(I4398="",G4398=""),"",IF(G4398="Saída",-I4398,I4398))</f>
        <v/>
      </c>
      <c r="L4398" t="str">
        <f>IF(E4398="","",IFERROR(VLOOKUP(E4398,Listas!$A$2:$C$1048576,3,FALSE),""))</f>
        <v/>
      </c>
    </row>
    <row r="4399" spans="10:12" x14ac:dyDescent="0.25">
      <c r="J4399" t="str">
        <f>IF(H4399="","",IFERROR(VLOOKUP(H4399,Listas!$J$2:$K$1048576,2,FALSE),""))</f>
        <v/>
      </c>
      <c r="K4399" s="5" t="str">
        <f>IF(OR(I4399="",G4399=""),"",IF(G4399="Saída",-I4399,I4399))</f>
        <v/>
      </c>
      <c r="L4399" t="str">
        <f>IF(E4399="","",IFERROR(VLOOKUP(E4399,Listas!$A$2:$C$1048576,3,FALSE),""))</f>
        <v/>
      </c>
    </row>
    <row r="4400" spans="10:12" x14ac:dyDescent="0.25">
      <c r="J4400" t="str">
        <f>IF(H4400="","",IFERROR(VLOOKUP(H4400,Listas!$J$2:$K$1048576,2,FALSE),""))</f>
        <v/>
      </c>
      <c r="K4400" s="5" t="str">
        <f>IF(OR(I4400="",G4400=""),"",IF(G4400="Saída",-I4400,I4400))</f>
        <v/>
      </c>
      <c r="L4400" t="str">
        <f>IF(E4400="","",IFERROR(VLOOKUP(E4400,Listas!$A$2:$C$1048576,3,FALSE),""))</f>
        <v/>
      </c>
    </row>
    <row r="4401" spans="10:12" x14ac:dyDescent="0.25">
      <c r="J4401" t="str">
        <f>IF(H4401="","",IFERROR(VLOOKUP(H4401,Listas!$J$2:$K$1048576,2,FALSE),""))</f>
        <v/>
      </c>
      <c r="K4401" s="5" t="str">
        <f>IF(OR(I4401="",G4401=""),"",IF(G4401="Saída",-I4401,I4401))</f>
        <v/>
      </c>
      <c r="L4401" t="str">
        <f>IF(E4401="","",IFERROR(VLOOKUP(E4401,Listas!$A$2:$C$1048576,3,FALSE),""))</f>
        <v/>
      </c>
    </row>
    <row r="4402" spans="10:12" x14ac:dyDescent="0.25">
      <c r="J4402" t="str">
        <f>IF(H4402="","",IFERROR(VLOOKUP(H4402,Listas!$J$2:$K$1048576,2,FALSE),""))</f>
        <v/>
      </c>
      <c r="K4402" s="5" t="str">
        <f>IF(OR(I4402="",G4402=""),"",IF(G4402="Saída",-I4402,I4402))</f>
        <v/>
      </c>
      <c r="L4402" t="str">
        <f>IF(E4402="","",IFERROR(VLOOKUP(E4402,Listas!$A$2:$C$1048576,3,FALSE),""))</f>
        <v/>
      </c>
    </row>
    <row r="4403" spans="10:12" x14ac:dyDescent="0.25">
      <c r="J4403" t="str">
        <f>IF(H4403="","",IFERROR(VLOOKUP(H4403,Listas!$J$2:$K$1048576,2,FALSE),""))</f>
        <v/>
      </c>
      <c r="K4403" s="5" t="str">
        <f>IF(OR(I4403="",G4403=""),"",IF(G4403="Saída",-I4403,I4403))</f>
        <v/>
      </c>
      <c r="L4403" t="str">
        <f>IF(E4403="","",IFERROR(VLOOKUP(E4403,Listas!$A$2:$C$1048576,3,FALSE),""))</f>
        <v/>
      </c>
    </row>
    <row r="4404" spans="10:12" x14ac:dyDescent="0.25">
      <c r="J4404" t="str">
        <f>IF(H4404="","",IFERROR(VLOOKUP(H4404,Listas!$J$2:$K$1048576,2,FALSE),""))</f>
        <v/>
      </c>
      <c r="K4404" s="5" t="str">
        <f>IF(OR(I4404="",G4404=""),"",IF(G4404="Saída",-I4404,I4404))</f>
        <v/>
      </c>
      <c r="L4404" t="str">
        <f>IF(E4404="","",IFERROR(VLOOKUP(E4404,Listas!$A$2:$C$1048576,3,FALSE),""))</f>
        <v/>
      </c>
    </row>
    <row r="4405" spans="10:12" x14ac:dyDescent="0.25">
      <c r="J4405" t="str">
        <f>IF(H4405="","",IFERROR(VLOOKUP(H4405,Listas!$J$2:$K$1048576,2,FALSE),""))</f>
        <v/>
      </c>
      <c r="K4405" s="5" t="str">
        <f>IF(OR(I4405="",G4405=""),"",IF(G4405="Saída",-I4405,I4405))</f>
        <v/>
      </c>
      <c r="L4405" t="str">
        <f>IF(E4405="","",IFERROR(VLOOKUP(E4405,Listas!$A$2:$C$1048576,3,FALSE),""))</f>
        <v/>
      </c>
    </row>
    <row r="4406" spans="10:12" x14ac:dyDescent="0.25">
      <c r="J4406" t="str">
        <f>IF(H4406="","",IFERROR(VLOOKUP(H4406,Listas!$J$2:$K$1048576,2,FALSE),""))</f>
        <v/>
      </c>
      <c r="K4406" s="5" t="str">
        <f>IF(OR(I4406="",G4406=""),"",IF(G4406="Saída",-I4406,I4406))</f>
        <v/>
      </c>
      <c r="L4406" t="str">
        <f>IF(E4406="","",IFERROR(VLOOKUP(E4406,Listas!$A$2:$C$1048576,3,FALSE),""))</f>
        <v/>
      </c>
    </row>
    <row r="4407" spans="10:12" x14ac:dyDescent="0.25">
      <c r="J4407" t="str">
        <f>IF(H4407="","",IFERROR(VLOOKUP(H4407,Listas!$J$2:$K$1048576,2,FALSE),""))</f>
        <v/>
      </c>
      <c r="K4407" s="5" t="str">
        <f>IF(OR(I4407="",G4407=""),"",IF(G4407="Saída",-I4407,I4407))</f>
        <v/>
      </c>
      <c r="L4407" t="str">
        <f>IF(E4407="","",IFERROR(VLOOKUP(E4407,Listas!$A$2:$C$1048576,3,FALSE),""))</f>
        <v/>
      </c>
    </row>
    <row r="4408" spans="10:12" x14ac:dyDescent="0.25">
      <c r="J4408" t="str">
        <f>IF(H4408="","",IFERROR(VLOOKUP(H4408,Listas!$J$2:$K$1048576,2,FALSE),""))</f>
        <v/>
      </c>
      <c r="K4408" s="5" t="str">
        <f>IF(OR(I4408="",G4408=""),"",IF(G4408="Saída",-I4408,I4408))</f>
        <v/>
      </c>
      <c r="L4408" t="str">
        <f>IF(E4408="","",IFERROR(VLOOKUP(E4408,Listas!$A$2:$C$1048576,3,FALSE),""))</f>
        <v/>
      </c>
    </row>
    <row r="4409" spans="10:12" x14ac:dyDescent="0.25">
      <c r="J4409" t="str">
        <f>IF(H4409="","",IFERROR(VLOOKUP(H4409,Listas!$J$2:$K$1048576,2,FALSE),""))</f>
        <v/>
      </c>
      <c r="K4409" s="5" t="str">
        <f>IF(OR(I4409="",G4409=""),"",IF(G4409="Saída",-I4409,I4409))</f>
        <v/>
      </c>
      <c r="L4409" t="str">
        <f>IF(E4409="","",IFERROR(VLOOKUP(E4409,Listas!$A$2:$C$1048576,3,FALSE),""))</f>
        <v/>
      </c>
    </row>
    <row r="4410" spans="10:12" x14ac:dyDescent="0.25">
      <c r="J4410" t="str">
        <f>IF(H4410="","",IFERROR(VLOOKUP(H4410,Listas!$J$2:$K$1048576,2,FALSE),""))</f>
        <v/>
      </c>
      <c r="K4410" s="5" t="str">
        <f>IF(OR(I4410="",G4410=""),"",IF(G4410="Saída",-I4410,I4410))</f>
        <v/>
      </c>
      <c r="L4410" t="str">
        <f>IF(E4410="","",IFERROR(VLOOKUP(E4410,Listas!$A$2:$C$1048576,3,FALSE),""))</f>
        <v/>
      </c>
    </row>
    <row r="4411" spans="10:12" x14ac:dyDescent="0.25">
      <c r="J4411" t="str">
        <f>IF(H4411="","",IFERROR(VLOOKUP(H4411,Listas!$J$2:$K$1048576,2,FALSE),""))</f>
        <v/>
      </c>
      <c r="K4411" s="5" t="str">
        <f>IF(OR(I4411="",G4411=""),"",IF(G4411="Saída",-I4411,I4411))</f>
        <v/>
      </c>
      <c r="L4411" t="str">
        <f>IF(E4411="","",IFERROR(VLOOKUP(E4411,Listas!$A$2:$C$1048576,3,FALSE),""))</f>
        <v/>
      </c>
    </row>
    <row r="4412" spans="10:12" x14ac:dyDescent="0.25">
      <c r="J4412" t="str">
        <f>IF(H4412="","",IFERROR(VLOOKUP(H4412,Listas!$J$2:$K$1048576,2,FALSE),""))</f>
        <v/>
      </c>
      <c r="K4412" s="5" t="str">
        <f>IF(OR(I4412="",G4412=""),"",IF(G4412="Saída",-I4412,I4412))</f>
        <v/>
      </c>
      <c r="L4412" t="str">
        <f>IF(E4412="","",IFERROR(VLOOKUP(E4412,Listas!$A$2:$C$1048576,3,FALSE),""))</f>
        <v/>
      </c>
    </row>
    <row r="4413" spans="10:12" x14ac:dyDescent="0.25">
      <c r="J4413" t="str">
        <f>IF(H4413="","",IFERROR(VLOOKUP(H4413,Listas!$J$2:$K$1048576,2,FALSE),""))</f>
        <v/>
      </c>
      <c r="K4413" s="5" t="str">
        <f>IF(OR(I4413="",G4413=""),"",IF(G4413="Saída",-I4413,I4413))</f>
        <v/>
      </c>
      <c r="L4413" t="str">
        <f>IF(E4413="","",IFERROR(VLOOKUP(E4413,Listas!$A$2:$C$1048576,3,FALSE),""))</f>
        <v/>
      </c>
    </row>
    <row r="4414" spans="10:12" x14ac:dyDescent="0.25">
      <c r="J4414" t="str">
        <f>IF(H4414="","",IFERROR(VLOOKUP(H4414,Listas!$J$2:$K$1048576,2,FALSE),""))</f>
        <v/>
      </c>
      <c r="K4414" s="5" t="str">
        <f>IF(OR(I4414="",G4414=""),"",IF(G4414="Saída",-I4414,I4414))</f>
        <v/>
      </c>
      <c r="L4414" t="str">
        <f>IF(E4414="","",IFERROR(VLOOKUP(E4414,Listas!$A$2:$C$1048576,3,FALSE),""))</f>
        <v/>
      </c>
    </row>
    <row r="4415" spans="10:12" x14ac:dyDescent="0.25">
      <c r="J4415" t="str">
        <f>IF(H4415="","",IFERROR(VLOOKUP(H4415,Listas!$J$2:$K$1048576,2,FALSE),""))</f>
        <v/>
      </c>
      <c r="K4415" s="5" t="str">
        <f>IF(OR(I4415="",G4415=""),"",IF(G4415="Saída",-I4415,I4415))</f>
        <v/>
      </c>
      <c r="L4415" t="str">
        <f>IF(E4415="","",IFERROR(VLOOKUP(E4415,Listas!$A$2:$C$1048576,3,FALSE),""))</f>
        <v/>
      </c>
    </row>
    <row r="4416" spans="10:12" x14ac:dyDescent="0.25">
      <c r="J4416" t="str">
        <f>IF(H4416="","",IFERROR(VLOOKUP(H4416,Listas!$J$2:$K$1048576,2,FALSE),""))</f>
        <v/>
      </c>
      <c r="K4416" s="5" t="str">
        <f>IF(OR(I4416="",G4416=""),"",IF(G4416="Saída",-I4416,I4416))</f>
        <v/>
      </c>
      <c r="L4416" t="str">
        <f>IF(E4416="","",IFERROR(VLOOKUP(E4416,Listas!$A$2:$C$1048576,3,FALSE),""))</f>
        <v/>
      </c>
    </row>
    <row r="4417" spans="10:12" x14ac:dyDescent="0.25">
      <c r="J4417" t="str">
        <f>IF(H4417="","",IFERROR(VLOOKUP(H4417,Listas!$J$2:$K$1048576,2,FALSE),""))</f>
        <v/>
      </c>
      <c r="K4417" s="5" t="str">
        <f>IF(OR(I4417="",G4417=""),"",IF(G4417="Saída",-I4417,I4417))</f>
        <v/>
      </c>
      <c r="L4417" t="str">
        <f>IF(E4417="","",IFERROR(VLOOKUP(E4417,Listas!$A$2:$C$1048576,3,FALSE),""))</f>
        <v/>
      </c>
    </row>
    <row r="4418" spans="10:12" x14ac:dyDescent="0.25">
      <c r="J4418" t="str">
        <f>IF(H4418="","",IFERROR(VLOOKUP(H4418,Listas!$J$2:$K$1048576,2,FALSE),""))</f>
        <v/>
      </c>
      <c r="K4418" s="5" t="str">
        <f>IF(OR(I4418="",G4418=""),"",IF(G4418="Saída",-I4418,I4418))</f>
        <v/>
      </c>
      <c r="L4418" t="str">
        <f>IF(E4418="","",IFERROR(VLOOKUP(E4418,Listas!$A$2:$C$1048576,3,FALSE),""))</f>
        <v/>
      </c>
    </row>
    <row r="4419" spans="10:12" x14ac:dyDescent="0.25">
      <c r="J4419" t="str">
        <f>IF(H4419="","",IFERROR(VLOOKUP(H4419,Listas!$J$2:$K$1048576,2,FALSE),""))</f>
        <v/>
      </c>
      <c r="K4419" s="5" t="str">
        <f>IF(OR(I4419="",G4419=""),"",IF(G4419="Saída",-I4419,I4419))</f>
        <v/>
      </c>
      <c r="L4419" t="str">
        <f>IF(E4419="","",IFERROR(VLOOKUP(E4419,Listas!$A$2:$C$1048576,3,FALSE),""))</f>
        <v/>
      </c>
    </row>
    <row r="4420" spans="10:12" x14ac:dyDescent="0.25">
      <c r="J4420" t="str">
        <f>IF(H4420="","",IFERROR(VLOOKUP(H4420,Listas!$J$2:$K$1048576,2,FALSE),""))</f>
        <v/>
      </c>
      <c r="K4420" s="5" t="str">
        <f>IF(OR(I4420="",G4420=""),"",IF(G4420="Saída",-I4420,I4420))</f>
        <v/>
      </c>
      <c r="L4420" t="str">
        <f>IF(E4420="","",IFERROR(VLOOKUP(E4420,Listas!$A$2:$C$1048576,3,FALSE),""))</f>
        <v/>
      </c>
    </row>
    <row r="4421" spans="10:12" x14ac:dyDescent="0.25">
      <c r="J4421" t="str">
        <f>IF(H4421="","",IFERROR(VLOOKUP(H4421,Listas!$J$2:$K$1048576,2,FALSE),""))</f>
        <v/>
      </c>
      <c r="K4421" s="5" t="str">
        <f>IF(OR(I4421="",G4421=""),"",IF(G4421="Saída",-I4421,I4421))</f>
        <v/>
      </c>
      <c r="L4421" t="str">
        <f>IF(E4421="","",IFERROR(VLOOKUP(E4421,Listas!$A$2:$C$1048576,3,FALSE),""))</f>
        <v/>
      </c>
    </row>
    <row r="4422" spans="10:12" x14ac:dyDescent="0.25">
      <c r="J4422" t="str">
        <f>IF(H4422="","",IFERROR(VLOOKUP(H4422,Listas!$J$2:$K$1048576,2,FALSE),""))</f>
        <v/>
      </c>
      <c r="K4422" s="5" t="str">
        <f>IF(OR(I4422="",G4422=""),"",IF(G4422="Saída",-I4422,I4422))</f>
        <v/>
      </c>
      <c r="L4422" t="str">
        <f>IF(E4422="","",IFERROR(VLOOKUP(E4422,Listas!$A$2:$C$1048576,3,FALSE),""))</f>
        <v/>
      </c>
    </row>
    <row r="4423" spans="10:12" x14ac:dyDescent="0.25">
      <c r="J4423" t="str">
        <f>IF(H4423="","",IFERROR(VLOOKUP(H4423,Listas!$J$2:$K$1048576,2,FALSE),""))</f>
        <v/>
      </c>
      <c r="K4423" s="5" t="str">
        <f>IF(OR(I4423="",G4423=""),"",IF(G4423="Saída",-I4423,I4423))</f>
        <v/>
      </c>
      <c r="L4423" t="str">
        <f>IF(E4423="","",IFERROR(VLOOKUP(E4423,Listas!$A$2:$C$1048576,3,FALSE),""))</f>
        <v/>
      </c>
    </row>
    <row r="4424" spans="10:12" x14ac:dyDescent="0.25">
      <c r="J4424" t="str">
        <f>IF(H4424="","",IFERROR(VLOOKUP(H4424,Listas!$J$2:$K$1048576,2,FALSE),""))</f>
        <v/>
      </c>
      <c r="K4424" s="5" t="str">
        <f>IF(OR(I4424="",G4424=""),"",IF(G4424="Saída",-I4424,I4424))</f>
        <v/>
      </c>
      <c r="L4424" t="str">
        <f>IF(E4424="","",IFERROR(VLOOKUP(E4424,Listas!$A$2:$C$1048576,3,FALSE),""))</f>
        <v/>
      </c>
    </row>
    <row r="4425" spans="10:12" x14ac:dyDescent="0.25">
      <c r="J4425" t="str">
        <f>IF(H4425="","",IFERROR(VLOOKUP(H4425,Listas!$J$2:$K$1048576,2,FALSE),""))</f>
        <v/>
      </c>
      <c r="K4425" s="5" t="str">
        <f>IF(OR(I4425="",G4425=""),"",IF(G4425="Saída",-I4425,I4425))</f>
        <v/>
      </c>
      <c r="L4425" t="str">
        <f>IF(E4425="","",IFERROR(VLOOKUP(E4425,Listas!$A$2:$C$1048576,3,FALSE),""))</f>
        <v/>
      </c>
    </row>
    <row r="4426" spans="10:12" x14ac:dyDescent="0.25">
      <c r="J4426" t="str">
        <f>IF(H4426="","",IFERROR(VLOOKUP(H4426,Listas!$J$2:$K$1048576,2,FALSE),""))</f>
        <v/>
      </c>
      <c r="K4426" s="5" t="str">
        <f>IF(OR(I4426="",G4426=""),"",IF(G4426="Saída",-I4426,I4426))</f>
        <v/>
      </c>
      <c r="L4426" t="str">
        <f>IF(E4426="","",IFERROR(VLOOKUP(E4426,Listas!$A$2:$C$1048576,3,FALSE),""))</f>
        <v/>
      </c>
    </row>
    <row r="4427" spans="10:12" x14ac:dyDescent="0.25">
      <c r="J4427" t="str">
        <f>IF(H4427="","",IFERROR(VLOOKUP(H4427,Listas!$J$2:$K$1048576,2,FALSE),""))</f>
        <v/>
      </c>
      <c r="K4427" s="5" t="str">
        <f>IF(OR(I4427="",G4427=""),"",IF(G4427="Saída",-I4427,I4427))</f>
        <v/>
      </c>
      <c r="L4427" t="str">
        <f>IF(E4427="","",IFERROR(VLOOKUP(E4427,Listas!$A$2:$C$1048576,3,FALSE),""))</f>
        <v/>
      </c>
    </row>
    <row r="4428" spans="10:12" x14ac:dyDescent="0.25">
      <c r="J4428" t="str">
        <f>IF(H4428="","",IFERROR(VLOOKUP(H4428,Listas!$J$2:$K$1048576,2,FALSE),""))</f>
        <v/>
      </c>
      <c r="K4428" s="5" t="str">
        <f>IF(OR(I4428="",G4428=""),"",IF(G4428="Saída",-I4428,I4428))</f>
        <v/>
      </c>
      <c r="L4428" t="str">
        <f>IF(E4428="","",IFERROR(VLOOKUP(E4428,Listas!$A$2:$C$1048576,3,FALSE),""))</f>
        <v/>
      </c>
    </row>
    <row r="4429" spans="10:12" x14ac:dyDescent="0.25">
      <c r="J4429" t="str">
        <f>IF(H4429="","",IFERROR(VLOOKUP(H4429,Listas!$J$2:$K$1048576,2,FALSE),""))</f>
        <v/>
      </c>
      <c r="K4429" s="5" t="str">
        <f>IF(OR(I4429="",G4429=""),"",IF(G4429="Saída",-I4429,I4429))</f>
        <v/>
      </c>
      <c r="L4429" t="str">
        <f>IF(E4429="","",IFERROR(VLOOKUP(E4429,Listas!$A$2:$C$1048576,3,FALSE),""))</f>
        <v/>
      </c>
    </row>
    <row r="4430" spans="10:12" x14ac:dyDescent="0.25">
      <c r="J4430" t="str">
        <f>IF(H4430="","",IFERROR(VLOOKUP(H4430,Listas!$J$2:$K$1048576,2,FALSE),""))</f>
        <v/>
      </c>
      <c r="K4430" s="5" t="str">
        <f>IF(OR(I4430="",G4430=""),"",IF(G4430="Saída",-I4430,I4430))</f>
        <v/>
      </c>
      <c r="L4430" t="str">
        <f>IF(E4430="","",IFERROR(VLOOKUP(E4430,Listas!$A$2:$C$1048576,3,FALSE),""))</f>
        <v/>
      </c>
    </row>
    <row r="4431" spans="10:12" x14ac:dyDescent="0.25">
      <c r="J4431" t="str">
        <f>IF(H4431="","",IFERROR(VLOOKUP(H4431,Listas!$J$2:$K$1048576,2,FALSE),""))</f>
        <v/>
      </c>
      <c r="K4431" s="5" t="str">
        <f>IF(OR(I4431="",G4431=""),"",IF(G4431="Saída",-I4431,I4431))</f>
        <v/>
      </c>
      <c r="L4431" t="str">
        <f>IF(E4431="","",IFERROR(VLOOKUP(E4431,Listas!$A$2:$C$1048576,3,FALSE),""))</f>
        <v/>
      </c>
    </row>
    <row r="4432" spans="10:12" x14ac:dyDescent="0.25">
      <c r="J4432" t="str">
        <f>IF(H4432="","",IFERROR(VLOOKUP(H4432,Listas!$J$2:$K$1048576,2,FALSE),""))</f>
        <v/>
      </c>
      <c r="K4432" s="5" t="str">
        <f>IF(OR(I4432="",G4432=""),"",IF(G4432="Saída",-I4432,I4432))</f>
        <v/>
      </c>
      <c r="L4432" t="str">
        <f>IF(E4432="","",IFERROR(VLOOKUP(E4432,Listas!$A$2:$C$1048576,3,FALSE),""))</f>
        <v/>
      </c>
    </row>
    <row r="4433" spans="10:12" x14ac:dyDescent="0.25">
      <c r="J4433" t="str">
        <f>IF(H4433="","",IFERROR(VLOOKUP(H4433,Listas!$J$2:$K$1048576,2,FALSE),""))</f>
        <v/>
      </c>
      <c r="K4433" s="5" t="str">
        <f>IF(OR(I4433="",G4433=""),"",IF(G4433="Saída",-I4433,I4433))</f>
        <v/>
      </c>
      <c r="L4433" t="str">
        <f>IF(E4433="","",IFERROR(VLOOKUP(E4433,Listas!$A$2:$C$1048576,3,FALSE),""))</f>
        <v/>
      </c>
    </row>
    <row r="4434" spans="10:12" x14ac:dyDescent="0.25">
      <c r="J4434" t="str">
        <f>IF(H4434="","",IFERROR(VLOOKUP(H4434,Listas!$J$2:$K$1048576,2,FALSE),""))</f>
        <v/>
      </c>
      <c r="K4434" s="5" t="str">
        <f>IF(OR(I4434="",G4434=""),"",IF(G4434="Saída",-I4434,I4434))</f>
        <v/>
      </c>
      <c r="L4434" t="str">
        <f>IF(E4434="","",IFERROR(VLOOKUP(E4434,Listas!$A$2:$C$1048576,3,FALSE),""))</f>
        <v/>
      </c>
    </row>
    <row r="4435" spans="10:12" x14ac:dyDescent="0.25">
      <c r="J4435" t="str">
        <f>IF(H4435="","",IFERROR(VLOOKUP(H4435,Listas!$J$2:$K$1048576,2,FALSE),""))</f>
        <v/>
      </c>
      <c r="K4435" s="5" t="str">
        <f>IF(OR(I4435="",G4435=""),"",IF(G4435="Saída",-I4435,I4435))</f>
        <v/>
      </c>
      <c r="L4435" t="str">
        <f>IF(E4435="","",IFERROR(VLOOKUP(E4435,Listas!$A$2:$C$1048576,3,FALSE),""))</f>
        <v/>
      </c>
    </row>
    <row r="4436" spans="10:12" x14ac:dyDescent="0.25">
      <c r="J4436" t="str">
        <f>IF(H4436="","",IFERROR(VLOOKUP(H4436,Listas!$J$2:$K$1048576,2,FALSE),""))</f>
        <v/>
      </c>
      <c r="K4436" s="5" t="str">
        <f>IF(OR(I4436="",G4436=""),"",IF(G4436="Saída",-I4436,I4436))</f>
        <v/>
      </c>
      <c r="L4436" t="str">
        <f>IF(E4436="","",IFERROR(VLOOKUP(E4436,Listas!$A$2:$C$1048576,3,FALSE),""))</f>
        <v/>
      </c>
    </row>
    <row r="4437" spans="10:12" x14ac:dyDescent="0.25">
      <c r="J4437" t="str">
        <f>IF(H4437="","",IFERROR(VLOOKUP(H4437,Listas!$J$2:$K$1048576,2,FALSE),""))</f>
        <v/>
      </c>
      <c r="K4437" s="5" t="str">
        <f>IF(OR(I4437="",G4437=""),"",IF(G4437="Saída",-I4437,I4437))</f>
        <v/>
      </c>
      <c r="L4437" t="str">
        <f>IF(E4437="","",IFERROR(VLOOKUP(E4437,Listas!$A$2:$C$1048576,3,FALSE),""))</f>
        <v/>
      </c>
    </row>
    <row r="4438" spans="10:12" x14ac:dyDescent="0.25">
      <c r="J4438" t="str">
        <f>IF(H4438="","",IFERROR(VLOOKUP(H4438,Listas!$J$2:$K$1048576,2,FALSE),""))</f>
        <v/>
      </c>
      <c r="K4438" s="5" t="str">
        <f>IF(OR(I4438="",G4438=""),"",IF(G4438="Saída",-I4438,I4438))</f>
        <v/>
      </c>
      <c r="L4438" t="str">
        <f>IF(E4438="","",IFERROR(VLOOKUP(E4438,Listas!$A$2:$C$1048576,3,FALSE),""))</f>
        <v/>
      </c>
    </row>
    <row r="4439" spans="10:12" x14ac:dyDescent="0.25">
      <c r="J4439" t="str">
        <f>IF(H4439="","",IFERROR(VLOOKUP(H4439,Listas!$J$2:$K$1048576,2,FALSE),""))</f>
        <v/>
      </c>
      <c r="K4439" s="5" t="str">
        <f>IF(OR(I4439="",G4439=""),"",IF(G4439="Saída",-I4439,I4439))</f>
        <v/>
      </c>
      <c r="L4439" t="str">
        <f>IF(E4439="","",IFERROR(VLOOKUP(E4439,Listas!$A$2:$C$1048576,3,FALSE),""))</f>
        <v/>
      </c>
    </row>
    <row r="4440" spans="10:12" x14ac:dyDescent="0.25">
      <c r="J4440" t="str">
        <f>IF(H4440="","",IFERROR(VLOOKUP(H4440,Listas!$J$2:$K$1048576,2,FALSE),""))</f>
        <v/>
      </c>
      <c r="K4440" s="5" t="str">
        <f>IF(OR(I4440="",G4440=""),"",IF(G4440="Saída",-I4440,I4440))</f>
        <v/>
      </c>
      <c r="L4440" t="str">
        <f>IF(E4440="","",IFERROR(VLOOKUP(E4440,Listas!$A$2:$C$1048576,3,FALSE),""))</f>
        <v/>
      </c>
    </row>
    <row r="4441" spans="10:12" x14ac:dyDescent="0.25">
      <c r="J4441" t="str">
        <f>IF(H4441="","",IFERROR(VLOOKUP(H4441,Listas!$J$2:$K$1048576,2,FALSE),""))</f>
        <v/>
      </c>
      <c r="K4441" s="5" t="str">
        <f>IF(OR(I4441="",G4441=""),"",IF(G4441="Saída",-I4441,I4441))</f>
        <v/>
      </c>
      <c r="L4441" t="str">
        <f>IF(E4441="","",IFERROR(VLOOKUP(E4441,Listas!$A$2:$C$1048576,3,FALSE),""))</f>
        <v/>
      </c>
    </row>
    <row r="4442" spans="10:12" x14ac:dyDescent="0.25">
      <c r="J4442" t="str">
        <f>IF(H4442="","",IFERROR(VLOOKUP(H4442,Listas!$J$2:$K$1048576,2,FALSE),""))</f>
        <v/>
      </c>
      <c r="K4442" s="5" t="str">
        <f>IF(OR(I4442="",G4442=""),"",IF(G4442="Saída",-I4442,I4442))</f>
        <v/>
      </c>
      <c r="L4442" t="str">
        <f>IF(E4442="","",IFERROR(VLOOKUP(E4442,Listas!$A$2:$C$1048576,3,FALSE),""))</f>
        <v/>
      </c>
    </row>
    <row r="4443" spans="10:12" x14ac:dyDescent="0.25">
      <c r="J4443" t="str">
        <f>IF(H4443="","",IFERROR(VLOOKUP(H4443,Listas!$J$2:$K$1048576,2,FALSE),""))</f>
        <v/>
      </c>
      <c r="K4443" s="5" t="str">
        <f>IF(OR(I4443="",G4443=""),"",IF(G4443="Saída",-I4443,I4443))</f>
        <v/>
      </c>
      <c r="L4443" t="str">
        <f>IF(E4443="","",IFERROR(VLOOKUP(E4443,Listas!$A$2:$C$1048576,3,FALSE),""))</f>
        <v/>
      </c>
    </row>
    <row r="4444" spans="10:12" x14ac:dyDescent="0.25">
      <c r="J4444" t="str">
        <f>IF(H4444="","",IFERROR(VLOOKUP(H4444,Listas!$J$2:$K$1048576,2,FALSE),""))</f>
        <v/>
      </c>
      <c r="K4444" s="5" t="str">
        <f>IF(OR(I4444="",G4444=""),"",IF(G4444="Saída",-I4444,I4444))</f>
        <v/>
      </c>
      <c r="L4444" t="str">
        <f>IF(E4444="","",IFERROR(VLOOKUP(E4444,Listas!$A$2:$C$1048576,3,FALSE),""))</f>
        <v/>
      </c>
    </row>
    <row r="4445" spans="10:12" x14ac:dyDescent="0.25">
      <c r="J4445" t="str">
        <f>IF(H4445="","",IFERROR(VLOOKUP(H4445,Listas!$J$2:$K$1048576,2,FALSE),""))</f>
        <v/>
      </c>
      <c r="K4445" s="5" t="str">
        <f>IF(OR(I4445="",G4445=""),"",IF(G4445="Saída",-I4445,I4445))</f>
        <v/>
      </c>
      <c r="L4445" t="str">
        <f>IF(E4445="","",IFERROR(VLOOKUP(E4445,Listas!$A$2:$C$1048576,3,FALSE),""))</f>
        <v/>
      </c>
    </row>
    <row r="4446" spans="10:12" x14ac:dyDescent="0.25">
      <c r="J4446" t="str">
        <f>IF(H4446="","",IFERROR(VLOOKUP(H4446,Listas!$J$2:$K$1048576,2,FALSE),""))</f>
        <v/>
      </c>
      <c r="K4446" s="5" t="str">
        <f>IF(OR(I4446="",G4446=""),"",IF(G4446="Saída",-I4446,I4446))</f>
        <v/>
      </c>
      <c r="L4446" t="str">
        <f>IF(E4446="","",IFERROR(VLOOKUP(E4446,Listas!$A$2:$C$1048576,3,FALSE),""))</f>
        <v/>
      </c>
    </row>
    <row r="4447" spans="10:12" x14ac:dyDescent="0.25">
      <c r="J4447" t="str">
        <f>IF(H4447="","",IFERROR(VLOOKUP(H4447,Listas!$J$2:$K$1048576,2,FALSE),""))</f>
        <v/>
      </c>
      <c r="K4447" s="5" t="str">
        <f>IF(OR(I4447="",G4447=""),"",IF(G4447="Saída",-I4447,I4447))</f>
        <v/>
      </c>
      <c r="L4447" t="str">
        <f>IF(E4447="","",IFERROR(VLOOKUP(E4447,Listas!$A$2:$C$1048576,3,FALSE),""))</f>
        <v/>
      </c>
    </row>
    <row r="4448" spans="10:12" x14ac:dyDescent="0.25">
      <c r="J4448" t="str">
        <f>IF(H4448="","",IFERROR(VLOOKUP(H4448,Listas!$J$2:$K$1048576,2,FALSE),""))</f>
        <v/>
      </c>
      <c r="K4448" s="5" t="str">
        <f>IF(OR(I4448="",G4448=""),"",IF(G4448="Saída",-I4448,I4448))</f>
        <v/>
      </c>
      <c r="L4448" t="str">
        <f>IF(E4448="","",IFERROR(VLOOKUP(E4448,Listas!$A$2:$C$1048576,3,FALSE),""))</f>
        <v/>
      </c>
    </row>
    <row r="4449" spans="10:12" x14ac:dyDescent="0.25">
      <c r="J4449" t="str">
        <f>IF(H4449="","",IFERROR(VLOOKUP(H4449,Listas!$J$2:$K$1048576,2,FALSE),""))</f>
        <v/>
      </c>
      <c r="K4449" s="5" t="str">
        <f>IF(OR(I4449="",G4449=""),"",IF(G4449="Saída",-I4449,I4449))</f>
        <v/>
      </c>
      <c r="L4449" t="str">
        <f>IF(E4449="","",IFERROR(VLOOKUP(E4449,Listas!$A$2:$C$1048576,3,FALSE),""))</f>
        <v/>
      </c>
    </row>
    <row r="4450" spans="10:12" x14ac:dyDescent="0.25">
      <c r="J4450" t="str">
        <f>IF(H4450="","",IFERROR(VLOOKUP(H4450,Listas!$J$2:$K$1048576,2,FALSE),""))</f>
        <v/>
      </c>
      <c r="K4450" s="5" t="str">
        <f>IF(OR(I4450="",G4450=""),"",IF(G4450="Saída",-I4450,I4450))</f>
        <v/>
      </c>
      <c r="L4450" t="str">
        <f>IF(E4450="","",IFERROR(VLOOKUP(E4450,Listas!$A$2:$C$1048576,3,FALSE),""))</f>
        <v/>
      </c>
    </row>
    <row r="4451" spans="10:12" x14ac:dyDescent="0.25">
      <c r="J4451" t="str">
        <f>IF(H4451="","",IFERROR(VLOOKUP(H4451,Listas!$J$2:$K$1048576,2,FALSE),""))</f>
        <v/>
      </c>
      <c r="K4451" s="5" t="str">
        <f>IF(OR(I4451="",G4451=""),"",IF(G4451="Saída",-I4451,I4451))</f>
        <v/>
      </c>
      <c r="L4451" t="str">
        <f>IF(E4451="","",IFERROR(VLOOKUP(E4451,Listas!$A$2:$C$1048576,3,FALSE),""))</f>
        <v/>
      </c>
    </row>
    <row r="4452" spans="10:12" x14ac:dyDescent="0.25">
      <c r="J4452" t="str">
        <f>IF(H4452="","",IFERROR(VLOOKUP(H4452,Listas!$J$2:$K$1048576,2,FALSE),""))</f>
        <v/>
      </c>
      <c r="K4452" s="5" t="str">
        <f>IF(OR(I4452="",G4452=""),"",IF(G4452="Saída",-I4452,I4452))</f>
        <v/>
      </c>
      <c r="L4452" t="str">
        <f>IF(E4452="","",IFERROR(VLOOKUP(E4452,Listas!$A$2:$C$1048576,3,FALSE),""))</f>
        <v/>
      </c>
    </row>
    <row r="4453" spans="10:12" x14ac:dyDescent="0.25">
      <c r="J4453" t="str">
        <f>IF(H4453="","",IFERROR(VLOOKUP(H4453,Listas!$J$2:$K$1048576,2,FALSE),""))</f>
        <v/>
      </c>
      <c r="K4453" s="5" t="str">
        <f>IF(OR(I4453="",G4453=""),"",IF(G4453="Saída",-I4453,I4453))</f>
        <v/>
      </c>
      <c r="L4453" t="str">
        <f>IF(E4453="","",IFERROR(VLOOKUP(E4453,Listas!$A$2:$C$1048576,3,FALSE),""))</f>
        <v/>
      </c>
    </row>
    <row r="4454" spans="10:12" x14ac:dyDescent="0.25">
      <c r="J4454" t="str">
        <f>IF(H4454="","",IFERROR(VLOOKUP(H4454,Listas!$J$2:$K$1048576,2,FALSE),""))</f>
        <v/>
      </c>
      <c r="K4454" s="5" t="str">
        <f>IF(OR(I4454="",G4454=""),"",IF(G4454="Saída",-I4454,I4454))</f>
        <v/>
      </c>
      <c r="L4454" t="str">
        <f>IF(E4454="","",IFERROR(VLOOKUP(E4454,Listas!$A$2:$C$1048576,3,FALSE),""))</f>
        <v/>
      </c>
    </row>
    <row r="4455" spans="10:12" x14ac:dyDescent="0.25">
      <c r="J4455" t="str">
        <f>IF(H4455="","",IFERROR(VLOOKUP(H4455,Listas!$J$2:$K$1048576,2,FALSE),""))</f>
        <v/>
      </c>
      <c r="K4455" s="5" t="str">
        <f>IF(OR(I4455="",G4455=""),"",IF(G4455="Saída",-I4455,I4455))</f>
        <v/>
      </c>
      <c r="L4455" t="str">
        <f>IF(E4455="","",IFERROR(VLOOKUP(E4455,Listas!$A$2:$C$1048576,3,FALSE),""))</f>
        <v/>
      </c>
    </row>
    <row r="4456" spans="10:12" x14ac:dyDescent="0.25">
      <c r="J4456" t="str">
        <f>IF(H4456="","",IFERROR(VLOOKUP(H4456,Listas!$J$2:$K$1048576,2,FALSE),""))</f>
        <v/>
      </c>
      <c r="K4456" s="5" t="str">
        <f>IF(OR(I4456="",G4456=""),"",IF(G4456="Saída",-I4456,I4456))</f>
        <v/>
      </c>
      <c r="L4456" t="str">
        <f>IF(E4456="","",IFERROR(VLOOKUP(E4456,Listas!$A$2:$C$1048576,3,FALSE),""))</f>
        <v/>
      </c>
    </row>
    <row r="4457" spans="10:12" x14ac:dyDescent="0.25">
      <c r="J4457" t="str">
        <f>IF(H4457="","",IFERROR(VLOOKUP(H4457,Listas!$J$2:$K$1048576,2,FALSE),""))</f>
        <v/>
      </c>
      <c r="K4457" s="5" t="str">
        <f>IF(OR(I4457="",G4457=""),"",IF(G4457="Saída",-I4457,I4457))</f>
        <v/>
      </c>
      <c r="L4457" t="str">
        <f>IF(E4457="","",IFERROR(VLOOKUP(E4457,Listas!$A$2:$C$1048576,3,FALSE),""))</f>
        <v/>
      </c>
    </row>
    <row r="4458" spans="10:12" x14ac:dyDescent="0.25">
      <c r="J4458" t="str">
        <f>IF(H4458="","",IFERROR(VLOOKUP(H4458,Listas!$J$2:$K$1048576,2,FALSE),""))</f>
        <v/>
      </c>
      <c r="K4458" s="5" t="str">
        <f>IF(OR(I4458="",G4458=""),"",IF(G4458="Saída",-I4458,I4458))</f>
        <v/>
      </c>
      <c r="L4458" t="str">
        <f>IF(E4458="","",IFERROR(VLOOKUP(E4458,Listas!$A$2:$C$1048576,3,FALSE),""))</f>
        <v/>
      </c>
    </row>
    <row r="4459" spans="10:12" x14ac:dyDescent="0.25">
      <c r="J4459" t="str">
        <f>IF(H4459="","",IFERROR(VLOOKUP(H4459,Listas!$J$2:$K$1048576,2,FALSE),""))</f>
        <v/>
      </c>
      <c r="K4459" s="5" t="str">
        <f>IF(OR(I4459="",G4459=""),"",IF(G4459="Saída",-I4459,I4459))</f>
        <v/>
      </c>
      <c r="L4459" t="str">
        <f>IF(E4459="","",IFERROR(VLOOKUP(E4459,Listas!$A$2:$C$1048576,3,FALSE),""))</f>
        <v/>
      </c>
    </row>
    <row r="4460" spans="10:12" x14ac:dyDescent="0.25">
      <c r="J4460" t="str">
        <f>IF(H4460="","",IFERROR(VLOOKUP(H4460,Listas!$J$2:$K$1048576,2,FALSE),""))</f>
        <v/>
      </c>
      <c r="K4460" s="5" t="str">
        <f>IF(OR(I4460="",G4460=""),"",IF(G4460="Saída",-I4460,I4460))</f>
        <v/>
      </c>
      <c r="L4460" t="str">
        <f>IF(E4460="","",IFERROR(VLOOKUP(E4460,Listas!$A$2:$C$1048576,3,FALSE),""))</f>
        <v/>
      </c>
    </row>
    <row r="4461" spans="10:12" x14ac:dyDescent="0.25">
      <c r="J4461" t="str">
        <f>IF(H4461="","",IFERROR(VLOOKUP(H4461,Listas!$J$2:$K$1048576,2,FALSE),""))</f>
        <v/>
      </c>
      <c r="K4461" s="5" t="str">
        <f>IF(OR(I4461="",G4461=""),"",IF(G4461="Saída",-I4461,I4461))</f>
        <v/>
      </c>
      <c r="L4461" t="str">
        <f>IF(E4461="","",IFERROR(VLOOKUP(E4461,Listas!$A$2:$C$1048576,3,FALSE),""))</f>
        <v/>
      </c>
    </row>
    <row r="4462" spans="10:12" x14ac:dyDescent="0.25">
      <c r="J4462" t="str">
        <f>IF(H4462="","",IFERROR(VLOOKUP(H4462,Listas!$J$2:$K$1048576,2,FALSE),""))</f>
        <v/>
      </c>
      <c r="K4462" s="5" t="str">
        <f>IF(OR(I4462="",G4462=""),"",IF(G4462="Saída",-I4462,I4462))</f>
        <v/>
      </c>
      <c r="L4462" t="str">
        <f>IF(E4462="","",IFERROR(VLOOKUP(E4462,Listas!$A$2:$C$1048576,3,FALSE),""))</f>
        <v/>
      </c>
    </row>
    <row r="4463" spans="10:12" x14ac:dyDescent="0.25">
      <c r="J4463" t="str">
        <f>IF(H4463="","",IFERROR(VLOOKUP(H4463,Listas!$J$2:$K$1048576,2,FALSE),""))</f>
        <v/>
      </c>
      <c r="K4463" s="5" t="str">
        <f>IF(OR(I4463="",G4463=""),"",IF(G4463="Saída",-I4463,I4463))</f>
        <v/>
      </c>
      <c r="L4463" t="str">
        <f>IF(E4463="","",IFERROR(VLOOKUP(E4463,Listas!$A$2:$C$1048576,3,FALSE),""))</f>
        <v/>
      </c>
    </row>
    <row r="4464" spans="10:12" x14ac:dyDescent="0.25">
      <c r="J4464" t="str">
        <f>IF(H4464="","",IFERROR(VLOOKUP(H4464,Listas!$J$2:$K$1048576,2,FALSE),""))</f>
        <v/>
      </c>
      <c r="K4464" s="5" t="str">
        <f>IF(OR(I4464="",G4464=""),"",IF(G4464="Saída",-I4464,I4464))</f>
        <v/>
      </c>
      <c r="L4464" t="str">
        <f>IF(E4464="","",IFERROR(VLOOKUP(E4464,Listas!$A$2:$C$1048576,3,FALSE),""))</f>
        <v/>
      </c>
    </row>
    <row r="4465" spans="10:12" x14ac:dyDescent="0.25">
      <c r="J4465" t="str">
        <f>IF(H4465="","",IFERROR(VLOOKUP(H4465,Listas!$J$2:$K$1048576,2,FALSE),""))</f>
        <v/>
      </c>
      <c r="K4465" s="5" t="str">
        <f>IF(OR(I4465="",G4465=""),"",IF(G4465="Saída",-I4465,I4465))</f>
        <v/>
      </c>
      <c r="L4465" t="str">
        <f>IF(E4465="","",IFERROR(VLOOKUP(E4465,Listas!$A$2:$C$1048576,3,FALSE),""))</f>
        <v/>
      </c>
    </row>
    <row r="4466" spans="10:12" x14ac:dyDescent="0.25">
      <c r="J4466" t="str">
        <f>IF(H4466="","",IFERROR(VLOOKUP(H4466,Listas!$J$2:$K$1048576,2,FALSE),""))</f>
        <v/>
      </c>
      <c r="K4466" s="5" t="str">
        <f>IF(OR(I4466="",G4466=""),"",IF(G4466="Saída",-I4466,I4466))</f>
        <v/>
      </c>
      <c r="L4466" t="str">
        <f>IF(E4466="","",IFERROR(VLOOKUP(E4466,Listas!$A$2:$C$1048576,3,FALSE),""))</f>
        <v/>
      </c>
    </row>
    <row r="4467" spans="10:12" x14ac:dyDescent="0.25">
      <c r="J4467" t="str">
        <f>IF(H4467="","",IFERROR(VLOOKUP(H4467,Listas!$J$2:$K$1048576,2,FALSE),""))</f>
        <v/>
      </c>
      <c r="K4467" s="5" t="str">
        <f>IF(OR(I4467="",G4467=""),"",IF(G4467="Saída",-I4467,I4467))</f>
        <v/>
      </c>
      <c r="L4467" t="str">
        <f>IF(E4467="","",IFERROR(VLOOKUP(E4467,Listas!$A$2:$C$1048576,3,FALSE),""))</f>
        <v/>
      </c>
    </row>
    <row r="4468" spans="10:12" x14ac:dyDescent="0.25">
      <c r="J4468" t="str">
        <f>IF(H4468="","",IFERROR(VLOOKUP(H4468,Listas!$J$2:$K$1048576,2,FALSE),""))</f>
        <v/>
      </c>
      <c r="K4468" s="5" t="str">
        <f>IF(OR(I4468="",G4468=""),"",IF(G4468="Saída",-I4468,I4468))</f>
        <v/>
      </c>
      <c r="L4468" t="str">
        <f>IF(E4468="","",IFERROR(VLOOKUP(E4468,Listas!$A$2:$C$1048576,3,FALSE),""))</f>
        <v/>
      </c>
    </row>
    <row r="4469" spans="10:12" x14ac:dyDescent="0.25">
      <c r="J4469" t="str">
        <f>IF(H4469="","",IFERROR(VLOOKUP(H4469,Listas!$J$2:$K$1048576,2,FALSE),""))</f>
        <v/>
      </c>
      <c r="K4469" s="5" t="str">
        <f>IF(OR(I4469="",G4469=""),"",IF(G4469="Saída",-I4469,I4469))</f>
        <v/>
      </c>
      <c r="L4469" t="str">
        <f>IF(E4469="","",IFERROR(VLOOKUP(E4469,Listas!$A$2:$C$1048576,3,FALSE),""))</f>
        <v/>
      </c>
    </row>
    <row r="4470" spans="10:12" x14ac:dyDescent="0.25">
      <c r="J4470" t="str">
        <f>IF(H4470="","",IFERROR(VLOOKUP(H4470,Listas!$J$2:$K$1048576,2,FALSE),""))</f>
        <v/>
      </c>
      <c r="K4470" s="5" t="str">
        <f>IF(OR(I4470="",G4470=""),"",IF(G4470="Saída",-I4470,I4470))</f>
        <v/>
      </c>
      <c r="L4470" t="str">
        <f>IF(E4470="","",IFERROR(VLOOKUP(E4470,Listas!$A$2:$C$1048576,3,FALSE),""))</f>
        <v/>
      </c>
    </row>
    <row r="4471" spans="10:12" x14ac:dyDescent="0.25">
      <c r="J4471" t="str">
        <f>IF(H4471="","",IFERROR(VLOOKUP(H4471,Listas!$J$2:$K$1048576,2,FALSE),""))</f>
        <v/>
      </c>
      <c r="K4471" s="5" t="str">
        <f>IF(OR(I4471="",G4471=""),"",IF(G4471="Saída",-I4471,I4471))</f>
        <v/>
      </c>
      <c r="L4471" t="str">
        <f>IF(E4471="","",IFERROR(VLOOKUP(E4471,Listas!$A$2:$C$1048576,3,FALSE),""))</f>
        <v/>
      </c>
    </row>
    <row r="4472" spans="10:12" x14ac:dyDescent="0.25">
      <c r="J4472" t="str">
        <f>IF(H4472="","",IFERROR(VLOOKUP(H4472,Listas!$J$2:$K$1048576,2,FALSE),""))</f>
        <v/>
      </c>
      <c r="K4472" s="5" t="str">
        <f>IF(OR(I4472="",G4472=""),"",IF(G4472="Saída",-I4472,I4472))</f>
        <v/>
      </c>
      <c r="L4472" t="str">
        <f>IF(E4472="","",IFERROR(VLOOKUP(E4472,Listas!$A$2:$C$1048576,3,FALSE),""))</f>
        <v/>
      </c>
    </row>
    <row r="4473" spans="10:12" x14ac:dyDescent="0.25">
      <c r="J4473" t="str">
        <f>IF(H4473="","",IFERROR(VLOOKUP(H4473,Listas!$J$2:$K$1048576,2,FALSE),""))</f>
        <v/>
      </c>
      <c r="K4473" s="5" t="str">
        <f>IF(OR(I4473="",G4473=""),"",IF(G4473="Saída",-I4473,I4473))</f>
        <v/>
      </c>
      <c r="L4473" t="str">
        <f>IF(E4473="","",IFERROR(VLOOKUP(E4473,Listas!$A$2:$C$1048576,3,FALSE),""))</f>
        <v/>
      </c>
    </row>
    <row r="4474" spans="10:12" x14ac:dyDescent="0.25">
      <c r="J4474" t="str">
        <f>IF(H4474="","",IFERROR(VLOOKUP(H4474,Listas!$J$2:$K$1048576,2,FALSE),""))</f>
        <v/>
      </c>
      <c r="K4474" s="5" t="str">
        <f>IF(OR(I4474="",G4474=""),"",IF(G4474="Saída",-I4474,I4474))</f>
        <v/>
      </c>
      <c r="L4474" t="str">
        <f>IF(E4474="","",IFERROR(VLOOKUP(E4474,Listas!$A$2:$C$1048576,3,FALSE),""))</f>
        <v/>
      </c>
    </row>
    <row r="4475" spans="10:12" x14ac:dyDescent="0.25">
      <c r="J4475" t="str">
        <f>IF(H4475="","",IFERROR(VLOOKUP(H4475,Listas!$J$2:$K$1048576,2,FALSE),""))</f>
        <v/>
      </c>
      <c r="K4475" s="5" t="str">
        <f>IF(OR(I4475="",G4475=""),"",IF(G4475="Saída",-I4475,I4475))</f>
        <v/>
      </c>
      <c r="L4475" t="str">
        <f>IF(E4475="","",IFERROR(VLOOKUP(E4475,Listas!$A$2:$C$1048576,3,FALSE),""))</f>
        <v/>
      </c>
    </row>
    <row r="4476" spans="10:12" x14ac:dyDescent="0.25">
      <c r="J4476" t="str">
        <f>IF(H4476="","",IFERROR(VLOOKUP(H4476,Listas!$J$2:$K$1048576,2,FALSE),""))</f>
        <v/>
      </c>
      <c r="K4476" s="5" t="str">
        <f>IF(OR(I4476="",G4476=""),"",IF(G4476="Saída",-I4476,I4476))</f>
        <v/>
      </c>
      <c r="L4476" t="str">
        <f>IF(E4476="","",IFERROR(VLOOKUP(E4476,Listas!$A$2:$C$1048576,3,FALSE),""))</f>
        <v/>
      </c>
    </row>
    <row r="4477" spans="10:12" x14ac:dyDescent="0.25">
      <c r="J4477" t="str">
        <f>IF(H4477="","",IFERROR(VLOOKUP(H4477,Listas!$J$2:$K$1048576,2,FALSE),""))</f>
        <v/>
      </c>
      <c r="K4477" s="5" t="str">
        <f>IF(OR(I4477="",G4477=""),"",IF(G4477="Saída",-I4477,I4477))</f>
        <v/>
      </c>
      <c r="L4477" t="str">
        <f>IF(E4477="","",IFERROR(VLOOKUP(E4477,Listas!$A$2:$C$1048576,3,FALSE),""))</f>
        <v/>
      </c>
    </row>
    <row r="4478" spans="10:12" x14ac:dyDescent="0.25">
      <c r="J4478" t="str">
        <f>IF(H4478="","",IFERROR(VLOOKUP(H4478,Listas!$J$2:$K$1048576,2,FALSE),""))</f>
        <v/>
      </c>
      <c r="K4478" s="5" t="str">
        <f>IF(OR(I4478="",G4478=""),"",IF(G4478="Saída",-I4478,I4478))</f>
        <v/>
      </c>
      <c r="L4478" t="str">
        <f>IF(E4478="","",IFERROR(VLOOKUP(E4478,Listas!$A$2:$C$1048576,3,FALSE),""))</f>
        <v/>
      </c>
    </row>
    <row r="4479" spans="10:12" x14ac:dyDescent="0.25">
      <c r="J4479" t="str">
        <f>IF(H4479="","",IFERROR(VLOOKUP(H4479,Listas!$J$2:$K$1048576,2,FALSE),""))</f>
        <v/>
      </c>
      <c r="K4479" s="5" t="str">
        <f>IF(OR(I4479="",G4479=""),"",IF(G4479="Saída",-I4479,I4479))</f>
        <v/>
      </c>
      <c r="L4479" t="str">
        <f>IF(E4479="","",IFERROR(VLOOKUP(E4479,Listas!$A$2:$C$1048576,3,FALSE),""))</f>
        <v/>
      </c>
    </row>
    <row r="4480" spans="10:12" x14ac:dyDescent="0.25">
      <c r="J4480" t="str">
        <f>IF(H4480="","",IFERROR(VLOOKUP(H4480,Listas!$J$2:$K$1048576,2,FALSE),""))</f>
        <v/>
      </c>
      <c r="K4480" s="5" t="str">
        <f>IF(OR(I4480="",G4480=""),"",IF(G4480="Saída",-I4480,I4480))</f>
        <v/>
      </c>
      <c r="L4480" t="str">
        <f>IF(E4480="","",IFERROR(VLOOKUP(E4480,Listas!$A$2:$C$1048576,3,FALSE),""))</f>
        <v/>
      </c>
    </row>
    <row r="4481" spans="10:12" x14ac:dyDescent="0.25">
      <c r="J4481" t="str">
        <f>IF(H4481="","",IFERROR(VLOOKUP(H4481,Listas!$J$2:$K$1048576,2,FALSE),""))</f>
        <v/>
      </c>
      <c r="K4481" s="5" t="str">
        <f>IF(OR(I4481="",G4481=""),"",IF(G4481="Saída",-I4481,I4481))</f>
        <v/>
      </c>
      <c r="L4481" t="str">
        <f>IF(E4481="","",IFERROR(VLOOKUP(E4481,Listas!$A$2:$C$1048576,3,FALSE),""))</f>
        <v/>
      </c>
    </row>
    <row r="4482" spans="10:12" x14ac:dyDescent="0.25">
      <c r="J4482" t="str">
        <f>IF(H4482="","",IFERROR(VLOOKUP(H4482,Listas!$J$2:$K$1048576,2,FALSE),""))</f>
        <v/>
      </c>
      <c r="K4482" s="5" t="str">
        <f>IF(OR(I4482="",G4482=""),"",IF(G4482="Saída",-I4482,I4482))</f>
        <v/>
      </c>
      <c r="L4482" t="str">
        <f>IF(E4482="","",IFERROR(VLOOKUP(E4482,Listas!$A$2:$C$1048576,3,FALSE),""))</f>
        <v/>
      </c>
    </row>
    <row r="4483" spans="10:12" x14ac:dyDescent="0.25">
      <c r="J4483" t="str">
        <f>IF(H4483="","",IFERROR(VLOOKUP(H4483,Listas!$J$2:$K$1048576,2,FALSE),""))</f>
        <v/>
      </c>
      <c r="K4483" s="5" t="str">
        <f>IF(OR(I4483="",G4483=""),"",IF(G4483="Saída",-I4483,I4483))</f>
        <v/>
      </c>
      <c r="L4483" t="str">
        <f>IF(E4483="","",IFERROR(VLOOKUP(E4483,Listas!$A$2:$C$1048576,3,FALSE),""))</f>
        <v/>
      </c>
    </row>
    <row r="4484" spans="10:12" x14ac:dyDescent="0.25">
      <c r="J4484" t="str">
        <f>IF(H4484="","",IFERROR(VLOOKUP(H4484,Listas!$J$2:$K$1048576,2,FALSE),""))</f>
        <v/>
      </c>
      <c r="K4484" s="5" t="str">
        <f>IF(OR(I4484="",G4484=""),"",IF(G4484="Saída",-I4484,I4484))</f>
        <v/>
      </c>
      <c r="L4484" t="str">
        <f>IF(E4484="","",IFERROR(VLOOKUP(E4484,Listas!$A$2:$C$1048576,3,FALSE),""))</f>
        <v/>
      </c>
    </row>
    <row r="4485" spans="10:12" x14ac:dyDescent="0.25">
      <c r="J4485" t="str">
        <f>IF(H4485="","",IFERROR(VLOOKUP(H4485,Listas!$J$2:$K$1048576,2,FALSE),""))</f>
        <v/>
      </c>
      <c r="K4485" s="5" t="str">
        <f>IF(OR(I4485="",G4485=""),"",IF(G4485="Saída",-I4485,I4485))</f>
        <v/>
      </c>
      <c r="L4485" t="str">
        <f>IF(E4485="","",IFERROR(VLOOKUP(E4485,Listas!$A$2:$C$1048576,3,FALSE),""))</f>
        <v/>
      </c>
    </row>
    <row r="4486" spans="10:12" x14ac:dyDescent="0.25">
      <c r="J4486" t="str">
        <f>IF(H4486="","",IFERROR(VLOOKUP(H4486,Listas!$J$2:$K$1048576,2,FALSE),""))</f>
        <v/>
      </c>
      <c r="K4486" s="5" t="str">
        <f>IF(OR(I4486="",G4486=""),"",IF(G4486="Saída",-I4486,I4486))</f>
        <v/>
      </c>
      <c r="L4486" t="str">
        <f>IF(E4486="","",IFERROR(VLOOKUP(E4486,Listas!$A$2:$C$1048576,3,FALSE),""))</f>
        <v/>
      </c>
    </row>
    <row r="4487" spans="10:12" x14ac:dyDescent="0.25">
      <c r="J4487" t="str">
        <f>IF(H4487="","",IFERROR(VLOOKUP(H4487,Listas!$J$2:$K$1048576,2,FALSE),""))</f>
        <v/>
      </c>
      <c r="K4487" s="5" t="str">
        <f>IF(OR(I4487="",G4487=""),"",IF(G4487="Saída",-I4487,I4487))</f>
        <v/>
      </c>
      <c r="L4487" t="str">
        <f>IF(E4487="","",IFERROR(VLOOKUP(E4487,Listas!$A$2:$C$1048576,3,FALSE),""))</f>
        <v/>
      </c>
    </row>
    <row r="4488" spans="10:12" x14ac:dyDescent="0.25">
      <c r="J4488" t="str">
        <f>IF(H4488="","",IFERROR(VLOOKUP(H4488,Listas!$J$2:$K$1048576,2,FALSE),""))</f>
        <v/>
      </c>
      <c r="K4488" s="5" t="str">
        <f>IF(OR(I4488="",G4488=""),"",IF(G4488="Saída",-I4488,I4488))</f>
        <v/>
      </c>
      <c r="L4488" t="str">
        <f>IF(E4488="","",IFERROR(VLOOKUP(E4488,Listas!$A$2:$C$1048576,3,FALSE),""))</f>
        <v/>
      </c>
    </row>
    <row r="4489" spans="10:12" x14ac:dyDescent="0.25">
      <c r="J4489" t="str">
        <f>IF(H4489="","",IFERROR(VLOOKUP(H4489,Listas!$J$2:$K$1048576,2,FALSE),""))</f>
        <v/>
      </c>
      <c r="K4489" s="5" t="str">
        <f>IF(OR(I4489="",G4489=""),"",IF(G4489="Saída",-I4489,I4489))</f>
        <v/>
      </c>
      <c r="L4489" t="str">
        <f>IF(E4489="","",IFERROR(VLOOKUP(E4489,Listas!$A$2:$C$1048576,3,FALSE),""))</f>
        <v/>
      </c>
    </row>
    <row r="4490" spans="10:12" x14ac:dyDescent="0.25">
      <c r="J4490" t="str">
        <f>IF(H4490="","",IFERROR(VLOOKUP(H4490,Listas!$J$2:$K$1048576,2,FALSE),""))</f>
        <v/>
      </c>
      <c r="K4490" s="5" t="str">
        <f>IF(OR(I4490="",G4490=""),"",IF(G4490="Saída",-I4490,I4490))</f>
        <v/>
      </c>
      <c r="L4490" t="str">
        <f>IF(E4490="","",IFERROR(VLOOKUP(E4490,Listas!$A$2:$C$1048576,3,FALSE),""))</f>
        <v/>
      </c>
    </row>
    <row r="4491" spans="10:12" x14ac:dyDescent="0.25">
      <c r="J4491" t="str">
        <f>IF(H4491="","",IFERROR(VLOOKUP(H4491,Listas!$J$2:$K$1048576,2,FALSE),""))</f>
        <v/>
      </c>
      <c r="K4491" s="5" t="str">
        <f>IF(OR(I4491="",G4491=""),"",IF(G4491="Saída",-I4491,I4491))</f>
        <v/>
      </c>
      <c r="L4491" t="str">
        <f>IF(E4491="","",IFERROR(VLOOKUP(E4491,Listas!$A$2:$C$1048576,3,FALSE),""))</f>
        <v/>
      </c>
    </row>
    <row r="4492" spans="10:12" x14ac:dyDescent="0.25">
      <c r="J4492" t="str">
        <f>IF(H4492="","",IFERROR(VLOOKUP(H4492,Listas!$J$2:$K$1048576,2,FALSE),""))</f>
        <v/>
      </c>
      <c r="K4492" s="5" t="str">
        <f>IF(OR(I4492="",G4492=""),"",IF(G4492="Saída",-I4492,I4492))</f>
        <v/>
      </c>
      <c r="L4492" t="str">
        <f>IF(E4492="","",IFERROR(VLOOKUP(E4492,Listas!$A$2:$C$1048576,3,FALSE),""))</f>
        <v/>
      </c>
    </row>
    <row r="4493" spans="10:12" x14ac:dyDescent="0.25">
      <c r="J4493" t="str">
        <f>IF(H4493="","",IFERROR(VLOOKUP(H4493,Listas!$J$2:$K$1048576,2,FALSE),""))</f>
        <v/>
      </c>
      <c r="K4493" s="5" t="str">
        <f>IF(OR(I4493="",G4493=""),"",IF(G4493="Saída",-I4493,I4493))</f>
        <v/>
      </c>
      <c r="L4493" t="str">
        <f>IF(E4493="","",IFERROR(VLOOKUP(E4493,Listas!$A$2:$C$1048576,3,FALSE),""))</f>
        <v/>
      </c>
    </row>
    <row r="4494" spans="10:12" x14ac:dyDescent="0.25">
      <c r="J4494" t="str">
        <f>IF(H4494="","",IFERROR(VLOOKUP(H4494,Listas!$J$2:$K$1048576,2,FALSE),""))</f>
        <v/>
      </c>
      <c r="K4494" s="5" t="str">
        <f>IF(OR(I4494="",G4494=""),"",IF(G4494="Saída",-I4494,I4494))</f>
        <v/>
      </c>
      <c r="L4494" t="str">
        <f>IF(E4494="","",IFERROR(VLOOKUP(E4494,Listas!$A$2:$C$1048576,3,FALSE),""))</f>
        <v/>
      </c>
    </row>
    <row r="4495" spans="10:12" x14ac:dyDescent="0.25">
      <c r="J4495" t="str">
        <f>IF(H4495="","",IFERROR(VLOOKUP(H4495,Listas!$J$2:$K$1048576,2,FALSE),""))</f>
        <v/>
      </c>
      <c r="K4495" s="5" t="str">
        <f>IF(OR(I4495="",G4495=""),"",IF(G4495="Saída",-I4495,I4495))</f>
        <v/>
      </c>
      <c r="L4495" t="str">
        <f>IF(E4495="","",IFERROR(VLOOKUP(E4495,Listas!$A$2:$C$1048576,3,FALSE),""))</f>
        <v/>
      </c>
    </row>
    <row r="4496" spans="10:12" x14ac:dyDescent="0.25">
      <c r="J4496" t="str">
        <f>IF(H4496="","",IFERROR(VLOOKUP(H4496,Listas!$J$2:$K$1048576,2,FALSE),""))</f>
        <v/>
      </c>
      <c r="K4496" s="5" t="str">
        <f>IF(OR(I4496="",G4496=""),"",IF(G4496="Saída",-I4496,I4496))</f>
        <v/>
      </c>
      <c r="L4496" t="str">
        <f>IF(E4496="","",IFERROR(VLOOKUP(E4496,Listas!$A$2:$C$1048576,3,FALSE),""))</f>
        <v/>
      </c>
    </row>
    <row r="4497" spans="10:12" x14ac:dyDescent="0.25">
      <c r="J4497" t="str">
        <f>IF(H4497="","",IFERROR(VLOOKUP(H4497,Listas!$J$2:$K$1048576,2,FALSE),""))</f>
        <v/>
      </c>
      <c r="K4497" s="5" t="str">
        <f>IF(OR(I4497="",G4497=""),"",IF(G4497="Saída",-I4497,I4497))</f>
        <v/>
      </c>
      <c r="L4497" t="str">
        <f>IF(E4497="","",IFERROR(VLOOKUP(E4497,Listas!$A$2:$C$1048576,3,FALSE),""))</f>
        <v/>
      </c>
    </row>
    <row r="4498" spans="10:12" x14ac:dyDescent="0.25">
      <c r="J4498" t="str">
        <f>IF(H4498="","",IFERROR(VLOOKUP(H4498,Listas!$J$2:$K$1048576,2,FALSE),""))</f>
        <v/>
      </c>
      <c r="K4498" s="5" t="str">
        <f>IF(OR(I4498="",G4498=""),"",IF(G4498="Saída",-I4498,I4498))</f>
        <v/>
      </c>
      <c r="L4498" t="str">
        <f>IF(E4498="","",IFERROR(VLOOKUP(E4498,Listas!$A$2:$C$1048576,3,FALSE),""))</f>
        <v/>
      </c>
    </row>
    <row r="4499" spans="10:12" x14ac:dyDescent="0.25">
      <c r="J4499" t="str">
        <f>IF(H4499="","",IFERROR(VLOOKUP(H4499,Listas!$J$2:$K$1048576,2,FALSE),""))</f>
        <v/>
      </c>
      <c r="K4499" s="5" t="str">
        <f>IF(OR(I4499="",G4499=""),"",IF(G4499="Saída",-I4499,I4499))</f>
        <v/>
      </c>
      <c r="L4499" t="str">
        <f>IF(E4499="","",IFERROR(VLOOKUP(E4499,Listas!$A$2:$C$1048576,3,FALSE),""))</f>
        <v/>
      </c>
    </row>
    <row r="4500" spans="10:12" x14ac:dyDescent="0.25">
      <c r="J4500" t="str">
        <f>IF(H4500="","",IFERROR(VLOOKUP(H4500,Listas!$J$2:$K$1048576,2,FALSE),""))</f>
        <v/>
      </c>
      <c r="K4500" s="5" t="str">
        <f>IF(OR(I4500="",G4500=""),"",IF(G4500="Saída",-I4500,I4500))</f>
        <v/>
      </c>
      <c r="L4500" t="str">
        <f>IF(E4500="","",IFERROR(VLOOKUP(E4500,Listas!$A$2:$C$1048576,3,FALSE),""))</f>
        <v/>
      </c>
    </row>
    <row r="4501" spans="10:12" x14ac:dyDescent="0.25">
      <c r="J4501" t="str">
        <f>IF(H4501="","",IFERROR(VLOOKUP(H4501,Listas!$J$2:$K$1048576,2,FALSE),""))</f>
        <v/>
      </c>
      <c r="K4501" s="5" t="str">
        <f>IF(OR(I4501="",G4501=""),"",IF(G4501="Saída",-I4501,I4501))</f>
        <v/>
      </c>
      <c r="L4501" t="str">
        <f>IF(E4501="","",IFERROR(VLOOKUP(E4501,Listas!$A$2:$C$1048576,3,FALSE),""))</f>
        <v/>
      </c>
    </row>
    <row r="4502" spans="10:12" x14ac:dyDescent="0.25">
      <c r="J4502" t="str">
        <f>IF(H4502="","",IFERROR(VLOOKUP(H4502,Listas!$J$2:$K$1048576,2,FALSE),""))</f>
        <v/>
      </c>
      <c r="K4502" s="5" t="str">
        <f>IF(OR(I4502="",G4502=""),"",IF(G4502="Saída",-I4502,I4502))</f>
        <v/>
      </c>
      <c r="L4502" t="str">
        <f>IF(E4502="","",IFERROR(VLOOKUP(E4502,Listas!$A$2:$C$1048576,3,FALSE),""))</f>
        <v/>
      </c>
    </row>
    <row r="4503" spans="10:12" x14ac:dyDescent="0.25">
      <c r="J4503" t="str">
        <f>IF(H4503="","",IFERROR(VLOOKUP(H4503,Listas!$J$2:$K$1048576,2,FALSE),""))</f>
        <v/>
      </c>
      <c r="K4503" s="5" t="str">
        <f>IF(OR(I4503="",G4503=""),"",IF(G4503="Saída",-I4503,I4503))</f>
        <v/>
      </c>
      <c r="L4503" t="str">
        <f>IF(E4503="","",IFERROR(VLOOKUP(E4503,Listas!$A$2:$C$1048576,3,FALSE),""))</f>
        <v/>
      </c>
    </row>
    <row r="4504" spans="10:12" x14ac:dyDescent="0.25">
      <c r="J4504" t="str">
        <f>IF(H4504="","",IFERROR(VLOOKUP(H4504,Listas!$J$2:$K$1048576,2,FALSE),""))</f>
        <v/>
      </c>
      <c r="K4504" s="5" t="str">
        <f>IF(OR(I4504="",G4504=""),"",IF(G4504="Saída",-I4504,I4504))</f>
        <v/>
      </c>
      <c r="L4504" t="str">
        <f>IF(E4504="","",IFERROR(VLOOKUP(E4504,Listas!$A$2:$C$1048576,3,FALSE),""))</f>
        <v/>
      </c>
    </row>
    <row r="4505" spans="10:12" x14ac:dyDescent="0.25">
      <c r="J4505" t="str">
        <f>IF(H4505="","",IFERROR(VLOOKUP(H4505,Listas!$J$2:$K$1048576,2,FALSE),""))</f>
        <v/>
      </c>
      <c r="K4505" s="5" t="str">
        <f>IF(OR(I4505="",G4505=""),"",IF(G4505="Saída",-I4505,I4505))</f>
        <v/>
      </c>
      <c r="L4505" t="str">
        <f>IF(E4505="","",IFERROR(VLOOKUP(E4505,Listas!$A$2:$C$1048576,3,FALSE),""))</f>
        <v/>
      </c>
    </row>
    <row r="4506" spans="10:12" x14ac:dyDescent="0.25">
      <c r="J4506" t="str">
        <f>IF(H4506="","",IFERROR(VLOOKUP(H4506,Listas!$J$2:$K$1048576,2,FALSE),""))</f>
        <v/>
      </c>
      <c r="K4506" s="5" t="str">
        <f>IF(OR(I4506="",G4506=""),"",IF(G4506="Saída",-I4506,I4506))</f>
        <v/>
      </c>
      <c r="L4506" t="str">
        <f>IF(E4506="","",IFERROR(VLOOKUP(E4506,Listas!$A$2:$C$1048576,3,FALSE),""))</f>
        <v/>
      </c>
    </row>
    <row r="4507" spans="10:12" x14ac:dyDescent="0.25">
      <c r="J4507" t="str">
        <f>IF(H4507="","",IFERROR(VLOOKUP(H4507,Listas!$J$2:$K$1048576,2,FALSE),""))</f>
        <v/>
      </c>
      <c r="K4507" s="5" t="str">
        <f>IF(OR(I4507="",G4507=""),"",IF(G4507="Saída",-I4507,I4507))</f>
        <v/>
      </c>
      <c r="L4507" t="str">
        <f>IF(E4507="","",IFERROR(VLOOKUP(E4507,Listas!$A$2:$C$1048576,3,FALSE),""))</f>
        <v/>
      </c>
    </row>
    <row r="4508" spans="10:12" x14ac:dyDescent="0.25">
      <c r="J4508" t="str">
        <f>IF(H4508="","",IFERROR(VLOOKUP(H4508,Listas!$J$2:$K$1048576,2,FALSE),""))</f>
        <v/>
      </c>
      <c r="K4508" s="5" t="str">
        <f>IF(OR(I4508="",G4508=""),"",IF(G4508="Saída",-I4508,I4508))</f>
        <v/>
      </c>
      <c r="L4508" t="str">
        <f>IF(E4508="","",IFERROR(VLOOKUP(E4508,Listas!$A$2:$C$1048576,3,FALSE),""))</f>
        <v/>
      </c>
    </row>
    <row r="4509" spans="10:12" x14ac:dyDescent="0.25">
      <c r="J4509" t="str">
        <f>IF(H4509="","",IFERROR(VLOOKUP(H4509,Listas!$J$2:$K$1048576,2,FALSE),""))</f>
        <v/>
      </c>
      <c r="K4509" s="5" t="str">
        <f>IF(OR(I4509="",G4509=""),"",IF(G4509="Saída",-I4509,I4509))</f>
        <v/>
      </c>
      <c r="L4509" t="str">
        <f>IF(E4509="","",IFERROR(VLOOKUP(E4509,Listas!$A$2:$C$1048576,3,FALSE),""))</f>
        <v/>
      </c>
    </row>
    <row r="4510" spans="10:12" x14ac:dyDescent="0.25">
      <c r="J4510" t="str">
        <f>IF(H4510="","",IFERROR(VLOOKUP(H4510,Listas!$J$2:$K$1048576,2,FALSE),""))</f>
        <v/>
      </c>
      <c r="K4510" s="5" t="str">
        <f>IF(OR(I4510="",G4510=""),"",IF(G4510="Saída",-I4510,I4510))</f>
        <v/>
      </c>
      <c r="L4510" t="str">
        <f>IF(E4510="","",IFERROR(VLOOKUP(E4510,Listas!$A$2:$C$1048576,3,FALSE),""))</f>
        <v/>
      </c>
    </row>
    <row r="4511" spans="10:12" x14ac:dyDescent="0.25">
      <c r="J4511" t="str">
        <f>IF(H4511="","",IFERROR(VLOOKUP(H4511,Listas!$J$2:$K$1048576,2,FALSE),""))</f>
        <v/>
      </c>
      <c r="K4511" s="5" t="str">
        <f>IF(OR(I4511="",G4511=""),"",IF(G4511="Saída",-I4511,I4511))</f>
        <v/>
      </c>
      <c r="L4511" t="str">
        <f>IF(E4511="","",IFERROR(VLOOKUP(E4511,Listas!$A$2:$C$1048576,3,FALSE),""))</f>
        <v/>
      </c>
    </row>
    <row r="4512" spans="10:12" x14ac:dyDescent="0.25">
      <c r="J4512" t="str">
        <f>IF(H4512="","",IFERROR(VLOOKUP(H4512,Listas!$J$2:$K$1048576,2,FALSE),""))</f>
        <v/>
      </c>
      <c r="K4512" s="5" t="str">
        <f>IF(OR(I4512="",G4512=""),"",IF(G4512="Saída",-I4512,I4512))</f>
        <v/>
      </c>
      <c r="L4512" t="str">
        <f>IF(E4512="","",IFERROR(VLOOKUP(E4512,Listas!$A$2:$C$1048576,3,FALSE),""))</f>
        <v/>
      </c>
    </row>
    <row r="4513" spans="10:12" x14ac:dyDescent="0.25">
      <c r="J4513" t="str">
        <f>IF(H4513="","",IFERROR(VLOOKUP(H4513,Listas!$J$2:$K$1048576,2,FALSE),""))</f>
        <v/>
      </c>
      <c r="K4513" s="5" t="str">
        <f>IF(OR(I4513="",G4513=""),"",IF(G4513="Saída",-I4513,I4513))</f>
        <v/>
      </c>
      <c r="L4513" t="str">
        <f>IF(E4513="","",IFERROR(VLOOKUP(E4513,Listas!$A$2:$C$1048576,3,FALSE),""))</f>
        <v/>
      </c>
    </row>
    <row r="4514" spans="10:12" x14ac:dyDescent="0.25">
      <c r="J4514" t="str">
        <f>IF(H4514="","",IFERROR(VLOOKUP(H4514,Listas!$J$2:$K$1048576,2,FALSE),""))</f>
        <v/>
      </c>
      <c r="K4514" s="5" t="str">
        <f>IF(OR(I4514="",G4514=""),"",IF(G4514="Saída",-I4514,I4514))</f>
        <v/>
      </c>
      <c r="L4514" t="str">
        <f>IF(E4514="","",IFERROR(VLOOKUP(E4514,Listas!$A$2:$C$1048576,3,FALSE),""))</f>
        <v/>
      </c>
    </row>
    <row r="4515" spans="10:12" x14ac:dyDescent="0.25">
      <c r="J4515" t="str">
        <f>IF(H4515="","",IFERROR(VLOOKUP(H4515,Listas!$J$2:$K$1048576,2,FALSE),""))</f>
        <v/>
      </c>
      <c r="K4515" s="5" t="str">
        <f>IF(OR(I4515="",G4515=""),"",IF(G4515="Saída",-I4515,I4515))</f>
        <v/>
      </c>
      <c r="L4515" t="str">
        <f>IF(E4515="","",IFERROR(VLOOKUP(E4515,Listas!$A$2:$C$1048576,3,FALSE),""))</f>
        <v/>
      </c>
    </row>
    <row r="4516" spans="10:12" x14ac:dyDescent="0.25">
      <c r="J4516" t="str">
        <f>IF(H4516="","",IFERROR(VLOOKUP(H4516,Listas!$J$2:$K$1048576,2,FALSE),""))</f>
        <v/>
      </c>
      <c r="K4516" s="5" t="str">
        <f>IF(OR(I4516="",G4516=""),"",IF(G4516="Saída",-I4516,I4516))</f>
        <v/>
      </c>
      <c r="L4516" t="str">
        <f>IF(E4516="","",IFERROR(VLOOKUP(E4516,Listas!$A$2:$C$1048576,3,FALSE),""))</f>
        <v/>
      </c>
    </row>
    <row r="4517" spans="10:12" x14ac:dyDescent="0.25">
      <c r="J4517" t="str">
        <f>IF(H4517="","",IFERROR(VLOOKUP(H4517,Listas!$J$2:$K$1048576,2,FALSE),""))</f>
        <v/>
      </c>
      <c r="K4517" s="5" t="str">
        <f>IF(OR(I4517="",G4517=""),"",IF(G4517="Saída",-I4517,I4517))</f>
        <v/>
      </c>
      <c r="L4517" t="str">
        <f>IF(E4517="","",IFERROR(VLOOKUP(E4517,Listas!$A$2:$C$1048576,3,FALSE),""))</f>
        <v/>
      </c>
    </row>
    <row r="4518" spans="10:12" x14ac:dyDescent="0.25">
      <c r="J4518" t="str">
        <f>IF(H4518="","",IFERROR(VLOOKUP(H4518,Listas!$J$2:$K$1048576,2,FALSE),""))</f>
        <v/>
      </c>
      <c r="K4518" s="5" t="str">
        <f>IF(OR(I4518="",G4518=""),"",IF(G4518="Saída",-I4518,I4518))</f>
        <v/>
      </c>
      <c r="L4518" t="str">
        <f>IF(E4518="","",IFERROR(VLOOKUP(E4518,Listas!$A$2:$C$1048576,3,FALSE),""))</f>
        <v/>
      </c>
    </row>
    <row r="4519" spans="10:12" x14ac:dyDescent="0.25">
      <c r="J4519" t="str">
        <f>IF(H4519="","",IFERROR(VLOOKUP(H4519,Listas!$J$2:$K$1048576,2,FALSE),""))</f>
        <v/>
      </c>
      <c r="K4519" s="5" t="str">
        <f>IF(OR(I4519="",G4519=""),"",IF(G4519="Saída",-I4519,I4519))</f>
        <v/>
      </c>
      <c r="L4519" t="str">
        <f>IF(E4519="","",IFERROR(VLOOKUP(E4519,Listas!$A$2:$C$1048576,3,FALSE),""))</f>
        <v/>
      </c>
    </row>
    <row r="4520" spans="10:12" x14ac:dyDescent="0.25">
      <c r="J4520" t="str">
        <f>IF(H4520="","",IFERROR(VLOOKUP(H4520,Listas!$J$2:$K$1048576,2,FALSE),""))</f>
        <v/>
      </c>
      <c r="K4520" s="5" t="str">
        <f>IF(OR(I4520="",G4520=""),"",IF(G4520="Saída",-I4520,I4520))</f>
        <v/>
      </c>
      <c r="L4520" t="str">
        <f>IF(E4520="","",IFERROR(VLOOKUP(E4520,Listas!$A$2:$C$1048576,3,FALSE),""))</f>
        <v/>
      </c>
    </row>
    <row r="4521" spans="10:12" x14ac:dyDescent="0.25">
      <c r="J4521" t="str">
        <f>IF(H4521="","",IFERROR(VLOOKUP(H4521,Listas!$J$2:$K$1048576,2,FALSE),""))</f>
        <v/>
      </c>
      <c r="K4521" s="5" t="str">
        <f>IF(OR(I4521="",G4521=""),"",IF(G4521="Saída",-I4521,I4521))</f>
        <v/>
      </c>
      <c r="L4521" t="str">
        <f>IF(E4521="","",IFERROR(VLOOKUP(E4521,Listas!$A$2:$C$1048576,3,FALSE),""))</f>
        <v/>
      </c>
    </row>
    <row r="4522" spans="10:12" x14ac:dyDescent="0.25">
      <c r="J4522" t="str">
        <f>IF(H4522="","",IFERROR(VLOOKUP(H4522,Listas!$J$2:$K$1048576,2,FALSE),""))</f>
        <v/>
      </c>
      <c r="K4522" s="5" t="str">
        <f>IF(OR(I4522="",G4522=""),"",IF(G4522="Saída",-I4522,I4522))</f>
        <v/>
      </c>
      <c r="L4522" t="str">
        <f>IF(E4522="","",IFERROR(VLOOKUP(E4522,Listas!$A$2:$C$1048576,3,FALSE),""))</f>
        <v/>
      </c>
    </row>
    <row r="4523" spans="10:12" x14ac:dyDescent="0.25">
      <c r="J4523" t="str">
        <f>IF(H4523="","",IFERROR(VLOOKUP(H4523,Listas!$J$2:$K$1048576,2,FALSE),""))</f>
        <v/>
      </c>
      <c r="K4523" s="5" t="str">
        <f>IF(OR(I4523="",G4523=""),"",IF(G4523="Saída",-I4523,I4523))</f>
        <v/>
      </c>
      <c r="L4523" t="str">
        <f>IF(E4523="","",IFERROR(VLOOKUP(E4523,Listas!$A$2:$C$1048576,3,FALSE),""))</f>
        <v/>
      </c>
    </row>
    <row r="4524" spans="10:12" x14ac:dyDescent="0.25">
      <c r="J4524" t="str">
        <f>IF(H4524="","",IFERROR(VLOOKUP(H4524,Listas!$J$2:$K$1048576,2,FALSE),""))</f>
        <v/>
      </c>
      <c r="K4524" s="5" t="str">
        <f>IF(OR(I4524="",G4524=""),"",IF(G4524="Saída",-I4524,I4524))</f>
        <v/>
      </c>
      <c r="L4524" t="str">
        <f>IF(E4524="","",IFERROR(VLOOKUP(E4524,Listas!$A$2:$C$1048576,3,FALSE),""))</f>
        <v/>
      </c>
    </row>
    <row r="4525" spans="10:12" x14ac:dyDescent="0.25">
      <c r="J4525" t="str">
        <f>IF(H4525="","",IFERROR(VLOOKUP(H4525,Listas!$J$2:$K$1048576,2,FALSE),""))</f>
        <v/>
      </c>
      <c r="K4525" s="5" t="str">
        <f>IF(OR(I4525="",G4525=""),"",IF(G4525="Saída",-I4525,I4525))</f>
        <v/>
      </c>
      <c r="L4525" t="str">
        <f>IF(E4525="","",IFERROR(VLOOKUP(E4525,Listas!$A$2:$C$1048576,3,FALSE),""))</f>
        <v/>
      </c>
    </row>
    <row r="4526" spans="10:12" x14ac:dyDescent="0.25">
      <c r="J4526" t="str">
        <f>IF(H4526="","",IFERROR(VLOOKUP(H4526,Listas!$J$2:$K$1048576,2,FALSE),""))</f>
        <v/>
      </c>
      <c r="K4526" s="5" t="str">
        <f>IF(OR(I4526="",G4526=""),"",IF(G4526="Saída",-I4526,I4526))</f>
        <v/>
      </c>
      <c r="L4526" t="str">
        <f>IF(E4526="","",IFERROR(VLOOKUP(E4526,Listas!$A$2:$C$1048576,3,FALSE),""))</f>
        <v/>
      </c>
    </row>
    <row r="4527" spans="10:12" x14ac:dyDescent="0.25">
      <c r="J4527" t="str">
        <f>IF(H4527="","",IFERROR(VLOOKUP(H4527,Listas!$J$2:$K$1048576,2,FALSE),""))</f>
        <v/>
      </c>
      <c r="K4527" s="5" t="str">
        <f>IF(OR(I4527="",G4527=""),"",IF(G4527="Saída",-I4527,I4527))</f>
        <v/>
      </c>
      <c r="L4527" t="str">
        <f>IF(E4527="","",IFERROR(VLOOKUP(E4527,Listas!$A$2:$C$1048576,3,FALSE),""))</f>
        <v/>
      </c>
    </row>
    <row r="4528" spans="10:12" x14ac:dyDescent="0.25">
      <c r="J4528" t="str">
        <f>IF(H4528="","",IFERROR(VLOOKUP(H4528,Listas!$J$2:$K$1048576,2,FALSE),""))</f>
        <v/>
      </c>
      <c r="K4528" s="5" t="str">
        <f>IF(OR(I4528="",G4528=""),"",IF(G4528="Saída",-I4528,I4528))</f>
        <v/>
      </c>
      <c r="L4528" t="str">
        <f>IF(E4528="","",IFERROR(VLOOKUP(E4528,Listas!$A$2:$C$1048576,3,FALSE),""))</f>
        <v/>
      </c>
    </row>
    <row r="4529" spans="10:12" x14ac:dyDescent="0.25">
      <c r="J4529" t="str">
        <f>IF(H4529="","",IFERROR(VLOOKUP(H4529,Listas!$J$2:$K$1048576,2,FALSE),""))</f>
        <v/>
      </c>
      <c r="K4529" s="5" t="str">
        <f>IF(OR(I4529="",G4529=""),"",IF(G4529="Saída",-I4529,I4529))</f>
        <v/>
      </c>
      <c r="L4529" t="str">
        <f>IF(E4529="","",IFERROR(VLOOKUP(E4529,Listas!$A$2:$C$1048576,3,FALSE),""))</f>
        <v/>
      </c>
    </row>
    <row r="4530" spans="10:12" x14ac:dyDescent="0.25">
      <c r="J4530" t="str">
        <f>IF(H4530="","",IFERROR(VLOOKUP(H4530,Listas!$J$2:$K$1048576,2,FALSE),""))</f>
        <v/>
      </c>
      <c r="K4530" s="5" t="str">
        <f>IF(OR(I4530="",G4530=""),"",IF(G4530="Saída",-I4530,I4530))</f>
        <v/>
      </c>
      <c r="L4530" t="str">
        <f>IF(E4530="","",IFERROR(VLOOKUP(E4530,Listas!$A$2:$C$1048576,3,FALSE),""))</f>
        <v/>
      </c>
    </row>
    <row r="4531" spans="10:12" x14ac:dyDescent="0.25">
      <c r="J4531" t="str">
        <f>IF(H4531="","",IFERROR(VLOOKUP(H4531,Listas!$J$2:$K$1048576,2,FALSE),""))</f>
        <v/>
      </c>
      <c r="K4531" s="5" t="str">
        <f>IF(OR(I4531="",G4531=""),"",IF(G4531="Saída",-I4531,I4531))</f>
        <v/>
      </c>
      <c r="L4531" t="str">
        <f>IF(E4531="","",IFERROR(VLOOKUP(E4531,Listas!$A$2:$C$1048576,3,FALSE),""))</f>
        <v/>
      </c>
    </row>
    <row r="4532" spans="10:12" x14ac:dyDescent="0.25">
      <c r="J4532" t="str">
        <f>IF(H4532="","",IFERROR(VLOOKUP(H4532,Listas!$J$2:$K$1048576,2,FALSE),""))</f>
        <v/>
      </c>
      <c r="K4532" s="5" t="str">
        <f>IF(OR(I4532="",G4532=""),"",IF(G4532="Saída",-I4532,I4532))</f>
        <v/>
      </c>
      <c r="L4532" t="str">
        <f>IF(E4532="","",IFERROR(VLOOKUP(E4532,Listas!$A$2:$C$1048576,3,FALSE),""))</f>
        <v/>
      </c>
    </row>
    <row r="4533" spans="10:12" x14ac:dyDescent="0.25">
      <c r="J4533" t="str">
        <f>IF(H4533="","",IFERROR(VLOOKUP(H4533,Listas!$J$2:$K$1048576,2,FALSE),""))</f>
        <v/>
      </c>
      <c r="K4533" s="5" t="str">
        <f>IF(OR(I4533="",G4533=""),"",IF(G4533="Saída",-I4533,I4533))</f>
        <v/>
      </c>
      <c r="L4533" t="str">
        <f>IF(E4533="","",IFERROR(VLOOKUP(E4533,Listas!$A$2:$C$1048576,3,FALSE),""))</f>
        <v/>
      </c>
    </row>
    <row r="4534" spans="10:12" x14ac:dyDescent="0.25">
      <c r="J4534" t="str">
        <f>IF(H4534="","",IFERROR(VLOOKUP(H4534,Listas!$J$2:$K$1048576,2,FALSE),""))</f>
        <v/>
      </c>
      <c r="K4534" s="5" t="str">
        <f>IF(OR(I4534="",G4534=""),"",IF(G4534="Saída",-I4534,I4534))</f>
        <v/>
      </c>
      <c r="L4534" t="str">
        <f>IF(E4534="","",IFERROR(VLOOKUP(E4534,Listas!$A$2:$C$1048576,3,FALSE),""))</f>
        <v/>
      </c>
    </row>
    <row r="4535" spans="10:12" x14ac:dyDescent="0.25">
      <c r="J4535" t="str">
        <f>IF(H4535="","",IFERROR(VLOOKUP(H4535,Listas!$J$2:$K$1048576,2,FALSE),""))</f>
        <v/>
      </c>
      <c r="K4535" s="5" t="str">
        <f>IF(OR(I4535="",G4535=""),"",IF(G4535="Saída",-I4535,I4535))</f>
        <v/>
      </c>
      <c r="L4535" t="str">
        <f>IF(E4535="","",IFERROR(VLOOKUP(E4535,Listas!$A$2:$C$1048576,3,FALSE),""))</f>
        <v/>
      </c>
    </row>
    <row r="4536" spans="10:12" x14ac:dyDescent="0.25">
      <c r="J4536" t="str">
        <f>IF(H4536="","",IFERROR(VLOOKUP(H4536,Listas!$J$2:$K$1048576,2,FALSE),""))</f>
        <v/>
      </c>
      <c r="K4536" s="5" t="str">
        <f>IF(OR(I4536="",G4536=""),"",IF(G4536="Saída",-I4536,I4536))</f>
        <v/>
      </c>
      <c r="L4536" t="str">
        <f>IF(E4536="","",IFERROR(VLOOKUP(E4536,Listas!$A$2:$C$1048576,3,FALSE),""))</f>
        <v/>
      </c>
    </row>
    <row r="4537" spans="10:12" x14ac:dyDescent="0.25">
      <c r="J4537" t="str">
        <f>IF(H4537="","",IFERROR(VLOOKUP(H4537,Listas!$J$2:$K$1048576,2,FALSE),""))</f>
        <v/>
      </c>
      <c r="K4537" s="5" t="str">
        <f>IF(OR(I4537="",G4537=""),"",IF(G4537="Saída",-I4537,I4537))</f>
        <v/>
      </c>
      <c r="L4537" t="str">
        <f>IF(E4537="","",IFERROR(VLOOKUP(E4537,Listas!$A$2:$C$1048576,3,FALSE),""))</f>
        <v/>
      </c>
    </row>
    <row r="4538" spans="10:12" x14ac:dyDescent="0.25">
      <c r="J4538" t="str">
        <f>IF(H4538="","",IFERROR(VLOOKUP(H4538,Listas!$J$2:$K$1048576,2,FALSE),""))</f>
        <v/>
      </c>
      <c r="K4538" s="5" t="str">
        <f>IF(OR(I4538="",G4538=""),"",IF(G4538="Saída",-I4538,I4538))</f>
        <v/>
      </c>
      <c r="L4538" t="str">
        <f>IF(E4538="","",IFERROR(VLOOKUP(E4538,Listas!$A$2:$C$1048576,3,FALSE),""))</f>
        <v/>
      </c>
    </row>
    <row r="4539" spans="10:12" x14ac:dyDescent="0.25">
      <c r="J4539" t="str">
        <f>IF(H4539="","",IFERROR(VLOOKUP(H4539,Listas!$J$2:$K$1048576,2,FALSE),""))</f>
        <v/>
      </c>
      <c r="K4539" s="5" t="str">
        <f>IF(OR(I4539="",G4539=""),"",IF(G4539="Saída",-I4539,I4539))</f>
        <v/>
      </c>
      <c r="L4539" t="str">
        <f>IF(E4539="","",IFERROR(VLOOKUP(E4539,Listas!$A$2:$C$1048576,3,FALSE),""))</f>
        <v/>
      </c>
    </row>
    <row r="4540" spans="10:12" x14ac:dyDescent="0.25">
      <c r="J4540" t="str">
        <f>IF(H4540="","",IFERROR(VLOOKUP(H4540,Listas!$J$2:$K$1048576,2,FALSE),""))</f>
        <v/>
      </c>
      <c r="K4540" s="5" t="str">
        <f>IF(OR(I4540="",G4540=""),"",IF(G4540="Saída",-I4540,I4540))</f>
        <v/>
      </c>
      <c r="L4540" t="str">
        <f>IF(E4540="","",IFERROR(VLOOKUP(E4540,Listas!$A$2:$C$1048576,3,FALSE),""))</f>
        <v/>
      </c>
    </row>
    <row r="4541" spans="10:12" x14ac:dyDescent="0.25">
      <c r="J4541" t="str">
        <f>IF(H4541="","",IFERROR(VLOOKUP(H4541,Listas!$J$2:$K$1048576,2,FALSE),""))</f>
        <v/>
      </c>
      <c r="K4541" s="5" t="str">
        <f>IF(OR(I4541="",G4541=""),"",IF(G4541="Saída",-I4541,I4541))</f>
        <v/>
      </c>
      <c r="L4541" t="str">
        <f>IF(E4541="","",IFERROR(VLOOKUP(E4541,Listas!$A$2:$C$1048576,3,FALSE),""))</f>
        <v/>
      </c>
    </row>
    <row r="4542" spans="10:12" x14ac:dyDescent="0.25">
      <c r="J4542" t="str">
        <f>IF(H4542="","",IFERROR(VLOOKUP(H4542,Listas!$J$2:$K$1048576,2,FALSE),""))</f>
        <v/>
      </c>
      <c r="K4542" s="5" t="str">
        <f>IF(OR(I4542="",G4542=""),"",IF(G4542="Saída",-I4542,I4542))</f>
        <v/>
      </c>
      <c r="L4542" t="str">
        <f>IF(E4542="","",IFERROR(VLOOKUP(E4542,Listas!$A$2:$C$1048576,3,FALSE),""))</f>
        <v/>
      </c>
    </row>
    <row r="4543" spans="10:12" x14ac:dyDescent="0.25">
      <c r="J4543" t="str">
        <f>IF(H4543="","",IFERROR(VLOOKUP(H4543,Listas!$J$2:$K$1048576,2,FALSE),""))</f>
        <v/>
      </c>
      <c r="K4543" s="5" t="str">
        <f>IF(OR(I4543="",G4543=""),"",IF(G4543="Saída",-I4543,I4543))</f>
        <v/>
      </c>
      <c r="L4543" t="str">
        <f>IF(E4543="","",IFERROR(VLOOKUP(E4543,Listas!$A$2:$C$1048576,3,FALSE),""))</f>
        <v/>
      </c>
    </row>
    <row r="4544" spans="10:12" x14ac:dyDescent="0.25">
      <c r="J4544" t="str">
        <f>IF(H4544="","",IFERROR(VLOOKUP(H4544,Listas!$J$2:$K$1048576,2,FALSE),""))</f>
        <v/>
      </c>
      <c r="K4544" s="5" t="str">
        <f>IF(OR(I4544="",G4544=""),"",IF(G4544="Saída",-I4544,I4544))</f>
        <v/>
      </c>
      <c r="L4544" t="str">
        <f>IF(E4544="","",IFERROR(VLOOKUP(E4544,Listas!$A$2:$C$1048576,3,FALSE),""))</f>
        <v/>
      </c>
    </row>
    <row r="4545" spans="10:12" x14ac:dyDescent="0.25">
      <c r="J4545" t="str">
        <f>IF(H4545="","",IFERROR(VLOOKUP(H4545,Listas!$J$2:$K$1048576,2,FALSE),""))</f>
        <v/>
      </c>
      <c r="K4545" s="5" t="str">
        <f>IF(OR(I4545="",G4545=""),"",IF(G4545="Saída",-I4545,I4545))</f>
        <v/>
      </c>
      <c r="L4545" t="str">
        <f>IF(E4545="","",IFERROR(VLOOKUP(E4545,Listas!$A$2:$C$1048576,3,FALSE),""))</f>
        <v/>
      </c>
    </row>
    <row r="4546" spans="10:12" x14ac:dyDescent="0.25">
      <c r="J4546" t="str">
        <f>IF(H4546="","",IFERROR(VLOOKUP(H4546,Listas!$J$2:$K$1048576,2,FALSE),""))</f>
        <v/>
      </c>
      <c r="K4546" s="5" t="str">
        <f>IF(OR(I4546="",G4546=""),"",IF(G4546="Saída",-I4546,I4546))</f>
        <v/>
      </c>
      <c r="L4546" t="str">
        <f>IF(E4546="","",IFERROR(VLOOKUP(E4546,Listas!$A$2:$C$1048576,3,FALSE),""))</f>
        <v/>
      </c>
    </row>
    <row r="4547" spans="10:12" x14ac:dyDescent="0.25">
      <c r="J4547" t="str">
        <f>IF(H4547="","",IFERROR(VLOOKUP(H4547,Listas!$J$2:$K$1048576,2,FALSE),""))</f>
        <v/>
      </c>
      <c r="K4547" s="5" t="str">
        <f>IF(OR(I4547="",G4547=""),"",IF(G4547="Saída",-I4547,I4547))</f>
        <v/>
      </c>
      <c r="L4547" t="str">
        <f>IF(E4547="","",IFERROR(VLOOKUP(E4547,Listas!$A$2:$C$1048576,3,FALSE),""))</f>
        <v/>
      </c>
    </row>
    <row r="4548" spans="10:12" x14ac:dyDescent="0.25">
      <c r="J4548" t="str">
        <f>IF(H4548="","",IFERROR(VLOOKUP(H4548,Listas!$J$2:$K$1048576,2,FALSE),""))</f>
        <v/>
      </c>
      <c r="K4548" s="5" t="str">
        <f>IF(OR(I4548="",G4548=""),"",IF(G4548="Saída",-I4548,I4548))</f>
        <v/>
      </c>
      <c r="L4548" t="str">
        <f>IF(E4548="","",IFERROR(VLOOKUP(E4548,Listas!$A$2:$C$1048576,3,FALSE),""))</f>
        <v/>
      </c>
    </row>
    <row r="4549" spans="10:12" x14ac:dyDescent="0.25">
      <c r="J4549" t="str">
        <f>IF(H4549="","",IFERROR(VLOOKUP(H4549,Listas!$J$2:$K$1048576,2,FALSE),""))</f>
        <v/>
      </c>
      <c r="K4549" s="5" t="str">
        <f>IF(OR(I4549="",G4549=""),"",IF(G4549="Saída",-I4549,I4549))</f>
        <v/>
      </c>
      <c r="L4549" t="str">
        <f>IF(E4549="","",IFERROR(VLOOKUP(E4549,Listas!$A$2:$C$1048576,3,FALSE),""))</f>
        <v/>
      </c>
    </row>
    <row r="4550" spans="10:12" x14ac:dyDescent="0.25">
      <c r="J4550" t="str">
        <f>IF(H4550="","",IFERROR(VLOOKUP(H4550,Listas!$J$2:$K$1048576,2,FALSE),""))</f>
        <v/>
      </c>
      <c r="K4550" s="5" t="str">
        <f>IF(OR(I4550="",G4550=""),"",IF(G4550="Saída",-I4550,I4550))</f>
        <v/>
      </c>
      <c r="L4550" t="str">
        <f>IF(E4550="","",IFERROR(VLOOKUP(E4550,Listas!$A$2:$C$1048576,3,FALSE),""))</f>
        <v/>
      </c>
    </row>
    <row r="4551" spans="10:12" x14ac:dyDescent="0.25">
      <c r="J4551" t="str">
        <f>IF(H4551="","",IFERROR(VLOOKUP(H4551,Listas!$J$2:$K$1048576,2,FALSE),""))</f>
        <v/>
      </c>
      <c r="K4551" s="5" t="str">
        <f>IF(OR(I4551="",G4551=""),"",IF(G4551="Saída",-I4551,I4551))</f>
        <v/>
      </c>
      <c r="L4551" t="str">
        <f>IF(E4551="","",IFERROR(VLOOKUP(E4551,Listas!$A$2:$C$1048576,3,FALSE),""))</f>
        <v/>
      </c>
    </row>
    <row r="4552" spans="10:12" x14ac:dyDescent="0.25">
      <c r="J4552" t="str">
        <f>IF(H4552="","",IFERROR(VLOOKUP(H4552,Listas!$J$2:$K$1048576,2,FALSE),""))</f>
        <v/>
      </c>
      <c r="K4552" s="5" t="str">
        <f>IF(OR(I4552="",G4552=""),"",IF(G4552="Saída",-I4552,I4552))</f>
        <v/>
      </c>
      <c r="L4552" t="str">
        <f>IF(E4552="","",IFERROR(VLOOKUP(E4552,Listas!$A$2:$C$1048576,3,FALSE),""))</f>
        <v/>
      </c>
    </row>
    <row r="4553" spans="10:12" x14ac:dyDescent="0.25">
      <c r="J4553" t="str">
        <f>IF(H4553="","",IFERROR(VLOOKUP(H4553,Listas!$J$2:$K$1048576,2,FALSE),""))</f>
        <v/>
      </c>
      <c r="K4553" s="5" t="str">
        <f>IF(OR(I4553="",G4553=""),"",IF(G4553="Saída",-I4553,I4553))</f>
        <v/>
      </c>
      <c r="L4553" t="str">
        <f>IF(E4553="","",IFERROR(VLOOKUP(E4553,Listas!$A$2:$C$1048576,3,FALSE),""))</f>
        <v/>
      </c>
    </row>
    <row r="4554" spans="10:12" x14ac:dyDescent="0.25">
      <c r="J4554" t="str">
        <f>IF(H4554="","",IFERROR(VLOOKUP(H4554,Listas!$J$2:$K$1048576,2,FALSE),""))</f>
        <v/>
      </c>
      <c r="K4554" s="5" t="str">
        <f>IF(OR(I4554="",G4554=""),"",IF(G4554="Saída",-I4554,I4554))</f>
        <v/>
      </c>
      <c r="L4554" t="str">
        <f>IF(E4554="","",IFERROR(VLOOKUP(E4554,Listas!$A$2:$C$1048576,3,FALSE),""))</f>
        <v/>
      </c>
    </row>
    <row r="4555" spans="10:12" x14ac:dyDescent="0.25">
      <c r="J4555" t="str">
        <f>IF(H4555="","",IFERROR(VLOOKUP(H4555,Listas!$J$2:$K$1048576,2,FALSE),""))</f>
        <v/>
      </c>
      <c r="K4555" s="5" t="str">
        <f>IF(OR(I4555="",G4555=""),"",IF(G4555="Saída",-I4555,I4555))</f>
        <v/>
      </c>
      <c r="L4555" t="str">
        <f>IF(E4555="","",IFERROR(VLOOKUP(E4555,Listas!$A$2:$C$1048576,3,FALSE),""))</f>
        <v/>
      </c>
    </row>
    <row r="4556" spans="10:12" x14ac:dyDescent="0.25">
      <c r="J4556" t="str">
        <f>IF(H4556="","",IFERROR(VLOOKUP(H4556,Listas!$J$2:$K$1048576,2,FALSE),""))</f>
        <v/>
      </c>
      <c r="K4556" s="5" t="str">
        <f>IF(OR(I4556="",G4556=""),"",IF(G4556="Saída",-I4556,I4556))</f>
        <v/>
      </c>
      <c r="L4556" t="str">
        <f>IF(E4556="","",IFERROR(VLOOKUP(E4556,Listas!$A$2:$C$1048576,3,FALSE),""))</f>
        <v/>
      </c>
    </row>
    <row r="4557" spans="10:12" x14ac:dyDescent="0.25">
      <c r="J4557" t="str">
        <f>IF(H4557="","",IFERROR(VLOOKUP(H4557,Listas!$J$2:$K$1048576,2,FALSE),""))</f>
        <v/>
      </c>
      <c r="K4557" s="5" t="str">
        <f>IF(OR(I4557="",G4557=""),"",IF(G4557="Saída",-I4557,I4557))</f>
        <v/>
      </c>
      <c r="L4557" t="str">
        <f>IF(E4557="","",IFERROR(VLOOKUP(E4557,Listas!$A$2:$C$1048576,3,FALSE),""))</f>
        <v/>
      </c>
    </row>
    <row r="4558" spans="10:12" x14ac:dyDescent="0.25">
      <c r="J4558" t="str">
        <f>IF(H4558="","",IFERROR(VLOOKUP(H4558,Listas!$J$2:$K$1048576,2,FALSE),""))</f>
        <v/>
      </c>
      <c r="K4558" s="5" t="str">
        <f>IF(OR(I4558="",G4558=""),"",IF(G4558="Saída",-I4558,I4558))</f>
        <v/>
      </c>
      <c r="L4558" t="str">
        <f>IF(E4558="","",IFERROR(VLOOKUP(E4558,Listas!$A$2:$C$1048576,3,FALSE),""))</f>
        <v/>
      </c>
    </row>
    <row r="4559" spans="10:12" x14ac:dyDescent="0.25">
      <c r="J4559" t="str">
        <f>IF(H4559="","",IFERROR(VLOOKUP(H4559,Listas!$J$2:$K$1048576,2,FALSE),""))</f>
        <v/>
      </c>
      <c r="K4559" s="5" t="str">
        <f>IF(OR(I4559="",G4559=""),"",IF(G4559="Saída",-I4559,I4559))</f>
        <v/>
      </c>
      <c r="L4559" t="str">
        <f>IF(E4559="","",IFERROR(VLOOKUP(E4559,Listas!$A$2:$C$1048576,3,FALSE),""))</f>
        <v/>
      </c>
    </row>
    <row r="4560" spans="10:12" x14ac:dyDescent="0.25">
      <c r="J4560" t="str">
        <f>IF(H4560="","",IFERROR(VLOOKUP(H4560,Listas!$J$2:$K$1048576,2,FALSE),""))</f>
        <v/>
      </c>
      <c r="K4560" s="5" t="str">
        <f>IF(OR(I4560="",G4560=""),"",IF(G4560="Saída",-I4560,I4560))</f>
        <v/>
      </c>
      <c r="L4560" t="str">
        <f>IF(E4560="","",IFERROR(VLOOKUP(E4560,Listas!$A$2:$C$1048576,3,FALSE),""))</f>
        <v/>
      </c>
    </row>
    <row r="4561" spans="10:12" x14ac:dyDescent="0.25">
      <c r="J4561" t="str">
        <f>IF(H4561="","",IFERROR(VLOOKUP(H4561,Listas!$J$2:$K$1048576,2,FALSE),""))</f>
        <v/>
      </c>
      <c r="K4561" s="5" t="str">
        <f>IF(OR(I4561="",G4561=""),"",IF(G4561="Saída",-I4561,I4561))</f>
        <v/>
      </c>
      <c r="L4561" t="str">
        <f>IF(E4561="","",IFERROR(VLOOKUP(E4561,Listas!$A$2:$C$1048576,3,FALSE),""))</f>
        <v/>
      </c>
    </row>
    <row r="4562" spans="10:12" x14ac:dyDescent="0.25">
      <c r="J4562" t="str">
        <f>IF(H4562="","",IFERROR(VLOOKUP(H4562,Listas!$J$2:$K$1048576,2,FALSE),""))</f>
        <v/>
      </c>
      <c r="K4562" s="5" t="str">
        <f>IF(OR(I4562="",G4562=""),"",IF(G4562="Saída",-I4562,I4562))</f>
        <v/>
      </c>
      <c r="L4562" t="str">
        <f>IF(E4562="","",IFERROR(VLOOKUP(E4562,Listas!$A$2:$C$1048576,3,FALSE),""))</f>
        <v/>
      </c>
    </row>
    <row r="4563" spans="10:12" x14ac:dyDescent="0.25">
      <c r="J4563" t="str">
        <f>IF(H4563="","",IFERROR(VLOOKUP(H4563,Listas!$J$2:$K$1048576,2,FALSE),""))</f>
        <v/>
      </c>
      <c r="K4563" s="5" t="str">
        <f>IF(OR(I4563="",G4563=""),"",IF(G4563="Saída",-I4563,I4563))</f>
        <v/>
      </c>
      <c r="L4563" t="str">
        <f>IF(E4563="","",IFERROR(VLOOKUP(E4563,Listas!$A$2:$C$1048576,3,FALSE),""))</f>
        <v/>
      </c>
    </row>
    <row r="4564" spans="10:12" x14ac:dyDescent="0.25">
      <c r="J4564" t="str">
        <f>IF(H4564="","",IFERROR(VLOOKUP(H4564,Listas!$J$2:$K$1048576,2,FALSE),""))</f>
        <v/>
      </c>
      <c r="K4564" s="5" t="str">
        <f>IF(OR(I4564="",G4564=""),"",IF(G4564="Saída",-I4564,I4564))</f>
        <v/>
      </c>
      <c r="L4564" t="str">
        <f>IF(E4564="","",IFERROR(VLOOKUP(E4564,Listas!$A$2:$C$1048576,3,FALSE),""))</f>
        <v/>
      </c>
    </row>
    <row r="4565" spans="10:12" x14ac:dyDescent="0.25">
      <c r="J4565" t="str">
        <f>IF(H4565="","",IFERROR(VLOOKUP(H4565,Listas!$J$2:$K$1048576,2,FALSE),""))</f>
        <v/>
      </c>
      <c r="K4565" s="5" t="str">
        <f>IF(OR(I4565="",G4565=""),"",IF(G4565="Saída",-I4565,I4565))</f>
        <v/>
      </c>
      <c r="L4565" t="str">
        <f>IF(E4565="","",IFERROR(VLOOKUP(E4565,Listas!$A$2:$C$1048576,3,FALSE),""))</f>
        <v/>
      </c>
    </row>
    <row r="4566" spans="10:12" x14ac:dyDescent="0.25">
      <c r="J4566" t="str">
        <f>IF(H4566="","",IFERROR(VLOOKUP(H4566,Listas!$J$2:$K$1048576,2,FALSE),""))</f>
        <v/>
      </c>
      <c r="K4566" s="5" t="str">
        <f>IF(OR(I4566="",G4566=""),"",IF(G4566="Saída",-I4566,I4566))</f>
        <v/>
      </c>
      <c r="L4566" t="str">
        <f>IF(E4566="","",IFERROR(VLOOKUP(E4566,Listas!$A$2:$C$1048576,3,FALSE),""))</f>
        <v/>
      </c>
    </row>
    <row r="4567" spans="10:12" x14ac:dyDescent="0.25">
      <c r="J4567" t="str">
        <f>IF(H4567="","",IFERROR(VLOOKUP(H4567,Listas!$J$2:$K$1048576,2,FALSE),""))</f>
        <v/>
      </c>
      <c r="K4567" s="5" t="str">
        <f>IF(OR(I4567="",G4567=""),"",IF(G4567="Saída",-I4567,I4567))</f>
        <v/>
      </c>
      <c r="L4567" t="str">
        <f>IF(E4567="","",IFERROR(VLOOKUP(E4567,Listas!$A$2:$C$1048576,3,FALSE),""))</f>
        <v/>
      </c>
    </row>
    <row r="4568" spans="10:12" x14ac:dyDescent="0.25">
      <c r="J4568" t="str">
        <f>IF(H4568="","",IFERROR(VLOOKUP(H4568,Listas!$J$2:$K$1048576,2,FALSE),""))</f>
        <v/>
      </c>
      <c r="K4568" s="5" t="str">
        <f>IF(OR(I4568="",G4568=""),"",IF(G4568="Saída",-I4568,I4568))</f>
        <v/>
      </c>
      <c r="L4568" t="str">
        <f>IF(E4568="","",IFERROR(VLOOKUP(E4568,Listas!$A$2:$C$1048576,3,FALSE),""))</f>
        <v/>
      </c>
    </row>
    <row r="4569" spans="10:12" x14ac:dyDescent="0.25">
      <c r="J4569" t="str">
        <f>IF(H4569="","",IFERROR(VLOOKUP(H4569,Listas!$J$2:$K$1048576,2,FALSE),""))</f>
        <v/>
      </c>
      <c r="K4569" s="5" t="str">
        <f>IF(OR(I4569="",G4569=""),"",IF(G4569="Saída",-I4569,I4569))</f>
        <v/>
      </c>
      <c r="L4569" t="str">
        <f>IF(E4569="","",IFERROR(VLOOKUP(E4569,Listas!$A$2:$C$1048576,3,FALSE),""))</f>
        <v/>
      </c>
    </row>
    <row r="4570" spans="10:12" x14ac:dyDescent="0.25">
      <c r="J4570" t="str">
        <f>IF(H4570="","",IFERROR(VLOOKUP(H4570,Listas!$J$2:$K$1048576,2,FALSE),""))</f>
        <v/>
      </c>
      <c r="K4570" s="5" t="str">
        <f>IF(OR(I4570="",G4570=""),"",IF(G4570="Saída",-I4570,I4570))</f>
        <v/>
      </c>
      <c r="L4570" t="str">
        <f>IF(E4570="","",IFERROR(VLOOKUP(E4570,Listas!$A$2:$C$1048576,3,FALSE),""))</f>
        <v/>
      </c>
    </row>
    <row r="4571" spans="10:12" x14ac:dyDescent="0.25">
      <c r="J4571" t="str">
        <f>IF(H4571="","",IFERROR(VLOOKUP(H4571,Listas!$J$2:$K$1048576,2,FALSE),""))</f>
        <v/>
      </c>
      <c r="K4571" s="5" t="str">
        <f>IF(OR(I4571="",G4571=""),"",IF(G4571="Saída",-I4571,I4571))</f>
        <v/>
      </c>
      <c r="L4571" t="str">
        <f>IF(E4571="","",IFERROR(VLOOKUP(E4571,Listas!$A$2:$C$1048576,3,FALSE),""))</f>
        <v/>
      </c>
    </row>
    <row r="4572" spans="10:12" x14ac:dyDescent="0.25">
      <c r="J4572" t="str">
        <f>IF(H4572="","",IFERROR(VLOOKUP(H4572,Listas!$J$2:$K$1048576,2,FALSE),""))</f>
        <v/>
      </c>
      <c r="K4572" s="5" t="str">
        <f>IF(OR(I4572="",G4572=""),"",IF(G4572="Saída",-I4572,I4572))</f>
        <v/>
      </c>
      <c r="L4572" t="str">
        <f>IF(E4572="","",IFERROR(VLOOKUP(E4572,Listas!$A$2:$C$1048576,3,FALSE),""))</f>
        <v/>
      </c>
    </row>
    <row r="4573" spans="10:12" x14ac:dyDescent="0.25">
      <c r="J4573" t="str">
        <f>IF(H4573="","",IFERROR(VLOOKUP(H4573,Listas!$J$2:$K$1048576,2,FALSE),""))</f>
        <v/>
      </c>
      <c r="K4573" s="5" t="str">
        <f>IF(OR(I4573="",G4573=""),"",IF(G4573="Saída",-I4573,I4573))</f>
        <v/>
      </c>
      <c r="L4573" t="str">
        <f>IF(E4573="","",IFERROR(VLOOKUP(E4573,Listas!$A$2:$C$1048576,3,FALSE),""))</f>
        <v/>
      </c>
    </row>
    <row r="4574" spans="10:12" x14ac:dyDescent="0.25">
      <c r="J4574" t="str">
        <f>IF(H4574="","",IFERROR(VLOOKUP(H4574,Listas!$J$2:$K$1048576,2,FALSE),""))</f>
        <v/>
      </c>
      <c r="K4574" s="5" t="str">
        <f>IF(OR(I4574="",G4574=""),"",IF(G4574="Saída",-I4574,I4574))</f>
        <v/>
      </c>
      <c r="L4574" t="str">
        <f>IF(E4574="","",IFERROR(VLOOKUP(E4574,Listas!$A$2:$C$1048576,3,FALSE),""))</f>
        <v/>
      </c>
    </row>
    <row r="4575" spans="10:12" x14ac:dyDescent="0.25">
      <c r="J4575" t="str">
        <f>IF(H4575="","",IFERROR(VLOOKUP(H4575,Listas!$J$2:$K$1048576,2,FALSE),""))</f>
        <v/>
      </c>
      <c r="K4575" s="5" t="str">
        <f>IF(OR(I4575="",G4575=""),"",IF(G4575="Saída",-I4575,I4575))</f>
        <v/>
      </c>
      <c r="L4575" t="str">
        <f>IF(E4575="","",IFERROR(VLOOKUP(E4575,Listas!$A$2:$C$1048576,3,FALSE),""))</f>
        <v/>
      </c>
    </row>
    <row r="4576" spans="10:12" x14ac:dyDescent="0.25">
      <c r="J4576" t="str">
        <f>IF(H4576="","",IFERROR(VLOOKUP(H4576,Listas!$J$2:$K$1048576,2,FALSE),""))</f>
        <v/>
      </c>
      <c r="K4576" s="5" t="str">
        <f>IF(OR(I4576="",G4576=""),"",IF(G4576="Saída",-I4576,I4576))</f>
        <v/>
      </c>
      <c r="L4576" t="str">
        <f>IF(E4576="","",IFERROR(VLOOKUP(E4576,Listas!$A$2:$C$1048576,3,FALSE),""))</f>
        <v/>
      </c>
    </row>
    <row r="4577" spans="10:12" x14ac:dyDescent="0.25">
      <c r="J4577" t="str">
        <f>IF(H4577="","",IFERROR(VLOOKUP(H4577,Listas!$J$2:$K$1048576,2,FALSE),""))</f>
        <v/>
      </c>
      <c r="K4577" s="5" t="str">
        <f>IF(OR(I4577="",G4577=""),"",IF(G4577="Saída",-I4577,I4577))</f>
        <v/>
      </c>
      <c r="L4577" t="str">
        <f>IF(E4577="","",IFERROR(VLOOKUP(E4577,Listas!$A$2:$C$1048576,3,FALSE),""))</f>
        <v/>
      </c>
    </row>
    <row r="4578" spans="10:12" x14ac:dyDescent="0.25">
      <c r="J4578" t="str">
        <f>IF(H4578="","",IFERROR(VLOOKUP(H4578,Listas!$J$2:$K$1048576,2,FALSE),""))</f>
        <v/>
      </c>
      <c r="K4578" s="5" t="str">
        <f>IF(OR(I4578="",G4578=""),"",IF(G4578="Saída",-I4578,I4578))</f>
        <v/>
      </c>
      <c r="L4578" t="str">
        <f>IF(E4578="","",IFERROR(VLOOKUP(E4578,Listas!$A$2:$C$1048576,3,FALSE),""))</f>
        <v/>
      </c>
    </row>
    <row r="4579" spans="10:12" x14ac:dyDescent="0.25">
      <c r="J4579" t="str">
        <f>IF(H4579="","",IFERROR(VLOOKUP(H4579,Listas!$J$2:$K$1048576,2,FALSE),""))</f>
        <v/>
      </c>
      <c r="K4579" s="5" t="str">
        <f>IF(OR(I4579="",G4579=""),"",IF(G4579="Saída",-I4579,I4579))</f>
        <v/>
      </c>
      <c r="L4579" t="str">
        <f>IF(E4579="","",IFERROR(VLOOKUP(E4579,Listas!$A$2:$C$1048576,3,FALSE),""))</f>
        <v/>
      </c>
    </row>
    <row r="4580" spans="10:12" x14ac:dyDescent="0.25">
      <c r="J4580" t="str">
        <f>IF(H4580="","",IFERROR(VLOOKUP(H4580,Listas!$J$2:$K$1048576,2,FALSE),""))</f>
        <v/>
      </c>
      <c r="K4580" s="5" t="str">
        <f>IF(OR(I4580="",G4580=""),"",IF(G4580="Saída",-I4580,I4580))</f>
        <v/>
      </c>
      <c r="L4580" t="str">
        <f>IF(E4580="","",IFERROR(VLOOKUP(E4580,Listas!$A$2:$C$1048576,3,FALSE),""))</f>
        <v/>
      </c>
    </row>
    <row r="4581" spans="10:12" x14ac:dyDescent="0.25">
      <c r="J4581" t="str">
        <f>IF(H4581="","",IFERROR(VLOOKUP(H4581,Listas!$J$2:$K$1048576,2,FALSE),""))</f>
        <v/>
      </c>
      <c r="K4581" s="5" t="str">
        <f>IF(OR(I4581="",G4581=""),"",IF(G4581="Saída",-I4581,I4581))</f>
        <v/>
      </c>
      <c r="L4581" t="str">
        <f>IF(E4581="","",IFERROR(VLOOKUP(E4581,Listas!$A$2:$C$1048576,3,FALSE),""))</f>
        <v/>
      </c>
    </row>
    <row r="4582" spans="10:12" x14ac:dyDescent="0.25">
      <c r="J4582" t="str">
        <f>IF(H4582="","",IFERROR(VLOOKUP(H4582,Listas!$J$2:$K$1048576,2,FALSE),""))</f>
        <v/>
      </c>
      <c r="K4582" s="5" t="str">
        <f>IF(OR(I4582="",G4582=""),"",IF(G4582="Saída",-I4582,I4582))</f>
        <v/>
      </c>
      <c r="L4582" t="str">
        <f>IF(E4582="","",IFERROR(VLOOKUP(E4582,Listas!$A$2:$C$1048576,3,FALSE),""))</f>
        <v/>
      </c>
    </row>
    <row r="4583" spans="10:12" x14ac:dyDescent="0.25">
      <c r="J4583" t="str">
        <f>IF(H4583="","",IFERROR(VLOOKUP(H4583,Listas!$J$2:$K$1048576,2,FALSE),""))</f>
        <v/>
      </c>
      <c r="K4583" s="5" t="str">
        <f>IF(OR(I4583="",G4583=""),"",IF(G4583="Saída",-I4583,I4583))</f>
        <v/>
      </c>
      <c r="L4583" t="str">
        <f>IF(E4583="","",IFERROR(VLOOKUP(E4583,Listas!$A$2:$C$1048576,3,FALSE),""))</f>
        <v/>
      </c>
    </row>
    <row r="4584" spans="10:12" x14ac:dyDescent="0.25">
      <c r="J4584" t="str">
        <f>IF(H4584="","",IFERROR(VLOOKUP(H4584,Listas!$J$2:$K$1048576,2,FALSE),""))</f>
        <v/>
      </c>
      <c r="K4584" s="5" t="str">
        <f>IF(OR(I4584="",G4584=""),"",IF(G4584="Saída",-I4584,I4584))</f>
        <v/>
      </c>
      <c r="L4584" t="str">
        <f>IF(E4584="","",IFERROR(VLOOKUP(E4584,Listas!$A$2:$C$1048576,3,FALSE),""))</f>
        <v/>
      </c>
    </row>
    <row r="4585" spans="10:12" x14ac:dyDescent="0.25">
      <c r="J4585" t="str">
        <f>IF(H4585="","",IFERROR(VLOOKUP(H4585,Listas!$J$2:$K$1048576,2,FALSE),""))</f>
        <v/>
      </c>
      <c r="K4585" s="5" t="str">
        <f>IF(OR(I4585="",G4585=""),"",IF(G4585="Saída",-I4585,I4585))</f>
        <v/>
      </c>
      <c r="L4585" t="str">
        <f>IF(E4585="","",IFERROR(VLOOKUP(E4585,Listas!$A$2:$C$1048576,3,FALSE),""))</f>
        <v/>
      </c>
    </row>
    <row r="4586" spans="10:12" x14ac:dyDescent="0.25">
      <c r="J4586" t="str">
        <f>IF(H4586="","",IFERROR(VLOOKUP(H4586,Listas!$J$2:$K$1048576,2,FALSE),""))</f>
        <v/>
      </c>
      <c r="K4586" s="5" t="str">
        <f>IF(OR(I4586="",G4586=""),"",IF(G4586="Saída",-I4586,I4586))</f>
        <v/>
      </c>
      <c r="L4586" t="str">
        <f>IF(E4586="","",IFERROR(VLOOKUP(E4586,Listas!$A$2:$C$1048576,3,FALSE),""))</f>
        <v/>
      </c>
    </row>
    <row r="4587" spans="10:12" x14ac:dyDescent="0.25">
      <c r="J4587" t="str">
        <f>IF(H4587="","",IFERROR(VLOOKUP(H4587,Listas!$J$2:$K$1048576,2,FALSE),""))</f>
        <v/>
      </c>
      <c r="K4587" s="5" t="str">
        <f>IF(OR(I4587="",G4587=""),"",IF(G4587="Saída",-I4587,I4587))</f>
        <v/>
      </c>
      <c r="L4587" t="str">
        <f>IF(E4587="","",IFERROR(VLOOKUP(E4587,Listas!$A$2:$C$1048576,3,FALSE),""))</f>
        <v/>
      </c>
    </row>
    <row r="4588" spans="10:12" x14ac:dyDescent="0.25">
      <c r="J4588" t="str">
        <f>IF(H4588="","",IFERROR(VLOOKUP(H4588,Listas!$J$2:$K$1048576,2,FALSE),""))</f>
        <v/>
      </c>
      <c r="K4588" s="5" t="str">
        <f>IF(OR(I4588="",G4588=""),"",IF(G4588="Saída",-I4588,I4588))</f>
        <v/>
      </c>
      <c r="L4588" t="str">
        <f>IF(E4588="","",IFERROR(VLOOKUP(E4588,Listas!$A$2:$C$1048576,3,FALSE),""))</f>
        <v/>
      </c>
    </row>
    <row r="4589" spans="10:12" x14ac:dyDescent="0.25">
      <c r="J4589" t="str">
        <f>IF(H4589="","",IFERROR(VLOOKUP(H4589,Listas!$J$2:$K$1048576,2,FALSE),""))</f>
        <v/>
      </c>
      <c r="K4589" s="5" t="str">
        <f>IF(OR(I4589="",G4589=""),"",IF(G4589="Saída",-I4589,I4589))</f>
        <v/>
      </c>
      <c r="L4589" t="str">
        <f>IF(E4589="","",IFERROR(VLOOKUP(E4589,Listas!$A$2:$C$1048576,3,FALSE),""))</f>
        <v/>
      </c>
    </row>
    <row r="4590" spans="10:12" x14ac:dyDescent="0.25">
      <c r="J4590" t="str">
        <f>IF(H4590="","",IFERROR(VLOOKUP(H4590,Listas!$J$2:$K$1048576,2,FALSE),""))</f>
        <v/>
      </c>
      <c r="K4590" s="5" t="str">
        <f>IF(OR(I4590="",G4590=""),"",IF(G4590="Saída",-I4590,I4590))</f>
        <v/>
      </c>
      <c r="L4590" t="str">
        <f>IF(E4590="","",IFERROR(VLOOKUP(E4590,Listas!$A$2:$C$1048576,3,FALSE),""))</f>
        <v/>
      </c>
    </row>
    <row r="4591" spans="10:12" x14ac:dyDescent="0.25">
      <c r="J4591" t="str">
        <f>IF(H4591="","",IFERROR(VLOOKUP(H4591,Listas!$J$2:$K$1048576,2,FALSE),""))</f>
        <v/>
      </c>
      <c r="K4591" s="5" t="str">
        <f>IF(OR(I4591="",G4591=""),"",IF(G4591="Saída",-I4591,I4591))</f>
        <v/>
      </c>
      <c r="L4591" t="str">
        <f>IF(E4591="","",IFERROR(VLOOKUP(E4591,Listas!$A$2:$C$1048576,3,FALSE),""))</f>
        <v/>
      </c>
    </row>
    <row r="4592" spans="10:12" x14ac:dyDescent="0.25">
      <c r="J4592" t="str">
        <f>IF(H4592="","",IFERROR(VLOOKUP(H4592,Listas!$J$2:$K$1048576,2,FALSE),""))</f>
        <v/>
      </c>
      <c r="K4592" s="5" t="str">
        <f>IF(OR(I4592="",G4592=""),"",IF(G4592="Saída",-I4592,I4592))</f>
        <v/>
      </c>
      <c r="L4592" t="str">
        <f>IF(E4592="","",IFERROR(VLOOKUP(E4592,Listas!$A$2:$C$1048576,3,FALSE),""))</f>
        <v/>
      </c>
    </row>
    <row r="4593" spans="10:12" x14ac:dyDescent="0.25">
      <c r="J4593" t="str">
        <f>IF(H4593="","",IFERROR(VLOOKUP(H4593,Listas!$J$2:$K$1048576,2,FALSE),""))</f>
        <v/>
      </c>
      <c r="K4593" s="5" t="str">
        <f>IF(OR(I4593="",G4593=""),"",IF(G4593="Saída",-I4593,I4593))</f>
        <v/>
      </c>
      <c r="L4593" t="str">
        <f>IF(E4593="","",IFERROR(VLOOKUP(E4593,Listas!$A$2:$C$1048576,3,FALSE),""))</f>
        <v/>
      </c>
    </row>
    <row r="4594" spans="10:12" x14ac:dyDescent="0.25">
      <c r="J4594" t="str">
        <f>IF(H4594="","",IFERROR(VLOOKUP(H4594,Listas!$J$2:$K$1048576,2,FALSE),""))</f>
        <v/>
      </c>
      <c r="K4594" s="5" t="str">
        <f>IF(OR(I4594="",G4594=""),"",IF(G4594="Saída",-I4594,I4594))</f>
        <v/>
      </c>
      <c r="L4594" t="str">
        <f>IF(E4594="","",IFERROR(VLOOKUP(E4594,Listas!$A$2:$C$1048576,3,FALSE),""))</f>
        <v/>
      </c>
    </row>
    <row r="4595" spans="10:12" x14ac:dyDescent="0.25">
      <c r="J4595" t="str">
        <f>IF(H4595="","",IFERROR(VLOOKUP(H4595,Listas!$J$2:$K$1048576,2,FALSE),""))</f>
        <v/>
      </c>
      <c r="K4595" s="5" t="str">
        <f>IF(OR(I4595="",G4595=""),"",IF(G4595="Saída",-I4595,I4595))</f>
        <v/>
      </c>
      <c r="L4595" t="str">
        <f>IF(E4595="","",IFERROR(VLOOKUP(E4595,Listas!$A$2:$C$1048576,3,FALSE),""))</f>
        <v/>
      </c>
    </row>
    <row r="4596" spans="10:12" x14ac:dyDescent="0.25">
      <c r="J4596" t="str">
        <f>IF(H4596="","",IFERROR(VLOOKUP(H4596,Listas!$J$2:$K$1048576,2,FALSE),""))</f>
        <v/>
      </c>
      <c r="K4596" s="5" t="str">
        <f>IF(OR(I4596="",G4596=""),"",IF(G4596="Saída",-I4596,I4596))</f>
        <v/>
      </c>
      <c r="L4596" t="str">
        <f>IF(E4596="","",IFERROR(VLOOKUP(E4596,Listas!$A$2:$C$1048576,3,FALSE),""))</f>
        <v/>
      </c>
    </row>
    <row r="4597" spans="10:12" x14ac:dyDescent="0.25">
      <c r="J4597" t="str">
        <f>IF(H4597="","",IFERROR(VLOOKUP(H4597,Listas!$J$2:$K$1048576,2,FALSE),""))</f>
        <v/>
      </c>
      <c r="K4597" s="5" t="str">
        <f>IF(OR(I4597="",G4597=""),"",IF(G4597="Saída",-I4597,I4597))</f>
        <v/>
      </c>
      <c r="L4597" t="str">
        <f>IF(E4597="","",IFERROR(VLOOKUP(E4597,Listas!$A$2:$C$1048576,3,FALSE),""))</f>
        <v/>
      </c>
    </row>
    <row r="4598" spans="10:12" x14ac:dyDescent="0.25">
      <c r="J4598" t="str">
        <f>IF(H4598="","",IFERROR(VLOOKUP(H4598,Listas!$J$2:$K$1048576,2,FALSE),""))</f>
        <v/>
      </c>
      <c r="K4598" s="5" t="str">
        <f>IF(OR(I4598="",G4598=""),"",IF(G4598="Saída",-I4598,I4598))</f>
        <v/>
      </c>
      <c r="L4598" t="str">
        <f>IF(E4598="","",IFERROR(VLOOKUP(E4598,Listas!$A$2:$C$1048576,3,FALSE),""))</f>
        <v/>
      </c>
    </row>
    <row r="4599" spans="10:12" x14ac:dyDescent="0.25">
      <c r="J4599" t="str">
        <f>IF(H4599="","",IFERROR(VLOOKUP(H4599,Listas!$J$2:$K$1048576,2,FALSE),""))</f>
        <v/>
      </c>
      <c r="K4599" s="5" t="str">
        <f>IF(OR(I4599="",G4599=""),"",IF(G4599="Saída",-I4599,I4599))</f>
        <v/>
      </c>
      <c r="L4599" t="str">
        <f>IF(E4599="","",IFERROR(VLOOKUP(E4599,Listas!$A$2:$C$1048576,3,FALSE),""))</f>
        <v/>
      </c>
    </row>
    <row r="4600" spans="10:12" x14ac:dyDescent="0.25">
      <c r="J4600" t="str">
        <f>IF(H4600="","",IFERROR(VLOOKUP(H4600,Listas!$J$2:$K$1048576,2,FALSE),""))</f>
        <v/>
      </c>
      <c r="K4600" s="5" t="str">
        <f>IF(OR(I4600="",G4600=""),"",IF(G4600="Saída",-I4600,I4600))</f>
        <v/>
      </c>
      <c r="L4600" t="str">
        <f>IF(E4600="","",IFERROR(VLOOKUP(E4600,Listas!$A$2:$C$1048576,3,FALSE),""))</f>
        <v/>
      </c>
    </row>
    <row r="4601" spans="10:12" x14ac:dyDescent="0.25">
      <c r="J4601" t="str">
        <f>IF(H4601="","",IFERROR(VLOOKUP(H4601,Listas!$J$2:$K$1048576,2,FALSE),""))</f>
        <v/>
      </c>
      <c r="K4601" s="5" t="str">
        <f>IF(OR(I4601="",G4601=""),"",IF(G4601="Saída",-I4601,I4601))</f>
        <v/>
      </c>
      <c r="L4601" t="str">
        <f>IF(E4601="","",IFERROR(VLOOKUP(E4601,Listas!$A$2:$C$1048576,3,FALSE),""))</f>
        <v/>
      </c>
    </row>
    <row r="4602" spans="10:12" x14ac:dyDescent="0.25">
      <c r="J4602" t="str">
        <f>IF(H4602="","",IFERROR(VLOOKUP(H4602,Listas!$J$2:$K$1048576,2,FALSE),""))</f>
        <v/>
      </c>
      <c r="K4602" s="5" t="str">
        <f>IF(OR(I4602="",G4602=""),"",IF(G4602="Saída",-I4602,I4602))</f>
        <v/>
      </c>
      <c r="L4602" t="str">
        <f>IF(E4602="","",IFERROR(VLOOKUP(E4602,Listas!$A$2:$C$1048576,3,FALSE),""))</f>
        <v/>
      </c>
    </row>
    <row r="4603" spans="10:12" x14ac:dyDescent="0.25">
      <c r="J4603" t="str">
        <f>IF(H4603="","",IFERROR(VLOOKUP(H4603,Listas!$J$2:$K$1048576,2,FALSE),""))</f>
        <v/>
      </c>
      <c r="K4603" s="5" t="str">
        <f>IF(OR(I4603="",G4603=""),"",IF(G4603="Saída",-I4603,I4603))</f>
        <v/>
      </c>
      <c r="L4603" t="str">
        <f>IF(E4603="","",IFERROR(VLOOKUP(E4603,Listas!$A$2:$C$1048576,3,FALSE),""))</f>
        <v/>
      </c>
    </row>
    <row r="4604" spans="10:12" x14ac:dyDescent="0.25">
      <c r="J4604" t="str">
        <f>IF(H4604="","",IFERROR(VLOOKUP(H4604,Listas!$J$2:$K$1048576,2,FALSE),""))</f>
        <v/>
      </c>
      <c r="K4604" s="5" t="str">
        <f>IF(OR(I4604="",G4604=""),"",IF(G4604="Saída",-I4604,I4604))</f>
        <v/>
      </c>
      <c r="L4604" t="str">
        <f>IF(E4604="","",IFERROR(VLOOKUP(E4604,Listas!$A$2:$C$1048576,3,FALSE),""))</f>
        <v/>
      </c>
    </row>
    <row r="4605" spans="10:12" x14ac:dyDescent="0.25">
      <c r="J4605" t="str">
        <f>IF(H4605="","",IFERROR(VLOOKUP(H4605,Listas!$J$2:$K$1048576,2,FALSE),""))</f>
        <v/>
      </c>
      <c r="K4605" s="5" t="str">
        <f>IF(OR(I4605="",G4605=""),"",IF(G4605="Saída",-I4605,I4605))</f>
        <v/>
      </c>
      <c r="L4605" t="str">
        <f>IF(E4605="","",IFERROR(VLOOKUP(E4605,Listas!$A$2:$C$1048576,3,FALSE),""))</f>
        <v/>
      </c>
    </row>
    <row r="4606" spans="10:12" x14ac:dyDescent="0.25">
      <c r="J4606" t="str">
        <f>IF(H4606="","",IFERROR(VLOOKUP(H4606,Listas!$J$2:$K$1048576,2,FALSE),""))</f>
        <v/>
      </c>
      <c r="K4606" s="5" t="str">
        <f>IF(OR(I4606="",G4606=""),"",IF(G4606="Saída",-I4606,I4606))</f>
        <v/>
      </c>
      <c r="L4606" t="str">
        <f>IF(E4606="","",IFERROR(VLOOKUP(E4606,Listas!$A$2:$C$1048576,3,FALSE),""))</f>
        <v/>
      </c>
    </row>
    <row r="4607" spans="10:12" x14ac:dyDescent="0.25">
      <c r="J4607" t="str">
        <f>IF(H4607="","",IFERROR(VLOOKUP(H4607,Listas!$J$2:$K$1048576,2,FALSE),""))</f>
        <v/>
      </c>
      <c r="K4607" s="5" t="str">
        <f>IF(OR(I4607="",G4607=""),"",IF(G4607="Saída",-I4607,I4607))</f>
        <v/>
      </c>
      <c r="L4607" t="str">
        <f>IF(E4607="","",IFERROR(VLOOKUP(E4607,Listas!$A$2:$C$1048576,3,FALSE),""))</f>
        <v/>
      </c>
    </row>
    <row r="4608" spans="10:12" x14ac:dyDescent="0.25">
      <c r="J4608" t="str">
        <f>IF(H4608="","",IFERROR(VLOOKUP(H4608,Listas!$J$2:$K$1048576,2,FALSE),""))</f>
        <v/>
      </c>
      <c r="K4608" s="5" t="str">
        <f>IF(OR(I4608="",G4608=""),"",IF(G4608="Saída",-I4608,I4608))</f>
        <v/>
      </c>
      <c r="L4608" t="str">
        <f>IF(E4608="","",IFERROR(VLOOKUP(E4608,Listas!$A$2:$C$1048576,3,FALSE),""))</f>
        <v/>
      </c>
    </row>
    <row r="4609" spans="10:12" x14ac:dyDescent="0.25">
      <c r="J4609" t="str">
        <f>IF(H4609="","",IFERROR(VLOOKUP(H4609,Listas!$J$2:$K$1048576,2,FALSE),""))</f>
        <v/>
      </c>
      <c r="K4609" s="5" t="str">
        <f>IF(OR(I4609="",G4609=""),"",IF(G4609="Saída",-I4609,I4609))</f>
        <v/>
      </c>
      <c r="L4609" t="str">
        <f>IF(E4609="","",IFERROR(VLOOKUP(E4609,Listas!$A$2:$C$1048576,3,FALSE),""))</f>
        <v/>
      </c>
    </row>
    <row r="4610" spans="10:12" x14ac:dyDescent="0.25">
      <c r="J4610" t="str">
        <f>IF(H4610="","",IFERROR(VLOOKUP(H4610,Listas!$J$2:$K$1048576,2,FALSE),""))</f>
        <v/>
      </c>
      <c r="K4610" s="5" t="str">
        <f>IF(OR(I4610="",G4610=""),"",IF(G4610="Saída",-I4610,I4610))</f>
        <v/>
      </c>
      <c r="L4610" t="str">
        <f>IF(E4610="","",IFERROR(VLOOKUP(E4610,Listas!$A$2:$C$1048576,3,FALSE),""))</f>
        <v/>
      </c>
    </row>
    <row r="4611" spans="10:12" x14ac:dyDescent="0.25">
      <c r="J4611" t="str">
        <f>IF(H4611="","",IFERROR(VLOOKUP(H4611,Listas!$J$2:$K$1048576,2,FALSE),""))</f>
        <v/>
      </c>
      <c r="K4611" s="5" t="str">
        <f>IF(OR(I4611="",G4611=""),"",IF(G4611="Saída",-I4611,I4611))</f>
        <v/>
      </c>
      <c r="L4611" t="str">
        <f>IF(E4611="","",IFERROR(VLOOKUP(E4611,Listas!$A$2:$C$1048576,3,FALSE),""))</f>
        <v/>
      </c>
    </row>
    <row r="4612" spans="10:12" x14ac:dyDescent="0.25">
      <c r="J4612" t="str">
        <f>IF(H4612="","",IFERROR(VLOOKUP(H4612,Listas!$J$2:$K$1048576,2,FALSE),""))</f>
        <v/>
      </c>
      <c r="K4612" s="5" t="str">
        <f>IF(OR(I4612="",G4612=""),"",IF(G4612="Saída",-I4612,I4612))</f>
        <v/>
      </c>
      <c r="L4612" t="str">
        <f>IF(E4612="","",IFERROR(VLOOKUP(E4612,Listas!$A$2:$C$1048576,3,FALSE),""))</f>
        <v/>
      </c>
    </row>
    <row r="4613" spans="10:12" x14ac:dyDescent="0.25">
      <c r="J4613" t="str">
        <f>IF(H4613="","",IFERROR(VLOOKUP(H4613,Listas!$J$2:$K$1048576,2,FALSE),""))</f>
        <v/>
      </c>
      <c r="K4613" s="5" t="str">
        <f>IF(OR(I4613="",G4613=""),"",IF(G4613="Saída",-I4613,I4613))</f>
        <v/>
      </c>
      <c r="L4613" t="str">
        <f>IF(E4613="","",IFERROR(VLOOKUP(E4613,Listas!$A$2:$C$1048576,3,FALSE),""))</f>
        <v/>
      </c>
    </row>
    <row r="4614" spans="10:12" x14ac:dyDescent="0.25">
      <c r="J4614" t="str">
        <f>IF(H4614="","",IFERROR(VLOOKUP(H4614,Listas!$J$2:$K$1048576,2,FALSE),""))</f>
        <v/>
      </c>
      <c r="K4614" s="5" t="str">
        <f>IF(OR(I4614="",G4614=""),"",IF(G4614="Saída",-I4614,I4614))</f>
        <v/>
      </c>
      <c r="L4614" t="str">
        <f>IF(E4614="","",IFERROR(VLOOKUP(E4614,Listas!$A$2:$C$1048576,3,FALSE),""))</f>
        <v/>
      </c>
    </row>
    <row r="4615" spans="10:12" x14ac:dyDescent="0.25">
      <c r="J4615" t="str">
        <f>IF(H4615="","",IFERROR(VLOOKUP(H4615,Listas!$J$2:$K$1048576,2,FALSE),""))</f>
        <v/>
      </c>
      <c r="K4615" s="5" t="str">
        <f>IF(OR(I4615="",G4615=""),"",IF(G4615="Saída",-I4615,I4615))</f>
        <v/>
      </c>
      <c r="L4615" t="str">
        <f>IF(E4615="","",IFERROR(VLOOKUP(E4615,Listas!$A$2:$C$1048576,3,FALSE),""))</f>
        <v/>
      </c>
    </row>
    <row r="4616" spans="10:12" x14ac:dyDescent="0.25">
      <c r="J4616" t="str">
        <f>IF(H4616="","",IFERROR(VLOOKUP(H4616,Listas!$J$2:$K$1048576,2,FALSE),""))</f>
        <v/>
      </c>
      <c r="K4616" s="5" t="str">
        <f>IF(OR(I4616="",G4616=""),"",IF(G4616="Saída",-I4616,I4616))</f>
        <v/>
      </c>
      <c r="L4616" t="str">
        <f>IF(E4616="","",IFERROR(VLOOKUP(E4616,Listas!$A$2:$C$1048576,3,FALSE),""))</f>
        <v/>
      </c>
    </row>
    <row r="4617" spans="10:12" x14ac:dyDescent="0.25">
      <c r="J4617" t="str">
        <f>IF(H4617="","",IFERROR(VLOOKUP(H4617,Listas!$J$2:$K$1048576,2,FALSE),""))</f>
        <v/>
      </c>
      <c r="K4617" s="5" t="str">
        <f>IF(OR(I4617="",G4617=""),"",IF(G4617="Saída",-I4617,I4617))</f>
        <v/>
      </c>
      <c r="L4617" t="str">
        <f>IF(E4617="","",IFERROR(VLOOKUP(E4617,Listas!$A$2:$C$1048576,3,FALSE),""))</f>
        <v/>
      </c>
    </row>
    <row r="4618" spans="10:12" x14ac:dyDescent="0.25">
      <c r="J4618" t="str">
        <f>IF(H4618="","",IFERROR(VLOOKUP(H4618,Listas!$J$2:$K$1048576,2,FALSE),""))</f>
        <v/>
      </c>
      <c r="K4618" s="5" t="str">
        <f>IF(OR(I4618="",G4618=""),"",IF(G4618="Saída",-I4618,I4618))</f>
        <v/>
      </c>
      <c r="L4618" t="str">
        <f>IF(E4618="","",IFERROR(VLOOKUP(E4618,Listas!$A$2:$C$1048576,3,FALSE),""))</f>
        <v/>
      </c>
    </row>
    <row r="4619" spans="10:12" x14ac:dyDescent="0.25">
      <c r="J4619" t="str">
        <f>IF(H4619="","",IFERROR(VLOOKUP(H4619,Listas!$J$2:$K$1048576,2,FALSE),""))</f>
        <v/>
      </c>
      <c r="K4619" s="5" t="str">
        <f>IF(OR(I4619="",G4619=""),"",IF(G4619="Saída",-I4619,I4619))</f>
        <v/>
      </c>
      <c r="L4619" t="str">
        <f>IF(E4619="","",IFERROR(VLOOKUP(E4619,Listas!$A$2:$C$1048576,3,FALSE),""))</f>
        <v/>
      </c>
    </row>
    <row r="4620" spans="10:12" x14ac:dyDescent="0.25">
      <c r="J4620" t="str">
        <f>IF(H4620="","",IFERROR(VLOOKUP(H4620,Listas!$J$2:$K$1048576,2,FALSE),""))</f>
        <v/>
      </c>
      <c r="K4620" s="5" t="str">
        <f>IF(OR(I4620="",G4620=""),"",IF(G4620="Saída",-I4620,I4620))</f>
        <v/>
      </c>
      <c r="L4620" t="str">
        <f>IF(E4620="","",IFERROR(VLOOKUP(E4620,Listas!$A$2:$C$1048576,3,FALSE),""))</f>
        <v/>
      </c>
    </row>
    <row r="4621" spans="10:12" x14ac:dyDescent="0.25">
      <c r="J4621" t="str">
        <f>IF(H4621="","",IFERROR(VLOOKUP(H4621,Listas!$J$2:$K$1048576,2,FALSE),""))</f>
        <v/>
      </c>
      <c r="K4621" s="5" t="str">
        <f>IF(OR(I4621="",G4621=""),"",IF(G4621="Saída",-I4621,I4621))</f>
        <v/>
      </c>
      <c r="L4621" t="str">
        <f>IF(E4621="","",IFERROR(VLOOKUP(E4621,Listas!$A$2:$C$1048576,3,FALSE),""))</f>
        <v/>
      </c>
    </row>
    <row r="4622" spans="10:12" x14ac:dyDescent="0.25">
      <c r="J4622" t="str">
        <f>IF(H4622="","",IFERROR(VLOOKUP(H4622,Listas!$J$2:$K$1048576,2,FALSE),""))</f>
        <v/>
      </c>
      <c r="K4622" s="5" t="str">
        <f>IF(OR(I4622="",G4622=""),"",IF(G4622="Saída",-I4622,I4622))</f>
        <v/>
      </c>
      <c r="L4622" t="str">
        <f>IF(E4622="","",IFERROR(VLOOKUP(E4622,Listas!$A$2:$C$1048576,3,FALSE),""))</f>
        <v/>
      </c>
    </row>
    <row r="4623" spans="10:12" x14ac:dyDescent="0.25">
      <c r="J4623" t="str">
        <f>IF(H4623="","",IFERROR(VLOOKUP(H4623,Listas!$J$2:$K$1048576,2,FALSE),""))</f>
        <v/>
      </c>
      <c r="K4623" s="5" t="str">
        <f>IF(OR(I4623="",G4623=""),"",IF(G4623="Saída",-I4623,I4623))</f>
        <v/>
      </c>
      <c r="L4623" t="str">
        <f>IF(E4623="","",IFERROR(VLOOKUP(E4623,Listas!$A$2:$C$1048576,3,FALSE),""))</f>
        <v/>
      </c>
    </row>
    <row r="4624" spans="10:12" x14ac:dyDescent="0.25">
      <c r="J4624" t="str">
        <f>IF(H4624="","",IFERROR(VLOOKUP(H4624,Listas!$J$2:$K$1048576,2,FALSE),""))</f>
        <v/>
      </c>
      <c r="K4624" s="5" t="str">
        <f>IF(OR(I4624="",G4624=""),"",IF(G4624="Saída",-I4624,I4624))</f>
        <v/>
      </c>
      <c r="L4624" t="str">
        <f>IF(E4624="","",IFERROR(VLOOKUP(E4624,Listas!$A$2:$C$1048576,3,FALSE),""))</f>
        <v/>
      </c>
    </row>
    <row r="4625" spans="10:12" x14ac:dyDescent="0.25">
      <c r="J4625" t="str">
        <f>IF(H4625="","",IFERROR(VLOOKUP(H4625,Listas!$J$2:$K$1048576,2,FALSE),""))</f>
        <v/>
      </c>
      <c r="K4625" s="5" t="str">
        <f>IF(OR(I4625="",G4625=""),"",IF(G4625="Saída",-I4625,I4625))</f>
        <v/>
      </c>
      <c r="L4625" t="str">
        <f>IF(E4625="","",IFERROR(VLOOKUP(E4625,Listas!$A$2:$C$1048576,3,FALSE),""))</f>
        <v/>
      </c>
    </row>
    <row r="4626" spans="10:12" x14ac:dyDescent="0.25">
      <c r="J4626" t="str">
        <f>IF(H4626="","",IFERROR(VLOOKUP(H4626,Listas!$J$2:$K$1048576,2,FALSE),""))</f>
        <v/>
      </c>
      <c r="K4626" s="5" t="str">
        <f>IF(OR(I4626="",G4626=""),"",IF(G4626="Saída",-I4626,I4626))</f>
        <v/>
      </c>
      <c r="L4626" t="str">
        <f>IF(E4626="","",IFERROR(VLOOKUP(E4626,Listas!$A$2:$C$1048576,3,FALSE),""))</f>
        <v/>
      </c>
    </row>
    <row r="4627" spans="10:12" x14ac:dyDescent="0.25">
      <c r="J4627" t="str">
        <f>IF(H4627="","",IFERROR(VLOOKUP(H4627,Listas!$J$2:$K$1048576,2,FALSE),""))</f>
        <v/>
      </c>
      <c r="K4627" s="5" t="str">
        <f>IF(OR(I4627="",G4627=""),"",IF(G4627="Saída",-I4627,I4627))</f>
        <v/>
      </c>
      <c r="L4627" t="str">
        <f>IF(E4627="","",IFERROR(VLOOKUP(E4627,Listas!$A$2:$C$1048576,3,FALSE),""))</f>
        <v/>
      </c>
    </row>
    <row r="4628" spans="10:12" x14ac:dyDescent="0.25">
      <c r="J4628" t="str">
        <f>IF(H4628="","",IFERROR(VLOOKUP(H4628,Listas!$J$2:$K$1048576,2,FALSE),""))</f>
        <v/>
      </c>
      <c r="K4628" s="5" t="str">
        <f>IF(OR(I4628="",G4628=""),"",IF(G4628="Saída",-I4628,I4628))</f>
        <v/>
      </c>
      <c r="L4628" t="str">
        <f>IF(E4628="","",IFERROR(VLOOKUP(E4628,Listas!$A$2:$C$1048576,3,FALSE),""))</f>
        <v/>
      </c>
    </row>
    <row r="4629" spans="10:12" x14ac:dyDescent="0.25">
      <c r="J4629" t="str">
        <f>IF(H4629="","",IFERROR(VLOOKUP(H4629,Listas!$J$2:$K$1048576,2,FALSE),""))</f>
        <v/>
      </c>
      <c r="K4629" s="5" t="str">
        <f>IF(OR(I4629="",G4629=""),"",IF(G4629="Saída",-I4629,I4629))</f>
        <v/>
      </c>
      <c r="L4629" t="str">
        <f>IF(E4629="","",IFERROR(VLOOKUP(E4629,Listas!$A$2:$C$1048576,3,FALSE),""))</f>
        <v/>
      </c>
    </row>
    <row r="4630" spans="10:12" x14ac:dyDescent="0.25">
      <c r="J4630" t="str">
        <f>IF(H4630="","",IFERROR(VLOOKUP(H4630,Listas!$J$2:$K$1048576,2,FALSE),""))</f>
        <v/>
      </c>
      <c r="K4630" s="5" t="str">
        <f>IF(OR(I4630="",G4630=""),"",IF(G4630="Saída",-I4630,I4630))</f>
        <v/>
      </c>
      <c r="L4630" t="str">
        <f>IF(E4630="","",IFERROR(VLOOKUP(E4630,Listas!$A$2:$C$1048576,3,FALSE),""))</f>
        <v/>
      </c>
    </row>
    <row r="4631" spans="10:12" x14ac:dyDescent="0.25">
      <c r="J4631" t="str">
        <f>IF(H4631="","",IFERROR(VLOOKUP(H4631,Listas!$J$2:$K$1048576,2,FALSE),""))</f>
        <v/>
      </c>
      <c r="K4631" s="5" t="str">
        <f>IF(OR(I4631="",G4631=""),"",IF(G4631="Saída",-I4631,I4631))</f>
        <v/>
      </c>
      <c r="L4631" t="str">
        <f>IF(E4631="","",IFERROR(VLOOKUP(E4631,Listas!$A$2:$C$1048576,3,FALSE),""))</f>
        <v/>
      </c>
    </row>
    <row r="4632" spans="10:12" x14ac:dyDescent="0.25">
      <c r="J4632" t="str">
        <f>IF(H4632="","",IFERROR(VLOOKUP(H4632,Listas!$J$2:$K$1048576,2,FALSE),""))</f>
        <v/>
      </c>
      <c r="K4632" s="5" t="str">
        <f>IF(OR(I4632="",G4632=""),"",IF(G4632="Saída",-I4632,I4632))</f>
        <v/>
      </c>
      <c r="L4632" t="str">
        <f>IF(E4632="","",IFERROR(VLOOKUP(E4632,Listas!$A$2:$C$1048576,3,FALSE),""))</f>
        <v/>
      </c>
    </row>
    <row r="4633" spans="10:12" x14ac:dyDescent="0.25">
      <c r="J4633" t="str">
        <f>IF(H4633="","",IFERROR(VLOOKUP(H4633,Listas!$J$2:$K$1048576,2,FALSE),""))</f>
        <v/>
      </c>
      <c r="K4633" s="5" t="str">
        <f>IF(OR(I4633="",G4633=""),"",IF(G4633="Saída",-I4633,I4633))</f>
        <v/>
      </c>
      <c r="L4633" t="str">
        <f>IF(E4633="","",IFERROR(VLOOKUP(E4633,Listas!$A$2:$C$1048576,3,FALSE),""))</f>
        <v/>
      </c>
    </row>
    <row r="4634" spans="10:12" x14ac:dyDescent="0.25">
      <c r="J4634" t="str">
        <f>IF(H4634="","",IFERROR(VLOOKUP(H4634,Listas!$J$2:$K$1048576,2,FALSE),""))</f>
        <v/>
      </c>
      <c r="K4634" s="5" t="str">
        <f>IF(OR(I4634="",G4634=""),"",IF(G4634="Saída",-I4634,I4634))</f>
        <v/>
      </c>
      <c r="L4634" t="str">
        <f>IF(E4634="","",IFERROR(VLOOKUP(E4634,Listas!$A$2:$C$1048576,3,FALSE),""))</f>
        <v/>
      </c>
    </row>
    <row r="4635" spans="10:12" x14ac:dyDescent="0.25">
      <c r="J4635" t="str">
        <f>IF(H4635="","",IFERROR(VLOOKUP(H4635,Listas!$J$2:$K$1048576,2,FALSE),""))</f>
        <v/>
      </c>
      <c r="K4635" s="5" t="str">
        <f>IF(OR(I4635="",G4635=""),"",IF(G4635="Saída",-I4635,I4635))</f>
        <v/>
      </c>
      <c r="L4635" t="str">
        <f>IF(E4635="","",IFERROR(VLOOKUP(E4635,Listas!$A$2:$C$1048576,3,FALSE),""))</f>
        <v/>
      </c>
    </row>
    <row r="4636" spans="10:12" x14ac:dyDescent="0.25">
      <c r="J4636" t="str">
        <f>IF(H4636="","",IFERROR(VLOOKUP(H4636,Listas!$J$2:$K$1048576,2,FALSE),""))</f>
        <v/>
      </c>
      <c r="K4636" s="5" t="str">
        <f>IF(OR(I4636="",G4636=""),"",IF(G4636="Saída",-I4636,I4636))</f>
        <v/>
      </c>
      <c r="L4636" t="str">
        <f>IF(E4636="","",IFERROR(VLOOKUP(E4636,Listas!$A$2:$C$1048576,3,FALSE),""))</f>
        <v/>
      </c>
    </row>
    <row r="4637" spans="10:12" x14ac:dyDescent="0.25">
      <c r="J4637" t="str">
        <f>IF(H4637="","",IFERROR(VLOOKUP(H4637,Listas!$J$2:$K$1048576,2,FALSE),""))</f>
        <v/>
      </c>
      <c r="K4637" s="5" t="str">
        <f>IF(OR(I4637="",G4637=""),"",IF(G4637="Saída",-I4637,I4637))</f>
        <v/>
      </c>
      <c r="L4637" t="str">
        <f>IF(E4637="","",IFERROR(VLOOKUP(E4637,Listas!$A$2:$C$1048576,3,FALSE),""))</f>
        <v/>
      </c>
    </row>
    <row r="4638" spans="10:12" x14ac:dyDescent="0.25">
      <c r="J4638" t="str">
        <f>IF(H4638="","",IFERROR(VLOOKUP(H4638,Listas!$J$2:$K$1048576,2,FALSE),""))</f>
        <v/>
      </c>
      <c r="K4638" s="5" t="str">
        <f>IF(OR(I4638="",G4638=""),"",IF(G4638="Saída",-I4638,I4638))</f>
        <v/>
      </c>
      <c r="L4638" t="str">
        <f>IF(E4638="","",IFERROR(VLOOKUP(E4638,Listas!$A$2:$C$1048576,3,FALSE),""))</f>
        <v/>
      </c>
    </row>
    <row r="4639" spans="10:12" x14ac:dyDescent="0.25">
      <c r="J4639" t="str">
        <f>IF(H4639="","",IFERROR(VLOOKUP(H4639,Listas!$J$2:$K$1048576,2,FALSE),""))</f>
        <v/>
      </c>
      <c r="K4639" s="5" t="str">
        <f>IF(OR(I4639="",G4639=""),"",IF(G4639="Saída",-I4639,I4639))</f>
        <v/>
      </c>
      <c r="L4639" t="str">
        <f>IF(E4639="","",IFERROR(VLOOKUP(E4639,Listas!$A$2:$C$1048576,3,FALSE),""))</f>
        <v/>
      </c>
    </row>
    <row r="4640" spans="10:12" x14ac:dyDescent="0.25">
      <c r="J4640" t="str">
        <f>IF(H4640="","",IFERROR(VLOOKUP(H4640,Listas!$J$2:$K$1048576,2,FALSE),""))</f>
        <v/>
      </c>
      <c r="K4640" s="5" t="str">
        <f>IF(OR(I4640="",G4640=""),"",IF(G4640="Saída",-I4640,I4640))</f>
        <v/>
      </c>
      <c r="L4640" t="str">
        <f>IF(E4640="","",IFERROR(VLOOKUP(E4640,Listas!$A$2:$C$1048576,3,FALSE),""))</f>
        <v/>
      </c>
    </row>
    <row r="4641" spans="10:12" x14ac:dyDescent="0.25">
      <c r="J4641" t="str">
        <f>IF(H4641="","",IFERROR(VLOOKUP(H4641,Listas!$J$2:$K$1048576,2,FALSE),""))</f>
        <v/>
      </c>
      <c r="K4641" s="5" t="str">
        <f>IF(OR(I4641="",G4641=""),"",IF(G4641="Saída",-I4641,I4641))</f>
        <v/>
      </c>
      <c r="L4641" t="str">
        <f>IF(E4641="","",IFERROR(VLOOKUP(E4641,Listas!$A$2:$C$1048576,3,FALSE),""))</f>
        <v/>
      </c>
    </row>
    <row r="4642" spans="10:12" x14ac:dyDescent="0.25">
      <c r="J4642" t="str">
        <f>IF(H4642="","",IFERROR(VLOOKUP(H4642,Listas!$J$2:$K$1048576,2,FALSE),""))</f>
        <v/>
      </c>
      <c r="K4642" s="5" t="str">
        <f>IF(OR(I4642="",G4642=""),"",IF(G4642="Saída",-I4642,I4642))</f>
        <v/>
      </c>
      <c r="L4642" t="str">
        <f>IF(E4642="","",IFERROR(VLOOKUP(E4642,Listas!$A$2:$C$1048576,3,FALSE),""))</f>
        <v/>
      </c>
    </row>
    <row r="4643" spans="10:12" x14ac:dyDescent="0.25">
      <c r="J4643" t="str">
        <f>IF(H4643="","",IFERROR(VLOOKUP(H4643,Listas!$J$2:$K$1048576,2,FALSE),""))</f>
        <v/>
      </c>
      <c r="K4643" s="5" t="str">
        <f>IF(OR(I4643="",G4643=""),"",IF(G4643="Saída",-I4643,I4643))</f>
        <v/>
      </c>
      <c r="L4643" t="str">
        <f>IF(E4643="","",IFERROR(VLOOKUP(E4643,Listas!$A$2:$C$1048576,3,FALSE),""))</f>
        <v/>
      </c>
    </row>
    <row r="4644" spans="10:12" x14ac:dyDescent="0.25">
      <c r="J4644" t="str">
        <f>IF(H4644="","",IFERROR(VLOOKUP(H4644,Listas!$J$2:$K$1048576,2,FALSE),""))</f>
        <v/>
      </c>
      <c r="K4644" s="5" t="str">
        <f>IF(OR(I4644="",G4644=""),"",IF(G4644="Saída",-I4644,I4644))</f>
        <v/>
      </c>
      <c r="L4644" t="str">
        <f>IF(E4644="","",IFERROR(VLOOKUP(E4644,Listas!$A$2:$C$1048576,3,FALSE),""))</f>
        <v/>
      </c>
    </row>
    <row r="4645" spans="10:12" x14ac:dyDescent="0.25">
      <c r="J4645" t="str">
        <f>IF(H4645="","",IFERROR(VLOOKUP(H4645,Listas!$J$2:$K$1048576,2,FALSE),""))</f>
        <v/>
      </c>
      <c r="K4645" s="5" t="str">
        <f>IF(OR(I4645="",G4645=""),"",IF(G4645="Saída",-I4645,I4645))</f>
        <v/>
      </c>
      <c r="L4645" t="str">
        <f>IF(E4645="","",IFERROR(VLOOKUP(E4645,Listas!$A$2:$C$1048576,3,FALSE),""))</f>
        <v/>
      </c>
    </row>
    <row r="4646" spans="10:12" x14ac:dyDescent="0.25">
      <c r="J4646" t="str">
        <f>IF(H4646="","",IFERROR(VLOOKUP(H4646,Listas!$J$2:$K$1048576,2,FALSE),""))</f>
        <v/>
      </c>
      <c r="K4646" s="5" t="str">
        <f>IF(OR(I4646="",G4646=""),"",IF(G4646="Saída",-I4646,I4646))</f>
        <v/>
      </c>
      <c r="L4646" t="str">
        <f>IF(E4646="","",IFERROR(VLOOKUP(E4646,Listas!$A$2:$C$1048576,3,FALSE),""))</f>
        <v/>
      </c>
    </row>
    <row r="4647" spans="10:12" x14ac:dyDescent="0.25">
      <c r="J4647" t="str">
        <f>IF(H4647="","",IFERROR(VLOOKUP(H4647,Listas!$J$2:$K$1048576,2,FALSE),""))</f>
        <v/>
      </c>
      <c r="K4647" s="5" t="str">
        <f>IF(OR(I4647="",G4647=""),"",IF(G4647="Saída",-I4647,I4647))</f>
        <v/>
      </c>
      <c r="L4647" t="str">
        <f>IF(E4647="","",IFERROR(VLOOKUP(E4647,Listas!$A$2:$C$1048576,3,FALSE),""))</f>
        <v/>
      </c>
    </row>
    <row r="4648" spans="10:12" x14ac:dyDescent="0.25">
      <c r="J4648" t="str">
        <f>IF(H4648="","",IFERROR(VLOOKUP(H4648,Listas!$J$2:$K$1048576,2,FALSE),""))</f>
        <v/>
      </c>
      <c r="K4648" s="5" t="str">
        <f>IF(OR(I4648="",G4648=""),"",IF(G4648="Saída",-I4648,I4648))</f>
        <v/>
      </c>
      <c r="L4648" t="str">
        <f>IF(E4648="","",IFERROR(VLOOKUP(E4648,Listas!$A$2:$C$1048576,3,FALSE),""))</f>
        <v/>
      </c>
    </row>
    <row r="4649" spans="10:12" x14ac:dyDescent="0.25">
      <c r="J4649" t="str">
        <f>IF(H4649="","",IFERROR(VLOOKUP(H4649,Listas!$J$2:$K$1048576,2,FALSE),""))</f>
        <v/>
      </c>
      <c r="K4649" s="5" t="str">
        <f>IF(OR(I4649="",G4649=""),"",IF(G4649="Saída",-I4649,I4649))</f>
        <v/>
      </c>
      <c r="L4649" t="str">
        <f>IF(E4649="","",IFERROR(VLOOKUP(E4649,Listas!$A$2:$C$1048576,3,FALSE),""))</f>
        <v/>
      </c>
    </row>
    <row r="4650" spans="10:12" x14ac:dyDescent="0.25">
      <c r="J4650" t="str">
        <f>IF(H4650="","",IFERROR(VLOOKUP(H4650,Listas!$J$2:$K$1048576,2,FALSE),""))</f>
        <v/>
      </c>
      <c r="K4650" s="5" t="str">
        <f>IF(OR(I4650="",G4650=""),"",IF(G4650="Saída",-I4650,I4650))</f>
        <v/>
      </c>
      <c r="L4650" t="str">
        <f>IF(E4650="","",IFERROR(VLOOKUP(E4650,Listas!$A$2:$C$1048576,3,FALSE),""))</f>
        <v/>
      </c>
    </row>
    <row r="4651" spans="10:12" x14ac:dyDescent="0.25">
      <c r="J4651" t="str">
        <f>IF(H4651="","",IFERROR(VLOOKUP(H4651,Listas!$J$2:$K$1048576,2,FALSE),""))</f>
        <v/>
      </c>
      <c r="K4651" s="5" t="str">
        <f>IF(OR(I4651="",G4651=""),"",IF(G4651="Saída",-I4651,I4651))</f>
        <v/>
      </c>
      <c r="L4651" t="str">
        <f>IF(E4651="","",IFERROR(VLOOKUP(E4651,Listas!$A$2:$C$1048576,3,FALSE),""))</f>
        <v/>
      </c>
    </row>
    <row r="4652" spans="10:12" x14ac:dyDescent="0.25">
      <c r="J4652" t="str">
        <f>IF(H4652="","",IFERROR(VLOOKUP(H4652,Listas!$J$2:$K$1048576,2,FALSE),""))</f>
        <v/>
      </c>
      <c r="K4652" s="5" t="str">
        <f>IF(OR(I4652="",G4652=""),"",IF(G4652="Saída",-I4652,I4652))</f>
        <v/>
      </c>
      <c r="L4652" t="str">
        <f>IF(E4652="","",IFERROR(VLOOKUP(E4652,Listas!$A$2:$C$1048576,3,FALSE),""))</f>
        <v/>
      </c>
    </row>
    <row r="4653" spans="10:12" x14ac:dyDescent="0.25">
      <c r="J4653" t="str">
        <f>IF(H4653="","",IFERROR(VLOOKUP(H4653,Listas!$J$2:$K$1048576,2,FALSE),""))</f>
        <v/>
      </c>
      <c r="K4653" s="5" t="str">
        <f>IF(OR(I4653="",G4653=""),"",IF(G4653="Saída",-I4653,I4653))</f>
        <v/>
      </c>
      <c r="L4653" t="str">
        <f>IF(E4653="","",IFERROR(VLOOKUP(E4653,Listas!$A$2:$C$1048576,3,FALSE),""))</f>
        <v/>
      </c>
    </row>
    <row r="4654" spans="10:12" x14ac:dyDescent="0.25">
      <c r="J4654" t="str">
        <f>IF(H4654="","",IFERROR(VLOOKUP(H4654,Listas!$J$2:$K$1048576,2,FALSE),""))</f>
        <v/>
      </c>
      <c r="K4654" s="5" t="str">
        <f>IF(OR(I4654="",G4654=""),"",IF(G4654="Saída",-I4654,I4654))</f>
        <v/>
      </c>
      <c r="L4654" t="str">
        <f>IF(E4654="","",IFERROR(VLOOKUP(E4654,Listas!$A$2:$C$1048576,3,FALSE),""))</f>
        <v/>
      </c>
    </row>
    <row r="4655" spans="10:12" x14ac:dyDescent="0.25">
      <c r="J4655" t="str">
        <f>IF(H4655="","",IFERROR(VLOOKUP(H4655,Listas!$J$2:$K$1048576,2,FALSE),""))</f>
        <v/>
      </c>
      <c r="K4655" s="5" t="str">
        <f>IF(OR(I4655="",G4655=""),"",IF(G4655="Saída",-I4655,I4655))</f>
        <v/>
      </c>
      <c r="L4655" t="str">
        <f>IF(E4655="","",IFERROR(VLOOKUP(E4655,Listas!$A$2:$C$1048576,3,FALSE),""))</f>
        <v/>
      </c>
    </row>
    <row r="4656" spans="10:12" x14ac:dyDescent="0.25">
      <c r="J4656" t="str">
        <f>IF(H4656="","",IFERROR(VLOOKUP(H4656,Listas!$J$2:$K$1048576,2,FALSE),""))</f>
        <v/>
      </c>
      <c r="K4656" s="5" t="str">
        <f>IF(OR(I4656="",G4656=""),"",IF(G4656="Saída",-I4656,I4656))</f>
        <v/>
      </c>
      <c r="L4656" t="str">
        <f>IF(E4656="","",IFERROR(VLOOKUP(E4656,Listas!$A$2:$C$1048576,3,FALSE),""))</f>
        <v/>
      </c>
    </row>
    <row r="4657" spans="10:12" x14ac:dyDescent="0.25">
      <c r="J4657" t="str">
        <f>IF(H4657="","",IFERROR(VLOOKUP(H4657,Listas!$J$2:$K$1048576,2,FALSE),""))</f>
        <v/>
      </c>
      <c r="K4657" s="5" t="str">
        <f>IF(OR(I4657="",G4657=""),"",IF(G4657="Saída",-I4657,I4657))</f>
        <v/>
      </c>
      <c r="L4657" t="str">
        <f>IF(E4657="","",IFERROR(VLOOKUP(E4657,Listas!$A$2:$C$1048576,3,FALSE),""))</f>
        <v/>
      </c>
    </row>
    <row r="4658" spans="10:12" x14ac:dyDescent="0.25">
      <c r="J4658" t="str">
        <f>IF(H4658="","",IFERROR(VLOOKUP(H4658,Listas!$J$2:$K$1048576,2,FALSE),""))</f>
        <v/>
      </c>
      <c r="K4658" s="5" t="str">
        <f>IF(OR(I4658="",G4658=""),"",IF(G4658="Saída",-I4658,I4658))</f>
        <v/>
      </c>
      <c r="L4658" t="str">
        <f>IF(E4658="","",IFERROR(VLOOKUP(E4658,Listas!$A$2:$C$1048576,3,FALSE),""))</f>
        <v/>
      </c>
    </row>
    <row r="4659" spans="10:12" x14ac:dyDescent="0.25">
      <c r="J4659" t="str">
        <f>IF(H4659="","",IFERROR(VLOOKUP(H4659,Listas!$J$2:$K$1048576,2,FALSE),""))</f>
        <v/>
      </c>
      <c r="K4659" s="5" t="str">
        <f>IF(OR(I4659="",G4659=""),"",IF(G4659="Saída",-I4659,I4659))</f>
        <v/>
      </c>
      <c r="L4659" t="str">
        <f>IF(E4659="","",IFERROR(VLOOKUP(E4659,Listas!$A$2:$C$1048576,3,FALSE),""))</f>
        <v/>
      </c>
    </row>
    <row r="4660" spans="10:12" x14ac:dyDescent="0.25">
      <c r="J4660" t="str">
        <f>IF(H4660="","",IFERROR(VLOOKUP(H4660,Listas!$J$2:$K$1048576,2,FALSE),""))</f>
        <v/>
      </c>
      <c r="K4660" s="5" t="str">
        <f>IF(OR(I4660="",G4660=""),"",IF(G4660="Saída",-I4660,I4660))</f>
        <v/>
      </c>
      <c r="L4660" t="str">
        <f>IF(E4660="","",IFERROR(VLOOKUP(E4660,Listas!$A$2:$C$1048576,3,FALSE),""))</f>
        <v/>
      </c>
    </row>
    <row r="4661" spans="10:12" x14ac:dyDescent="0.25">
      <c r="J4661" t="str">
        <f>IF(H4661="","",IFERROR(VLOOKUP(H4661,Listas!$J$2:$K$1048576,2,FALSE),""))</f>
        <v/>
      </c>
      <c r="K4661" s="5" t="str">
        <f>IF(OR(I4661="",G4661=""),"",IF(G4661="Saída",-I4661,I4661))</f>
        <v/>
      </c>
      <c r="L4661" t="str">
        <f>IF(E4661="","",IFERROR(VLOOKUP(E4661,Listas!$A$2:$C$1048576,3,FALSE),""))</f>
        <v/>
      </c>
    </row>
    <row r="4662" spans="10:12" x14ac:dyDescent="0.25">
      <c r="J4662" t="str">
        <f>IF(H4662="","",IFERROR(VLOOKUP(H4662,Listas!$J$2:$K$1048576,2,FALSE),""))</f>
        <v/>
      </c>
      <c r="K4662" s="5" t="str">
        <f>IF(OR(I4662="",G4662=""),"",IF(G4662="Saída",-I4662,I4662))</f>
        <v/>
      </c>
      <c r="L4662" t="str">
        <f>IF(E4662="","",IFERROR(VLOOKUP(E4662,Listas!$A$2:$C$1048576,3,FALSE),""))</f>
        <v/>
      </c>
    </row>
    <row r="4663" spans="10:12" x14ac:dyDescent="0.25">
      <c r="J4663" t="str">
        <f>IF(H4663="","",IFERROR(VLOOKUP(H4663,Listas!$J$2:$K$1048576,2,FALSE),""))</f>
        <v/>
      </c>
      <c r="K4663" s="5" t="str">
        <f>IF(OR(I4663="",G4663=""),"",IF(G4663="Saída",-I4663,I4663))</f>
        <v/>
      </c>
      <c r="L4663" t="str">
        <f>IF(E4663="","",IFERROR(VLOOKUP(E4663,Listas!$A$2:$C$1048576,3,FALSE),""))</f>
        <v/>
      </c>
    </row>
    <row r="4664" spans="10:12" x14ac:dyDescent="0.25">
      <c r="J4664" t="str">
        <f>IF(H4664="","",IFERROR(VLOOKUP(H4664,Listas!$J$2:$K$1048576,2,FALSE),""))</f>
        <v/>
      </c>
      <c r="K4664" s="5" t="str">
        <f>IF(OR(I4664="",G4664=""),"",IF(G4664="Saída",-I4664,I4664))</f>
        <v/>
      </c>
      <c r="L4664" t="str">
        <f>IF(E4664="","",IFERROR(VLOOKUP(E4664,Listas!$A$2:$C$1048576,3,FALSE),""))</f>
        <v/>
      </c>
    </row>
    <row r="4665" spans="10:12" x14ac:dyDescent="0.25">
      <c r="J4665" t="str">
        <f>IF(H4665="","",IFERROR(VLOOKUP(H4665,Listas!$J$2:$K$1048576,2,FALSE),""))</f>
        <v/>
      </c>
      <c r="K4665" s="5" t="str">
        <f>IF(OR(I4665="",G4665=""),"",IF(G4665="Saída",-I4665,I4665))</f>
        <v/>
      </c>
      <c r="L4665" t="str">
        <f>IF(E4665="","",IFERROR(VLOOKUP(E4665,Listas!$A$2:$C$1048576,3,FALSE),""))</f>
        <v/>
      </c>
    </row>
    <row r="4666" spans="10:12" x14ac:dyDescent="0.25">
      <c r="J4666" t="str">
        <f>IF(H4666="","",IFERROR(VLOOKUP(H4666,Listas!$J$2:$K$1048576,2,FALSE),""))</f>
        <v/>
      </c>
      <c r="K4666" s="5" t="str">
        <f>IF(OR(I4666="",G4666=""),"",IF(G4666="Saída",-I4666,I4666))</f>
        <v/>
      </c>
      <c r="L4666" t="str">
        <f>IF(E4666="","",IFERROR(VLOOKUP(E4666,Listas!$A$2:$C$1048576,3,FALSE),""))</f>
        <v/>
      </c>
    </row>
    <row r="4667" spans="10:12" x14ac:dyDescent="0.25">
      <c r="J4667" t="str">
        <f>IF(H4667="","",IFERROR(VLOOKUP(H4667,Listas!$J$2:$K$1048576,2,FALSE),""))</f>
        <v/>
      </c>
      <c r="K4667" s="5" t="str">
        <f>IF(OR(I4667="",G4667=""),"",IF(G4667="Saída",-I4667,I4667))</f>
        <v/>
      </c>
      <c r="L4667" t="str">
        <f>IF(E4667="","",IFERROR(VLOOKUP(E4667,Listas!$A$2:$C$1048576,3,FALSE),""))</f>
        <v/>
      </c>
    </row>
    <row r="4668" spans="10:12" x14ac:dyDescent="0.25">
      <c r="J4668" t="str">
        <f>IF(H4668="","",IFERROR(VLOOKUP(H4668,Listas!$J$2:$K$1048576,2,FALSE),""))</f>
        <v/>
      </c>
      <c r="K4668" s="5" t="str">
        <f>IF(OR(I4668="",G4668=""),"",IF(G4668="Saída",-I4668,I4668))</f>
        <v/>
      </c>
      <c r="L4668" t="str">
        <f>IF(E4668="","",IFERROR(VLOOKUP(E4668,Listas!$A$2:$C$1048576,3,FALSE),""))</f>
        <v/>
      </c>
    </row>
    <row r="4669" spans="10:12" x14ac:dyDescent="0.25">
      <c r="J4669" t="str">
        <f>IF(H4669="","",IFERROR(VLOOKUP(H4669,Listas!$J$2:$K$1048576,2,FALSE),""))</f>
        <v/>
      </c>
      <c r="K4669" s="5" t="str">
        <f>IF(OR(I4669="",G4669=""),"",IF(G4669="Saída",-I4669,I4669))</f>
        <v/>
      </c>
      <c r="L4669" t="str">
        <f>IF(E4669="","",IFERROR(VLOOKUP(E4669,Listas!$A$2:$C$1048576,3,FALSE),""))</f>
        <v/>
      </c>
    </row>
    <row r="4670" spans="10:12" x14ac:dyDescent="0.25">
      <c r="J4670" t="str">
        <f>IF(H4670="","",IFERROR(VLOOKUP(H4670,Listas!$J$2:$K$1048576,2,FALSE),""))</f>
        <v/>
      </c>
      <c r="K4670" s="5" t="str">
        <f>IF(OR(I4670="",G4670=""),"",IF(G4670="Saída",-I4670,I4670))</f>
        <v/>
      </c>
      <c r="L4670" t="str">
        <f>IF(E4670="","",IFERROR(VLOOKUP(E4670,Listas!$A$2:$C$1048576,3,FALSE),""))</f>
        <v/>
      </c>
    </row>
    <row r="4671" spans="10:12" x14ac:dyDescent="0.25">
      <c r="J4671" t="str">
        <f>IF(H4671="","",IFERROR(VLOOKUP(H4671,Listas!$J$2:$K$1048576,2,FALSE),""))</f>
        <v/>
      </c>
      <c r="K4671" s="5" t="str">
        <f>IF(OR(I4671="",G4671=""),"",IF(G4671="Saída",-I4671,I4671))</f>
        <v/>
      </c>
      <c r="L4671" t="str">
        <f>IF(E4671="","",IFERROR(VLOOKUP(E4671,Listas!$A$2:$C$1048576,3,FALSE),""))</f>
        <v/>
      </c>
    </row>
    <row r="4672" spans="10:12" x14ac:dyDescent="0.25">
      <c r="J4672" t="str">
        <f>IF(H4672="","",IFERROR(VLOOKUP(H4672,Listas!$J$2:$K$1048576,2,FALSE),""))</f>
        <v/>
      </c>
      <c r="K4672" s="5" t="str">
        <f>IF(OR(I4672="",G4672=""),"",IF(G4672="Saída",-I4672,I4672))</f>
        <v/>
      </c>
      <c r="L4672" t="str">
        <f>IF(E4672="","",IFERROR(VLOOKUP(E4672,Listas!$A$2:$C$1048576,3,FALSE),""))</f>
        <v/>
      </c>
    </row>
    <row r="4673" spans="10:12" x14ac:dyDescent="0.25">
      <c r="J4673" t="str">
        <f>IF(H4673="","",IFERROR(VLOOKUP(H4673,Listas!$J$2:$K$1048576,2,FALSE),""))</f>
        <v/>
      </c>
      <c r="K4673" s="5" t="str">
        <f>IF(OR(I4673="",G4673=""),"",IF(G4673="Saída",-I4673,I4673))</f>
        <v/>
      </c>
      <c r="L4673" t="str">
        <f>IF(E4673="","",IFERROR(VLOOKUP(E4673,Listas!$A$2:$C$1048576,3,FALSE),""))</f>
        <v/>
      </c>
    </row>
    <row r="4674" spans="10:12" x14ac:dyDescent="0.25">
      <c r="J4674" t="str">
        <f>IF(H4674="","",IFERROR(VLOOKUP(H4674,Listas!$J$2:$K$1048576,2,FALSE),""))</f>
        <v/>
      </c>
      <c r="K4674" s="5" t="str">
        <f>IF(OR(I4674="",G4674=""),"",IF(G4674="Saída",-I4674,I4674))</f>
        <v/>
      </c>
      <c r="L4674" t="str">
        <f>IF(E4674="","",IFERROR(VLOOKUP(E4674,Listas!$A$2:$C$1048576,3,FALSE),""))</f>
        <v/>
      </c>
    </row>
    <row r="4675" spans="10:12" x14ac:dyDescent="0.25">
      <c r="J4675" t="str">
        <f>IF(H4675="","",IFERROR(VLOOKUP(H4675,Listas!$J$2:$K$1048576,2,FALSE),""))</f>
        <v/>
      </c>
      <c r="K4675" s="5" t="str">
        <f>IF(OR(I4675="",G4675=""),"",IF(G4675="Saída",-I4675,I4675))</f>
        <v/>
      </c>
      <c r="L4675" t="str">
        <f>IF(E4675="","",IFERROR(VLOOKUP(E4675,Listas!$A$2:$C$1048576,3,FALSE),""))</f>
        <v/>
      </c>
    </row>
    <row r="4676" spans="10:12" x14ac:dyDescent="0.25">
      <c r="J4676" t="str">
        <f>IF(H4676="","",IFERROR(VLOOKUP(H4676,Listas!$J$2:$K$1048576,2,FALSE),""))</f>
        <v/>
      </c>
      <c r="K4676" s="5" t="str">
        <f>IF(OR(I4676="",G4676=""),"",IF(G4676="Saída",-I4676,I4676))</f>
        <v/>
      </c>
      <c r="L4676" t="str">
        <f>IF(E4676="","",IFERROR(VLOOKUP(E4676,Listas!$A$2:$C$1048576,3,FALSE),""))</f>
        <v/>
      </c>
    </row>
    <row r="4677" spans="10:12" x14ac:dyDescent="0.25">
      <c r="J4677" t="str">
        <f>IF(H4677="","",IFERROR(VLOOKUP(H4677,Listas!$J$2:$K$1048576,2,FALSE),""))</f>
        <v/>
      </c>
      <c r="K4677" s="5" t="str">
        <f>IF(OR(I4677="",G4677=""),"",IF(G4677="Saída",-I4677,I4677))</f>
        <v/>
      </c>
      <c r="L4677" t="str">
        <f>IF(E4677="","",IFERROR(VLOOKUP(E4677,Listas!$A$2:$C$1048576,3,FALSE),""))</f>
        <v/>
      </c>
    </row>
    <row r="4678" spans="10:12" x14ac:dyDescent="0.25">
      <c r="J4678" t="str">
        <f>IF(H4678="","",IFERROR(VLOOKUP(H4678,Listas!$J$2:$K$1048576,2,FALSE),""))</f>
        <v/>
      </c>
      <c r="K4678" s="5" t="str">
        <f>IF(OR(I4678="",G4678=""),"",IF(G4678="Saída",-I4678,I4678))</f>
        <v/>
      </c>
      <c r="L4678" t="str">
        <f>IF(E4678="","",IFERROR(VLOOKUP(E4678,Listas!$A$2:$C$1048576,3,FALSE),""))</f>
        <v/>
      </c>
    </row>
    <row r="4679" spans="10:12" x14ac:dyDescent="0.25">
      <c r="J4679" t="str">
        <f>IF(H4679="","",IFERROR(VLOOKUP(H4679,Listas!$J$2:$K$1048576,2,FALSE),""))</f>
        <v/>
      </c>
      <c r="K4679" s="5" t="str">
        <f>IF(OR(I4679="",G4679=""),"",IF(G4679="Saída",-I4679,I4679))</f>
        <v/>
      </c>
      <c r="L4679" t="str">
        <f>IF(E4679="","",IFERROR(VLOOKUP(E4679,Listas!$A$2:$C$1048576,3,FALSE),""))</f>
        <v/>
      </c>
    </row>
    <row r="4680" spans="10:12" x14ac:dyDescent="0.25">
      <c r="J4680" t="str">
        <f>IF(H4680="","",IFERROR(VLOOKUP(H4680,Listas!$J$2:$K$1048576,2,FALSE),""))</f>
        <v/>
      </c>
      <c r="K4680" s="5" t="str">
        <f>IF(OR(I4680="",G4680=""),"",IF(G4680="Saída",-I4680,I4680))</f>
        <v/>
      </c>
      <c r="L4680" t="str">
        <f>IF(E4680="","",IFERROR(VLOOKUP(E4680,Listas!$A$2:$C$1048576,3,FALSE),""))</f>
        <v/>
      </c>
    </row>
    <row r="4681" spans="10:12" x14ac:dyDescent="0.25">
      <c r="J4681" t="str">
        <f>IF(H4681="","",IFERROR(VLOOKUP(H4681,Listas!$J$2:$K$1048576,2,FALSE),""))</f>
        <v/>
      </c>
      <c r="K4681" s="5" t="str">
        <f>IF(OR(I4681="",G4681=""),"",IF(G4681="Saída",-I4681,I4681))</f>
        <v/>
      </c>
      <c r="L4681" t="str">
        <f>IF(E4681="","",IFERROR(VLOOKUP(E4681,Listas!$A$2:$C$1048576,3,FALSE),""))</f>
        <v/>
      </c>
    </row>
    <row r="4682" spans="10:12" x14ac:dyDescent="0.25">
      <c r="J4682" t="str">
        <f>IF(H4682="","",IFERROR(VLOOKUP(H4682,Listas!$J$2:$K$1048576,2,FALSE),""))</f>
        <v/>
      </c>
      <c r="K4682" s="5" t="str">
        <f>IF(OR(I4682="",G4682=""),"",IF(G4682="Saída",-I4682,I4682))</f>
        <v/>
      </c>
      <c r="L4682" t="str">
        <f>IF(E4682="","",IFERROR(VLOOKUP(E4682,Listas!$A$2:$C$1048576,3,FALSE),""))</f>
        <v/>
      </c>
    </row>
    <row r="4683" spans="10:12" x14ac:dyDescent="0.25">
      <c r="J4683" t="str">
        <f>IF(H4683="","",IFERROR(VLOOKUP(H4683,Listas!$J$2:$K$1048576,2,FALSE),""))</f>
        <v/>
      </c>
      <c r="K4683" s="5" t="str">
        <f>IF(OR(I4683="",G4683=""),"",IF(G4683="Saída",-I4683,I4683))</f>
        <v/>
      </c>
      <c r="L4683" t="str">
        <f>IF(E4683="","",IFERROR(VLOOKUP(E4683,Listas!$A$2:$C$1048576,3,FALSE),""))</f>
        <v/>
      </c>
    </row>
    <row r="4684" spans="10:12" x14ac:dyDescent="0.25">
      <c r="J4684" t="str">
        <f>IF(H4684="","",IFERROR(VLOOKUP(H4684,Listas!$J$2:$K$1048576,2,FALSE),""))</f>
        <v/>
      </c>
      <c r="K4684" s="5" t="str">
        <f>IF(OR(I4684="",G4684=""),"",IF(G4684="Saída",-I4684,I4684))</f>
        <v/>
      </c>
      <c r="L4684" t="str">
        <f>IF(E4684="","",IFERROR(VLOOKUP(E4684,Listas!$A$2:$C$1048576,3,FALSE),""))</f>
        <v/>
      </c>
    </row>
    <row r="4685" spans="10:12" x14ac:dyDescent="0.25">
      <c r="J4685" t="str">
        <f>IF(H4685="","",IFERROR(VLOOKUP(H4685,Listas!$J$2:$K$1048576,2,FALSE),""))</f>
        <v/>
      </c>
      <c r="K4685" s="5" t="str">
        <f>IF(OR(I4685="",G4685=""),"",IF(G4685="Saída",-I4685,I4685))</f>
        <v/>
      </c>
      <c r="L4685" t="str">
        <f>IF(E4685="","",IFERROR(VLOOKUP(E4685,Listas!$A$2:$C$1048576,3,FALSE),""))</f>
        <v/>
      </c>
    </row>
    <row r="4686" spans="10:12" x14ac:dyDescent="0.25">
      <c r="J4686" t="str">
        <f>IF(H4686="","",IFERROR(VLOOKUP(H4686,Listas!$J$2:$K$1048576,2,FALSE),""))</f>
        <v/>
      </c>
      <c r="K4686" s="5" t="str">
        <f>IF(OR(I4686="",G4686=""),"",IF(G4686="Saída",-I4686,I4686))</f>
        <v/>
      </c>
      <c r="L4686" t="str">
        <f>IF(E4686="","",IFERROR(VLOOKUP(E4686,Listas!$A$2:$C$1048576,3,FALSE),""))</f>
        <v/>
      </c>
    </row>
    <row r="4687" spans="10:12" x14ac:dyDescent="0.25">
      <c r="J4687" t="str">
        <f>IF(H4687="","",IFERROR(VLOOKUP(H4687,Listas!$J$2:$K$1048576,2,FALSE),""))</f>
        <v/>
      </c>
      <c r="K4687" s="5" t="str">
        <f>IF(OR(I4687="",G4687=""),"",IF(G4687="Saída",-I4687,I4687))</f>
        <v/>
      </c>
      <c r="L4687" t="str">
        <f>IF(E4687="","",IFERROR(VLOOKUP(E4687,Listas!$A$2:$C$1048576,3,FALSE),""))</f>
        <v/>
      </c>
    </row>
    <row r="4688" spans="10:12" x14ac:dyDescent="0.25">
      <c r="J4688" t="str">
        <f>IF(H4688="","",IFERROR(VLOOKUP(H4688,Listas!$J$2:$K$1048576,2,FALSE),""))</f>
        <v/>
      </c>
      <c r="K4688" s="5" t="str">
        <f>IF(OR(I4688="",G4688=""),"",IF(G4688="Saída",-I4688,I4688))</f>
        <v/>
      </c>
      <c r="L4688" t="str">
        <f>IF(E4688="","",IFERROR(VLOOKUP(E4688,Listas!$A$2:$C$1048576,3,FALSE),""))</f>
        <v/>
      </c>
    </row>
    <row r="4689" spans="10:12" x14ac:dyDescent="0.25">
      <c r="J4689" t="str">
        <f>IF(H4689="","",IFERROR(VLOOKUP(H4689,Listas!$J$2:$K$1048576,2,FALSE),""))</f>
        <v/>
      </c>
      <c r="K4689" s="5" t="str">
        <f>IF(OR(I4689="",G4689=""),"",IF(G4689="Saída",-I4689,I4689))</f>
        <v/>
      </c>
      <c r="L4689" t="str">
        <f>IF(E4689="","",IFERROR(VLOOKUP(E4689,Listas!$A$2:$C$1048576,3,FALSE),""))</f>
        <v/>
      </c>
    </row>
    <row r="4690" spans="10:12" x14ac:dyDescent="0.25">
      <c r="J4690" t="str">
        <f>IF(H4690="","",IFERROR(VLOOKUP(H4690,Listas!$J$2:$K$1048576,2,FALSE),""))</f>
        <v/>
      </c>
      <c r="K4690" s="5" t="str">
        <f>IF(OR(I4690="",G4690=""),"",IF(G4690="Saída",-I4690,I4690))</f>
        <v/>
      </c>
      <c r="L4690" t="str">
        <f>IF(E4690="","",IFERROR(VLOOKUP(E4690,Listas!$A$2:$C$1048576,3,FALSE),""))</f>
        <v/>
      </c>
    </row>
    <row r="4691" spans="10:12" x14ac:dyDescent="0.25">
      <c r="J4691" t="str">
        <f>IF(H4691="","",IFERROR(VLOOKUP(H4691,Listas!$J$2:$K$1048576,2,FALSE),""))</f>
        <v/>
      </c>
      <c r="K4691" s="5" t="str">
        <f>IF(OR(I4691="",G4691=""),"",IF(G4691="Saída",-I4691,I4691))</f>
        <v/>
      </c>
      <c r="L4691" t="str">
        <f>IF(E4691="","",IFERROR(VLOOKUP(E4691,Listas!$A$2:$C$1048576,3,FALSE),""))</f>
        <v/>
      </c>
    </row>
    <row r="4692" spans="10:12" x14ac:dyDescent="0.25">
      <c r="J4692" t="str">
        <f>IF(H4692="","",IFERROR(VLOOKUP(H4692,Listas!$J$2:$K$1048576,2,FALSE),""))</f>
        <v/>
      </c>
      <c r="K4692" s="5" t="str">
        <f>IF(OR(I4692="",G4692=""),"",IF(G4692="Saída",-I4692,I4692))</f>
        <v/>
      </c>
      <c r="L4692" t="str">
        <f>IF(E4692="","",IFERROR(VLOOKUP(E4692,Listas!$A$2:$C$1048576,3,FALSE),""))</f>
        <v/>
      </c>
    </row>
    <row r="4693" spans="10:12" x14ac:dyDescent="0.25">
      <c r="J4693" t="str">
        <f>IF(H4693="","",IFERROR(VLOOKUP(H4693,Listas!$J$2:$K$1048576,2,FALSE),""))</f>
        <v/>
      </c>
      <c r="K4693" s="5" t="str">
        <f>IF(OR(I4693="",G4693=""),"",IF(G4693="Saída",-I4693,I4693))</f>
        <v/>
      </c>
      <c r="L4693" t="str">
        <f>IF(E4693="","",IFERROR(VLOOKUP(E4693,Listas!$A$2:$C$1048576,3,FALSE),""))</f>
        <v/>
      </c>
    </row>
    <row r="4694" spans="10:12" x14ac:dyDescent="0.25">
      <c r="J4694" t="str">
        <f>IF(H4694="","",IFERROR(VLOOKUP(H4694,Listas!$J$2:$K$1048576,2,FALSE),""))</f>
        <v/>
      </c>
      <c r="K4694" s="5" t="str">
        <f>IF(OR(I4694="",G4694=""),"",IF(G4694="Saída",-I4694,I4694))</f>
        <v/>
      </c>
      <c r="L4694" t="str">
        <f>IF(E4694="","",IFERROR(VLOOKUP(E4694,Listas!$A$2:$C$1048576,3,FALSE),""))</f>
        <v/>
      </c>
    </row>
    <row r="4695" spans="10:12" x14ac:dyDescent="0.25">
      <c r="J4695" t="str">
        <f>IF(H4695="","",IFERROR(VLOOKUP(H4695,Listas!$J$2:$K$1048576,2,FALSE),""))</f>
        <v/>
      </c>
      <c r="K4695" s="5" t="str">
        <f>IF(OR(I4695="",G4695=""),"",IF(G4695="Saída",-I4695,I4695))</f>
        <v/>
      </c>
      <c r="L4695" t="str">
        <f>IF(E4695="","",IFERROR(VLOOKUP(E4695,Listas!$A$2:$C$1048576,3,FALSE),""))</f>
        <v/>
      </c>
    </row>
    <row r="4696" spans="10:12" x14ac:dyDescent="0.25">
      <c r="J4696" t="str">
        <f>IF(H4696="","",IFERROR(VLOOKUP(H4696,Listas!$J$2:$K$1048576,2,FALSE),""))</f>
        <v/>
      </c>
      <c r="K4696" s="5" t="str">
        <f>IF(OR(I4696="",G4696=""),"",IF(G4696="Saída",-I4696,I4696))</f>
        <v/>
      </c>
      <c r="L4696" t="str">
        <f>IF(E4696="","",IFERROR(VLOOKUP(E4696,Listas!$A$2:$C$1048576,3,FALSE),""))</f>
        <v/>
      </c>
    </row>
    <row r="4697" spans="10:12" x14ac:dyDescent="0.25">
      <c r="J4697" t="str">
        <f>IF(H4697="","",IFERROR(VLOOKUP(H4697,Listas!$J$2:$K$1048576,2,FALSE),""))</f>
        <v/>
      </c>
      <c r="K4697" s="5" t="str">
        <f>IF(OR(I4697="",G4697=""),"",IF(G4697="Saída",-I4697,I4697))</f>
        <v/>
      </c>
      <c r="L4697" t="str">
        <f>IF(E4697="","",IFERROR(VLOOKUP(E4697,Listas!$A$2:$C$1048576,3,FALSE),""))</f>
        <v/>
      </c>
    </row>
    <row r="4698" spans="10:12" x14ac:dyDescent="0.25">
      <c r="J4698" t="str">
        <f>IF(H4698="","",IFERROR(VLOOKUP(H4698,Listas!$J$2:$K$1048576,2,FALSE),""))</f>
        <v/>
      </c>
      <c r="K4698" s="5" t="str">
        <f>IF(OR(I4698="",G4698=""),"",IF(G4698="Saída",-I4698,I4698))</f>
        <v/>
      </c>
      <c r="L4698" t="str">
        <f>IF(E4698="","",IFERROR(VLOOKUP(E4698,Listas!$A$2:$C$1048576,3,FALSE),""))</f>
        <v/>
      </c>
    </row>
    <row r="4699" spans="10:12" x14ac:dyDescent="0.25">
      <c r="J4699" t="str">
        <f>IF(H4699="","",IFERROR(VLOOKUP(H4699,Listas!$J$2:$K$1048576,2,FALSE),""))</f>
        <v/>
      </c>
      <c r="K4699" s="5" t="str">
        <f>IF(OR(I4699="",G4699=""),"",IF(G4699="Saída",-I4699,I4699))</f>
        <v/>
      </c>
      <c r="L4699" t="str">
        <f>IF(E4699="","",IFERROR(VLOOKUP(E4699,Listas!$A$2:$C$1048576,3,FALSE),""))</f>
        <v/>
      </c>
    </row>
    <row r="4700" spans="10:12" x14ac:dyDescent="0.25">
      <c r="J4700" t="str">
        <f>IF(H4700="","",IFERROR(VLOOKUP(H4700,Listas!$J$2:$K$1048576,2,FALSE),""))</f>
        <v/>
      </c>
      <c r="K4700" s="5" t="str">
        <f>IF(OR(I4700="",G4700=""),"",IF(G4700="Saída",-I4700,I4700))</f>
        <v/>
      </c>
      <c r="L4700" t="str">
        <f>IF(E4700="","",IFERROR(VLOOKUP(E4700,Listas!$A$2:$C$1048576,3,FALSE),""))</f>
        <v/>
      </c>
    </row>
    <row r="4701" spans="10:12" x14ac:dyDescent="0.25">
      <c r="J4701" t="str">
        <f>IF(H4701="","",IFERROR(VLOOKUP(H4701,Listas!$J$2:$K$1048576,2,FALSE),""))</f>
        <v/>
      </c>
      <c r="K4701" s="5" t="str">
        <f>IF(OR(I4701="",G4701=""),"",IF(G4701="Saída",-I4701,I4701))</f>
        <v/>
      </c>
      <c r="L4701" t="str">
        <f>IF(E4701="","",IFERROR(VLOOKUP(E4701,Listas!$A$2:$C$1048576,3,FALSE),""))</f>
        <v/>
      </c>
    </row>
    <row r="4702" spans="10:12" x14ac:dyDescent="0.25">
      <c r="J4702" t="str">
        <f>IF(H4702="","",IFERROR(VLOOKUP(H4702,Listas!$J$2:$K$1048576,2,FALSE),""))</f>
        <v/>
      </c>
      <c r="K4702" s="5" t="str">
        <f>IF(OR(I4702="",G4702=""),"",IF(G4702="Saída",-I4702,I4702))</f>
        <v/>
      </c>
      <c r="L4702" t="str">
        <f>IF(E4702="","",IFERROR(VLOOKUP(E4702,Listas!$A$2:$C$1048576,3,FALSE),""))</f>
        <v/>
      </c>
    </row>
    <row r="4703" spans="10:12" x14ac:dyDescent="0.25">
      <c r="J4703" t="str">
        <f>IF(H4703="","",IFERROR(VLOOKUP(H4703,Listas!$J$2:$K$1048576,2,FALSE),""))</f>
        <v/>
      </c>
      <c r="K4703" s="5" t="str">
        <f>IF(OR(I4703="",G4703=""),"",IF(G4703="Saída",-I4703,I4703))</f>
        <v/>
      </c>
      <c r="L4703" t="str">
        <f>IF(E4703="","",IFERROR(VLOOKUP(E4703,Listas!$A$2:$C$1048576,3,FALSE),""))</f>
        <v/>
      </c>
    </row>
    <row r="4704" spans="10:12" x14ac:dyDescent="0.25">
      <c r="J4704" t="str">
        <f>IF(H4704="","",IFERROR(VLOOKUP(H4704,Listas!$J$2:$K$1048576,2,FALSE),""))</f>
        <v/>
      </c>
      <c r="K4704" s="5" t="str">
        <f>IF(OR(I4704="",G4704=""),"",IF(G4704="Saída",-I4704,I4704))</f>
        <v/>
      </c>
      <c r="L4704" t="str">
        <f>IF(E4704="","",IFERROR(VLOOKUP(E4704,Listas!$A$2:$C$1048576,3,FALSE),""))</f>
        <v/>
      </c>
    </row>
    <row r="4705" spans="10:12" x14ac:dyDescent="0.25">
      <c r="J4705" t="str">
        <f>IF(H4705="","",IFERROR(VLOOKUP(H4705,Listas!$J$2:$K$1048576,2,FALSE),""))</f>
        <v/>
      </c>
      <c r="K4705" s="5" t="str">
        <f>IF(OR(I4705="",G4705=""),"",IF(G4705="Saída",-I4705,I4705))</f>
        <v/>
      </c>
      <c r="L4705" t="str">
        <f>IF(E4705="","",IFERROR(VLOOKUP(E4705,Listas!$A$2:$C$1048576,3,FALSE),""))</f>
        <v/>
      </c>
    </row>
    <row r="4706" spans="10:12" x14ac:dyDescent="0.25">
      <c r="J4706" t="str">
        <f>IF(H4706="","",IFERROR(VLOOKUP(H4706,Listas!$J$2:$K$1048576,2,FALSE),""))</f>
        <v/>
      </c>
      <c r="K4706" s="5" t="str">
        <f>IF(OR(I4706="",G4706=""),"",IF(G4706="Saída",-I4706,I4706))</f>
        <v/>
      </c>
      <c r="L4706" t="str">
        <f>IF(E4706="","",IFERROR(VLOOKUP(E4706,Listas!$A$2:$C$1048576,3,FALSE),""))</f>
        <v/>
      </c>
    </row>
    <row r="4707" spans="10:12" x14ac:dyDescent="0.25">
      <c r="J4707" t="str">
        <f>IF(H4707="","",IFERROR(VLOOKUP(H4707,Listas!$J$2:$K$1048576,2,FALSE),""))</f>
        <v/>
      </c>
      <c r="K4707" s="5" t="str">
        <f>IF(OR(I4707="",G4707=""),"",IF(G4707="Saída",-I4707,I4707))</f>
        <v/>
      </c>
      <c r="L4707" t="str">
        <f>IF(E4707="","",IFERROR(VLOOKUP(E4707,Listas!$A$2:$C$1048576,3,FALSE),""))</f>
        <v/>
      </c>
    </row>
    <row r="4708" spans="10:12" x14ac:dyDescent="0.25">
      <c r="J4708" t="str">
        <f>IF(H4708="","",IFERROR(VLOOKUP(H4708,Listas!$J$2:$K$1048576,2,FALSE),""))</f>
        <v/>
      </c>
      <c r="K4708" s="5" t="str">
        <f>IF(OR(I4708="",G4708=""),"",IF(G4708="Saída",-I4708,I4708))</f>
        <v/>
      </c>
      <c r="L4708" t="str">
        <f>IF(E4708="","",IFERROR(VLOOKUP(E4708,Listas!$A$2:$C$1048576,3,FALSE),""))</f>
        <v/>
      </c>
    </row>
    <row r="4709" spans="10:12" x14ac:dyDescent="0.25">
      <c r="J4709" t="str">
        <f>IF(H4709="","",IFERROR(VLOOKUP(H4709,Listas!$J$2:$K$1048576,2,FALSE),""))</f>
        <v/>
      </c>
      <c r="K4709" s="5" t="str">
        <f>IF(OR(I4709="",G4709=""),"",IF(G4709="Saída",-I4709,I4709))</f>
        <v/>
      </c>
      <c r="L4709" t="str">
        <f>IF(E4709="","",IFERROR(VLOOKUP(E4709,Listas!$A$2:$C$1048576,3,FALSE),""))</f>
        <v/>
      </c>
    </row>
    <row r="4710" spans="10:12" x14ac:dyDescent="0.25">
      <c r="J4710" t="str">
        <f>IF(H4710="","",IFERROR(VLOOKUP(H4710,Listas!$J$2:$K$1048576,2,FALSE),""))</f>
        <v/>
      </c>
      <c r="K4710" s="5" t="str">
        <f>IF(OR(I4710="",G4710=""),"",IF(G4710="Saída",-I4710,I4710))</f>
        <v/>
      </c>
      <c r="L4710" t="str">
        <f>IF(E4710="","",IFERROR(VLOOKUP(E4710,Listas!$A$2:$C$1048576,3,FALSE),""))</f>
        <v/>
      </c>
    </row>
    <row r="4711" spans="10:12" x14ac:dyDescent="0.25">
      <c r="J4711" t="str">
        <f>IF(H4711="","",IFERROR(VLOOKUP(H4711,Listas!$J$2:$K$1048576,2,FALSE),""))</f>
        <v/>
      </c>
      <c r="K4711" s="5" t="str">
        <f>IF(OR(I4711="",G4711=""),"",IF(G4711="Saída",-I4711,I4711))</f>
        <v/>
      </c>
      <c r="L4711" t="str">
        <f>IF(E4711="","",IFERROR(VLOOKUP(E4711,Listas!$A$2:$C$1048576,3,FALSE),""))</f>
        <v/>
      </c>
    </row>
    <row r="4712" spans="10:12" x14ac:dyDescent="0.25">
      <c r="J4712" t="str">
        <f>IF(H4712="","",IFERROR(VLOOKUP(H4712,Listas!$J$2:$K$1048576,2,FALSE),""))</f>
        <v/>
      </c>
      <c r="K4712" s="5" t="str">
        <f>IF(OR(I4712="",G4712=""),"",IF(G4712="Saída",-I4712,I4712))</f>
        <v/>
      </c>
      <c r="L4712" t="str">
        <f>IF(E4712="","",IFERROR(VLOOKUP(E4712,Listas!$A$2:$C$1048576,3,FALSE),""))</f>
        <v/>
      </c>
    </row>
    <row r="4713" spans="10:12" x14ac:dyDescent="0.25">
      <c r="J4713" t="str">
        <f>IF(H4713="","",IFERROR(VLOOKUP(H4713,Listas!$J$2:$K$1048576,2,FALSE),""))</f>
        <v/>
      </c>
      <c r="K4713" s="5" t="str">
        <f>IF(OR(I4713="",G4713=""),"",IF(G4713="Saída",-I4713,I4713))</f>
        <v/>
      </c>
      <c r="L4713" t="str">
        <f>IF(E4713="","",IFERROR(VLOOKUP(E4713,Listas!$A$2:$C$1048576,3,FALSE),""))</f>
        <v/>
      </c>
    </row>
    <row r="4714" spans="10:12" x14ac:dyDescent="0.25">
      <c r="J4714" t="str">
        <f>IF(H4714="","",IFERROR(VLOOKUP(H4714,Listas!$J$2:$K$1048576,2,FALSE),""))</f>
        <v/>
      </c>
      <c r="K4714" s="5" t="str">
        <f>IF(OR(I4714="",G4714=""),"",IF(G4714="Saída",-I4714,I4714))</f>
        <v/>
      </c>
      <c r="L4714" t="str">
        <f>IF(E4714="","",IFERROR(VLOOKUP(E4714,Listas!$A$2:$C$1048576,3,FALSE),""))</f>
        <v/>
      </c>
    </row>
    <row r="4715" spans="10:12" x14ac:dyDescent="0.25">
      <c r="J4715" t="str">
        <f>IF(H4715="","",IFERROR(VLOOKUP(H4715,Listas!$J$2:$K$1048576,2,FALSE),""))</f>
        <v/>
      </c>
      <c r="K4715" s="5" t="str">
        <f>IF(OR(I4715="",G4715=""),"",IF(G4715="Saída",-I4715,I4715))</f>
        <v/>
      </c>
      <c r="L4715" t="str">
        <f>IF(E4715="","",IFERROR(VLOOKUP(E4715,Listas!$A$2:$C$1048576,3,FALSE),""))</f>
        <v/>
      </c>
    </row>
    <row r="4716" spans="10:12" x14ac:dyDescent="0.25">
      <c r="J4716" t="str">
        <f>IF(H4716="","",IFERROR(VLOOKUP(H4716,Listas!$J$2:$K$1048576,2,FALSE),""))</f>
        <v/>
      </c>
      <c r="K4716" s="5" t="str">
        <f>IF(OR(I4716="",G4716=""),"",IF(G4716="Saída",-I4716,I4716))</f>
        <v/>
      </c>
      <c r="L4716" t="str">
        <f>IF(E4716="","",IFERROR(VLOOKUP(E4716,Listas!$A$2:$C$1048576,3,FALSE),""))</f>
        <v/>
      </c>
    </row>
    <row r="4717" spans="10:12" x14ac:dyDescent="0.25">
      <c r="J4717" t="str">
        <f>IF(H4717="","",IFERROR(VLOOKUP(H4717,Listas!$J$2:$K$1048576,2,FALSE),""))</f>
        <v/>
      </c>
      <c r="K4717" s="5" t="str">
        <f>IF(OR(I4717="",G4717=""),"",IF(G4717="Saída",-I4717,I4717))</f>
        <v/>
      </c>
      <c r="L4717" t="str">
        <f>IF(E4717="","",IFERROR(VLOOKUP(E4717,Listas!$A$2:$C$1048576,3,FALSE),""))</f>
        <v/>
      </c>
    </row>
    <row r="4718" spans="10:12" x14ac:dyDescent="0.25">
      <c r="J4718" t="str">
        <f>IF(H4718="","",IFERROR(VLOOKUP(H4718,Listas!$J$2:$K$1048576,2,FALSE),""))</f>
        <v/>
      </c>
      <c r="K4718" s="5" t="str">
        <f>IF(OR(I4718="",G4718=""),"",IF(G4718="Saída",-I4718,I4718))</f>
        <v/>
      </c>
      <c r="L4718" t="str">
        <f>IF(E4718="","",IFERROR(VLOOKUP(E4718,Listas!$A$2:$C$1048576,3,FALSE),""))</f>
        <v/>
      </c>
    </row>
    <row r="4719" spans="10:12" x14ac:dyDescent="0.25">
      <c r="J4719" t="str">
        <f>IF(H4719="","",IFERROR(VLOOKUP(H4719,Listas!$J$2:$K$1048576,2,FALSE),""))</f>
        <v/>
      </c>
      <c r="K4719" s="5" t="str">
        <f>IF(OR(I4719="",G4719=""),"",IF(G4719="Saída",-I4719,I4719))</f>
        <v/>
      </c>
      <c r="L4719" t="str">
        <f>IF(E4719="","",IFERROR(VLOOKUP(E4719,Listas!$A$2:$C$1048576,3,FALSE),""))</f>
        <v/>
      </c>
    </row>
    <row r="4720" spans="10:12" x14ac:dyDescent="0.25">
      <c r="J4720" t="str">
        <f>IF(H4720="","",IFERROR(VLOOKUP(H4720,Listas!$J$2:$K$1048576,2,FALSE),""))</f>
        <v/>
      </c>
      <c r="K4720" s="5" t="str">
        <f>IF(OR(I4720="",G4720=""),"",IF(G4720="Saída",-I4720,I4720))</f>
        <v/>
      </c>
      <c r="L4720" t="str">
        <f>IF(E4720="","",IFERROR(VLOOKUP(E4720,Listas!$A$2:$C$1048576,3,FALSE),""))</f>
        <v/>
      </c>
    </row>
    <row r="4721" spans="10:12" x14ac:dyDescent="0.25">
      <c r="J4721" t="str">
        <f>IF(H4721="","",IFERROR(VLOOKUP(H4721,Listas!$J$2:$K$1048576,2,FALSE),""))</f>
        <v/>
      </c>
      <c r="K4721" s="5" t="str">
        <f>IF(OR(I4721="",G4721=""),"",IF(G4721="Saída",-I4721,I4721))</f>
        <v/>
      </c>
      <c r="L4721" t="str">
        <f>IF(E4721="","",IFERROR(VLOOKUP(E4721,Listas!$A$2:$C$1048576,3,FALSE),""))</f>
        <v/>
      </c>
    </row>
    <row r="4722" spans="10:12" x14ac:dyDescent="0.25">
      <c r="J4722" t="str">
        <f>IF(H4722="","",IFERROR(VLOOKUP(H4722,Listas!$J$2:$K$1048576,2,FALSE),""))</f>
        <v/>
      </c>
      <c r="K4722" s="5" t="str">
        <f>IF(OR(I4722="",G4722=""),"",IF(G4722="Saída",-I4722,I4722))</f>
        <v/>
      </c>
      <c r="L4722" t="str">
        <f>IF(E4722="","",IFERROR(VLOOKUP(E4722,Listas!$A$2:$C$1048576,3,FALSE),""))</f>
        <v/>
      </c>
    </row>
    <row r="4723" spans="10:12" x14ac:dyDescent="0.25">
      <c r="J4723" t="str">
        <f>IF(H4723="","",IFERROR(VLOOKUP(H4723,Listas!$J$2:$K$1048576,2,FALSE),""))</f>
        <v/>
      </c>
      <c r="K4723" s="5" t="str">
        <f>IF(OR(I4723="",G4723=""),"",IF(G4723="Saída",-I4723,I4723))</f>
        <v/>
      </c>
      <c r="L4723" t="str">
        <f>IF(E4723="","",IFERROR(VLOOKUP(E4723,Listas!$A$2:$C$1048576,3,FALSE),""))</f>
        <v/>
      </c>
    </row>
    <row r="4724" spans="10:12" x14ac:dyDescent="0.25">
      <c r="J4724" t="str">
        <f>IF(H4724="","",IFERROR(VLOOKUP(H4724,Listas!$J$2:$K$1048576,2,FALSE),""))</f>
        <v/>
      </c>
      <c r="K4724" s="5" t="str">
        <f>IF(OR(I4724="",G4724=""),"",IF(G4724="Saída",-I4724,I4724))</f>
        <v/>
      </c>
      <c r="L4724" t="str">
        <f>IF(E4724="","",IFERROR(VLOOKUP(E4724,Listas!$A$2:$C$1048576,3,FALSE),""))</f>
        <v/>
      </c>
    </row>
    <row r="4725" spans="10:12" x14ac:dyDescent="0.25">
      <c r="J4725" t="str">
        <f>IF(H4725="","",IFERROR(VLOOKUP(H4725,Listas!$J$2:$K$1048576,2,FALSE),""))</f>
        <v/>
      </c>
      <c r="K4725" s="5" t="str">
        <f>IF(OR(I4725="",G4725=""),"",IF(G4725="Saída",-I4725,I4725))</f>
        <v/>
      </c>
      <c r="L4725" t="str">
        <f>IF(E4725="","",IFERROR(VLOOKUP(E4725,Listas!$A$2:$C$1048576,3,FALSE),""))</f>
        <v/>
      </c>
    </row>
    <row r="4726" spans="10:12" x14ac:dyDescent="0.25">
      <c r="J4726" t="str">
        <f>IF(H4726="","",IFERROR(VLOOKUP(H4726,Listas!$J$2:$K$1048576,2,FALSE),""))</f>
        <v/>
      </c>
      <c r="K4726" s="5" t="str">
        <f>IF(OR(I4726="",G4726=""),"",IF(G4726="Saída",-I4726,I4726))</f>
        <v/>
      </c>
      <c r="L4726" t="str">
        <f>IF(E4726="","",IFERROR(VLOOKUP(E4726,Listas!$A$2:$C$1048576,3,FALSE),""))</f>
        <v/>
      </c>
    </row>
    <row r="4727" spans="10:12" x14ac:dyDescent="0.25">
      <c r="J4727" t="str">
        <f>IF(H4727="","",IFERROR(VLOOKUP(H4727,Listas!$J$2:$K$1048576,2,FALSE),""))</f>
        <v/>
      </c>
      <c r="K4727" s="5" t="str">
        <f>IF(OR(I4727="",G4727=""),"",IF(G4727="Saída",-I4727,I4727))</f>
        <v/>
      </c>
      <c r="L4727" t="str">
        <f>IF(E4727="","",IFERROR(VLOOKUP(E4727,Listas!$A$2:$C$1048576,3,FALSE),""))</f>
        <v/>
      </c>
    </row>
    <row r="4728" spans="10:12" x14ac:dyDescent="0.25">
      <c r="J4728" t="str">
        <f>IF(H4728="","",IFERROR(VLOOKUP(H4728,Listas!$J$2:$K$1048576,2,FALSE),""))</f>
        <v/>
      </c>
      <c r="K4728" s="5" t="str">
        <f>IF(OR(I4728="",G4728=""),"",IF(G4728="Saída",-I4728,I4728))</f>
        <v/>
      </c>
      <c r="L4728" t="str">
        <f>IF(E4728="","",IFERROR(VLOOKUP(E4728,Listas!$A$2:$C$1048576,3,FALSE),""))</f>
        <v/>
      </c>
    </row>
    <row r="4729" spans="10:12" x14ac:dyDescent="0.25">
      <c r="J4729" t="str">
        <f>IF(H4729="","",IFERROR(VLOOKUP(H4729,Listas!$J$2:$K$1048576,2,FALSE),""))</f>
        <v/>
      </c>
      <c r="K4729" s="5" t="str">
        <f>IF(OR(I4729="",G4729=""),"",IF(G4729="Saída",-I4729,I4729))</f>
        <v/>
      </c>
      <c r="L4729" t="str">
        <f>IF(E4729="","",IFERROR(VLOOKUP(E4729,Listas!$A$2:$C$1048576,3,FALSE),""))</f>
        <v/>
      </c>
    </row>
    <row r="4730" spans="10:12" x14ac:dyDescent="0.25">
      <c r="J4730" t="str">
        <f>IF(H4730="","",IFERROR(VLOOKUP(H4730,Listas!$J$2:$K$1048576,2,FALSE),""))</f>
        <v/>
      </c>
      <c r="K4730" s="5" t="str">
        <f>IF(OR(I4730="",G4730=""),"",IF(G4730="Saída",-I4730,I4730))</f>
        <v/>
      </c>
      <c r="L4730" t="str">
        <f>IF(E4730="","",IFERROR(VLOOKUP(E4730,Listas!$A$2:$C$1048576,3,FALSE),""))</f>
        <v/>
      </c>
    </row>
    <row r="4731" spans="10:12" x14ac:dyDescent="0.25">
      <c r="J4731" t="str">
        <f>IF(H4731="","",IFERROR(VLOOKUP(H4731,Listas!$J$2:$K$1048576,2,FALSE),""))</f>
        <v/>
      </c>
      <c r="K4731" s="5" t="str">
        <f>IF(OR(I4731="",G4731=""),"",IF(G4731="Saída",-I4731,I4731))</f>
        <v/>
      </c>
      <c r="L4731" t="str">
        <f>IF(E4731="","",IFERROR(VLOOKUP(E4731,Listas!$A$2:$C$1048576,3,FALSE),""))</f>
        <v/>
      </c>
    </row>
    <row r="4732" spans="10:12" x14ac:dyDescent="0.25">
      <c r="J4732" t="str">
        <f>IF(H4732="","",IFERROR(VLOOKUP(H4732,Listas!$J$2:$K$1048576,2,FALSE),""))</f>
        <v/>
      </c>
      <c r="K4732" s="5" t="str">
        <f>IF(OR(I4732="",G4732=""),"",IF(G4732="Saída",-I4732,I4732))</f>
        <v/>
      </c>
      <c r="L4732" t="str">
        <f>IF(E4732="","",IFERROR(VLOOKUP(E4732,Listas!$A$2:$C$1048576,3,FALSE),""))</f>
        <v/>
      </c>
    </row>
    <row r="4733" spans="10:12" x14ac:dyDescent="0.25">
      <c r="J4733" t="str">
        <f>IF(H4733="","",IFERROR(VLOOKUP(H4733,Listas!$J$2:$K$1048576,2,FALSE),""))</f>
        <v/>
      </c>
      <c r="K4733" s="5" t="str">
        <f>IF(OR(I4733="",G4733=""),"",IF(G4733="Saída",-I4733,I4733))</f>
        <v/>
      </c>
      <c r="L4733" t="str">
        <f>IF(E4733="","",IFERROR(VLOOKUP(E4733,Listas!$A$2:$C$1048576,3,FALSE),""))</f>
        <v/>
      </c>
    </row>
    <row r="4734" spans="10:12" x14ac:dyDescent="0.25">
      <c r="J4734" t="str">
        <f>IF(H4734="","",IFERROR(VLOOKUP(H4734,Listas!$J$2:$K$1048576,2,FALSE),""))</f>
        <v/>
      </c>
      <c r="K4734" s="5" t="str">
        <f>IF(OR(I4734="",G4734=""),"",IF(G4734="Saída",-I4734,I4734))</f>
        <v/>
      </c>
      <c r="L4734" t="str">
        <f>IF(E4734="","",IFERROR(VLOOKUP(E4734,Listas!$A$2:$C$1048576,3,FALSE),""))</f>
        <v/>
      </c>
    </row>
    <row r="4735" spans="10:12" x14ac:dyDescent="0.25">
      <c r="J4735" t="str">
        <f>IF(H4735="","",IFERROR(VLOOKUP(H4735,Listas!$J$2:$K$1048576,2,FALSE),""))</f>
        <v/>
      </c>
      <c r="K4735" s="5" t="str">
        <f>IF(OR(I4735="",G4735=""),"",IF(G4735="Saída",-I4735,I4735))</f>
        <v/>
      </c>
      <c r="L4735" t="str">
        <f>IF(E4735="","",IFERROR(VLOOKUP(E4735,Listas!$A$2:$C$1048576,3,FALSE),""))</f>
        <v/>
      </c>
    </row>
    <row r="4736" spans="10:12" x14ac:dyDescent="0.25">
      <c r="J4736" t="str">
        <f>IF(H4736="","",IFERROR(VLOOKUP(H4736,Listas!$J$2:$K$1048576,2,FALSE),""))</f>
        <v/>
      </c>
      <c r="K4736" s="5" t="str">
        <f>IF(OR(I4736="",G4736=""),"",IF(G4736="Saída",-I4736,I4736))</f>
        <v/>
      </c>
      <c r="L4736" t="str">
        <f>IF(E4736="","",IFERROR(VLOOKUP(E4736,Listas!$A$2:$C$1048576,3,FALSE),""))</f>
        <v/>
      </c>
    </row>
    <row r="4737" spans="10:12" x14ac:dyDescent="0.25">
      <c r="J4737" t="str">
        <f>IF(H4737="","",IFERROR(VLOOKUP(H4737,Listas!$J$2:$K$1048576,2,FALSE),""))</f>
        <v/>
      </c>
      <c r="K4737" s="5" t="str">
        <f>IF(OR(I4737="",G4737=""),"",IF(G4737="Saída",-I4737,I4737))</f>
        <v/>
      </c>
      <c r="L4737" t="str">
        <f>IF(E4737="","",IFERROR(VLOOKUP(E4737,Listas!$A$2:$C$1048576,3,FALSE),""))</f>
        <v/>
      </c>
    </row>
    <row r="4738" spans="10:12" x14ac:dyDescent="0.25">
      <c r="J4738" t="str">
        <f>IF(H4738="","",IFERROR(VLOOKUP(H4738,Listas!$J$2:$K$1048576,2,FALSE),""))</f>
        <v/>
      </c>
      <c r="K4738" s="5" t="str">
        <f>IF(OR(I4738="",G4738=""),"",IF(G4738="Saída",-I4738,I4738))</f>
        <v/>
      </c>
      <c r="L4738" t="str">
        <f>IF(E4738="","",IFERROR(VLOOKUP(E4738,Listas!$A$2:$C$1048576,3,FALSE),""))</f>
        <v/>
      </c>
    </row>
    <row r="4739" spans="10:12" x14ac:dyDescent="0.25">
      <c r="J4739" t="str">
        <f>IF(H4739="","",IFERROR(VLOOKUP(H4739,Listas!$J$2:$K$1048576,2,FALSE),""))</f>
        <v/>
      </c>
      <c r="K4739" s="5" t="str">
        <f>IF(OR(I4739="",G4739=""),"",IF(G4739="Saída",-I4739,I4739))</f>
        <v/>
      </c>
      <c r="L4739" t="str">
        <f>IF(E4739="","",IFERROR(VLOOKUP(E4739,Listas!$A$2:$C$1048576,3,FALSE),""))</f>
        <v/>
      </c>
    </row>
    <row r="4740" spans="10:12" x14ac:dyDescent="0.25">
      <c r="J4740" t="str">
        <f>IF(H4740="","",IFERROR(VLOOKUP(H4740,Listas!$J$2:$K$1048576,2,FALSE),""))</f>
        <v/>
      </c>
      <c r="K4740" s="5" t="str">
        <f>IF(OR(I4740="",G4740=""),"",IF(G4740="Saída",-I4740,I4740))</f>
        <v/>
      </c>
      <c r="L4740" t="str">
        <f>IF(E4740="","",IFERROR(VLOOKUP(E4740,Listas!$A$2:$C$1048576,3,FALSE),""))</f>
        <v/>
      </c>
    </row>
    <row r="4741" spans="10:12" x14ac:dyDescent="0.25">
      <c r="J4741" t="str">
        <f>IF(H4741="","",IFERROR(VLOOKUP(H4741,Listas!$J$2:$K$1048576,2,FALSE),""))</f>
        <v/>
      </c>
      <c r="K4741" s="5" t="str">
        <f>IF(OR(I4741="",G4741=""),"",IF(G4741="Saída",-I4741,I4741))</f>
        <v/>
      </c>
      <c r="L4741" t="str">
        <f>IF(E4741="","",IFERROR(VLOOKUP(E4741,Listas!$A$2:$C$1048576,3,FALSE),""))</f>
        <v/>
      </c>
    </row>
    <row r="4742" spans="10:12" x14ac:dyDescent="0.25">
      <c r="J4742" t="str">
        <f>IF(H4742="","",IFERROR(VLOOKUP(H4742,Listas!$J$2:$K$1048576,2,FALSE),""))</f>
        <v/>
      </c>
      <c r="K4742" s="5" t="str">
        <f>IF(OR(I4742="",G4742=""),"",IF(G4742="Saída",-I4742,I4742))</f>
        <v/>
      </c>
      <c r="L4742" t="str">
        <f>IF(E4742="","",IFERROR(VLOOKUP(E4742,Listas!$A$2:$C$1048576,3,FALSE),""))</f>
        <v/>
      </c>
    </row>
    <row r="4743" spans="10:12" x14ac:dyDescent="0.25">
      <c r="J4743" t="str">
        <f>IF(H4743="","",IFERROR(VLOOKUP(H4743,Listas!$J$2:$K$1048576,2,FALSE),""))</f>
        <v/>
      </c>
      <c r="K4743" s="5" t="str">
        <f>IF(OR(I4743="",G4743=""),"",IF(G4743="Saída",-I4743,I4743))</f>
        <v/>
      </c>
      <c r="L4743" t="str">
        <f>IF(E4743="","",IFERROR(VLOOKUP(E4743,Listas!$A$2:$C$1048576,3,FALSE),""))</f>
        <v/>
      </c>
    </row>
    <row r="4744" spans="10:12" x14ac:dyDescent="0.25">
      <c r="J4744" t="str">
        <f>IF(H4744="","",IFERROR(VLOOKUP(H4744,Listas!$J$2:$K$1048576,2,FALSE),""))</f>
        <v/>
      </c>
      <c r="K4744" s="5" t="str">
        <f>IF(OR(I4744="",G4744=""),"",IF(G4744="Saída",-I4744,I4744))</f>
        <v/>
      </c>
      <c r="L4744" t="str">
        <f>IF(E4744="","",IFERROR(VLOOKUP(E4744,Listas!$A$2:$C$1048576,3,FALSE),""))</f>
        <v/>
      </c>
    </row>
    <row r="4745" spans="10:12" x14ac:dyDescent="0.25">
      <c r="J4745" t="str">
        <f>IF(H4745="","",IFERROR(VLOOKUP(H4745,Listas!$J$2:$K$1048576,2,FALSE),""))</f>
        <v/>
      </c>
      <c r="K4745" s="5" t="str">
        <f>IF(OR(I4745="",G4745=""),"",IF(G4745="Saída",-I4745,I4745))</f>
        <v/>
      </c>
      <c r="L4745" t="str">
        <f>IF(E4745="","",IFERROR(VLOOKUP(E4745,Listas!$A$2:$C$1048576,3,FALSE),""))</f>
        <v/>
      </c>
    </row>
    <row r="4746" spans="10:12" x14ac:dyDescent="0.25">
      <c r="J4746" t="str">
        <f>IF(H4746="","",IFERROR(VLOOKUP(H4746,Listas!$J$2:$K$1048576,2,FALSE),""))</f>
        <v/>
      </c>
      <c r="K4746" s="5" t="str">
        <f>IF(OR(I4746="",G4746=""),"",IF(G4746="Saída",-I4746,I4746))</f>
        <v/>
      </c>
      <c r="L4746" t="str">
        <f>IF(E4746="","",IFERROR(VLOOKUP(E4746,Listas!$A$2:$C$1048576,3,FALSE),""))</f>
        <v/>
      </c>
    </row>
    <row r="4747" spans="10:12" x14ac:dyDescent="0.25">
      <c r="J4747" t="str">
        <f>IF(H4747="","",IFERROR(VLOOKUP(H4747,Listas!$J$2:$K$1048576,2,FALSE),""))</f>
        <v/>
      </c>
      <c r="K4747" s="5" t="str">
        <f>IF(OR(I4747="",G4747=""),"",IF(G4747="Saída",-I4747,I4747))</f>
        <v/>
      </c>
      <c r="L4747" t="str">
        <f>IF(E4747="","",IFERROR(VLOOKUP(E4747,Listas!$A$2:$C$1048576,3,FALSE),""))</f>
        <v/>
      </c>
    </row>
    <row r="4748" spans="10:12" x14ac:dyDescent="0.25">
      <c r="J4748" t="str">
        <f>IF(H4748="","",IFERROR(VLOOKUP(H4748,Listas!$J$2:$K$1048576,2,FALSE),""))</f>
        <v/>
      </c>
      <c r="K4748" s="5" t="str">
        <f>IF(OR(I4748="",G4748=""),"",IF(G4748="Saída",-I4748,I4748))</f>
        <v/>
      </c>
      <c r="L4748" t="str">
        <f>IF(E4748="","",IFERROR(VLOOKUP(E4748,Listas!$A$2:$C$1048576,3,FALSE),""))</f>
        <v/>
      </c>
    </row>
    <row r="4749" spans="10:12" x14ac:dyDescent="0.25">
      <c r="J4749" t="str">
        <f>IF(H4749="","",IFERROR(VLOOKUP(H4749,Listas!$J$2:$K$1048576,2,FALSE),""))</f>
        <v/>
      </c>
      <c r="K4749" s="5" t="str">
        <f>IF(OR(I4749="",G4749=""),"",IF(G4749="Saída",-I4749,I4749))</f>
        <v/>
      </c>
      <c r="L4749" t="str">
        <f>IF(E4749="","",IFERROR(VLOOKUP(E4749,Listas!$A$2:$C$1048576,3,FALSE),""))</f>
        <v/>
      </c>
    </row>
    <row r="4750" spans="10:12" x14ac:dyDescent="0.25">
      <c r="J4750" t="str">
        <f>IF(H4750="","",IFERROR(VLOOKUP(H4750,Listas!$J$2:$K$1048576,2,FALSE),""))</f>
        <v/>
      </c>
      <c r="K4750" s="5" t="str">
        <f>IF(OR(I4750="",G4750=""),"",IF(G4750="Saída",-I4750,I4750))</f>
        <v/>
      </c>
      <c r="L4750" t="str">
        <f>IF(E4750="","",IFERROR(VLOOKUP(E4750,Listas!$A$2:$C$1048576,3,FALSE),""))</f>
        <v/>
      </c>
    </row>
    <row r="4751" spans="10:12" x14ac:dyDescent="0.25">
      <c r="J4751" t="str">
        <f>IF(H4751="","",IFERROR(VLOOKUP(H4751,Listas!$J$2:$K$1048576,2,FALSE),""))</f>
        <v/>
      </c>
      <c r="K4751" s="5" t="str">
        <f>IF(OR(I4751="",G4751=""),"",IF(G4751="Saída",-I4751,I4751))</f>
        <v/>
      </c>
      <c r="L4751" t="str">
        <f>IF(E4751="","",IFERROR(VLOOKUP(E4751,Listas!$A$2:$C$1048576,3,FALSE),""))</f>
        <v/>
      </c>
    </row>
    <row r="4752" spans="10:12" x14ac:dyDescent="0.25">
      <c r="J4752" t="str">
        <f>IF(H4752="","",IFERROR(VLOOKUP(H4752,Listas!$J$2:$K$1048576,2,FALSE),""))</f>
        <v/>
      </c>
      <c r="K4752" s="5" t="str">
        <f>IF(OR(I4752="",G4752=""),"",IF(G4752="Saída",-I4752,I4752))</f>
        <v/>
      </c>
      <c r="L4752" t="str">
        <f>IF(E4752="","",IFERROR(VLOOKUP(E4752,Listas!$A$2:$C$1048576,3,FALSE),""))</f>
        <v/>
      </c>
    </row>
    <row r="4753" spans="10:12" x14ac:dyDescent="0.25">
      <c r="J4753" t="str">
        <f>IF(H4753="","",IFERROR(VLOOKUP(H4753,Listas!$J$2:$K$1048576,2,FALSE),""))</f>
        <v/>
      </c>
      <c r="K4753" s="5" t="str">
        <f>IF(OR(I4753="",G4753=""),"",IF(G4753="Saída",-I4753,I4753))</f>
        <v/>
      </c>
      <c r="L4753" t="str">
        <f>IF(E4753="","",IFERROR(VLOOKUP(E4753,Listas!$A$2:$C$1048576,3,FALSE),""))</f>
        <v/>
      </c>
    </row>
    <row r="4754" spans="10:12" x14ac:dyDescent="0.25">
      <c r="J4754" t="str">
        <f>IF(H4754="","",IFERROR(VLOOKUP(H4754,Listas!$J$2:$K$1048576,2,FALSE),""))</f>
        <v/>
      </c>
      <c r="K4754" s="5" t="str">
        <f>IF(OR(I4754="",G4754=""),"",IF(G4754="Saída",-I4754,I4754))</f>
        <v/>
      </c>
      <c r="L4754" t="str">
        <f>IF(E4754="","",IFERROR(VLOOKUP(E4754,Listas!$A$2:$C$1048576,3,FALSE),""))</f>
        <v/>
      </c>
    </row>
    <row r="4755" spans="10:12" x14ac:dyDescent="0.25">
      <c r="J4755" t="str">
        <f>IF(H4755="","",IFERROR(VLOOKUP(H4755,Listas!$J$2:$K$1048576,2,FALSE),""))</f>
        <v/>
      </c>
      <c r="K4755" s="5" t="str">
        <f>IF(OR(I4755="",G4755=""),"",IF(G4755="Saída",-I4755,I4755))</f>
        <v/>
      </c>
      <c r="L4755" t="str">
        <f>IF(E4755="","",IFERROR(VLOOKUP(E4755,Listas!$A$2:$C$1048576,3,FALSE),""))</f>
        <v/>
      </c>
    </row>
    <row r="4756" spans="10:12" x14ac:dyDescent="0.25">
      <c r="J4756" t="str">
        <f>IF(H4756="","",IFERROR(VLOOKUP(H4756,Listas!$J$2:$K$1048576,2,FALSE),""))</f>
        <v/>
      </c>
      <c r="K4756" s="5" t="str">
        <f>IF(OR(I4756="",G4756=""),"",IF(G4756="Saída",-I4756,I4756))</f>
        <v/>
      </c>
      <c r="L4756" t="str">
        <f>IF(E4756="","",IFERROR(VLOOKUP(E4756,Listas!$A$2:$C$1048576,3,FALSE),""))</f>
        <v/>
      </c>
    </row>
    <row r="4757" spans="10:12" x14ac:dyDescent="0.25">
      <c r="J4757" t="str">
        <f>IF(H4757="","",IFERROR(VLOOKUP(H4757,Listas!$J$2:$K$1048576,2,FALSE),""))</f>
        <v/>
      </c>
      <c r="K4757" s="5" t="str">
        <f>IF(OR(I4757="",G4757=""),"",IF(G4757="Saída",-I4757,I4757))</f>
        <v/>
      </c>
      <c r="L4757" t="str">
        <f>IF(E4757="","",IFERROR(VLOOKUP(E4757,Listas!$A$2:$C$1048576,3,FALSE),""))</f>
        <v/>
      </c>
    </row>
    <row r="4758" spans="10:12" x14ac:dyDescent="0.25">
      <c r="J4758" t="str">
        <f>IF(H4758="","",IFERROR(VLOOKUP(H4758,Listas!$J$2:$K$1048576,2,FALSE),""))</f>
        <v/>
      </c>
      <c r="K4758" s="5" t="str">
        <f>IF(OR(I4758="",G4758=""),"",IF(G4758="Saída",-I4758,I4758))</f>
        <v/>
      </c>
      <c r="L4758" t="str">
        <f>IF(E4758="","",IFERROR(VLOOKUP(E4758,Listas!$A$2:$C$1048576,3,FALSE),""))</f>
        <v/>
      </c>
    </row>
    <row r="4759" spans="10:12" x14ac:dyDescent="0.25">
      <c r="J4759" t="str">
        <f>IF(H4759="","",IFERROR(VLOOKUP(H4759,Listas!$J$2:$K$1048576,2,FALSE),""))</f>
        <v/>
      </c>
      <c r="K4759" s="5" t="str">
        <f>IF(OR(I4759="",G4759=""),"",IF(G4759="Saída",-I4759,I4759))</f>
        <v/>
      </c>
      <c r="L4759" t="str">
        <f>IF(E4759="","",IFERROR(VLOOKUP(E4759,Listas!$A$2:$C$1048576,3,FALSE),""))</f>
        <v/>
      </c>
    </row>
    <row r="4760" spans="10:12" x14ac:dyDescent="0.25">
      <c r="J4760" t="str">
        <f>IF(H4760="","",IFERROR(VLOOKUP(H4760,Listas!$J$2:$K$1048576,2,FALSE),""))</f>
        <v/>
      </c>
      <c r="K4760" s="5" t="str">
        <f>IF(OR(I4760="",G4760=""),"",IF(G4760="Saída",-I4760,I4760))</f>
        <v/>
      </c>
      <c r="L4760" t="str">
        <f>IF(E4760="","",IFERROR(VLOOKUP(E4760,Listas!$A$2:$C$1048576,3,FALSE),""))</f>
        <v/>
      </c>
    </row>
    <row r="4761" spans="10:12" x14ac:dyDescent="0.25">
      <c r="J4761" t="str">
        <f>IF(H4761="","",IFERROR(VLOOKUP(H4761,Listas!$J$2:$K$1048576,2,FALSE),""))</f>
        <v/>
      </c>
      <c r="K4761" s="5" t="str">
        <f>IF(OR(I4761="",G4761=""),"",IF(G4761="Saída",-I4761,I4761))</f>
        <v/>
      </c>
      <c r="L4761" t="str">
        <f>IF(E4761="","",IFERROR(VLOOKUP(E4761,Listas!$A$2:$C$1048576,3,FALSE),""))</f>
        <v/>
      </c>
    </row>
    <row r="4762" spans="10:12" x14ac:dyDescent="0.25">
      <c r="J4762" t="str">
        <f>IF(H4762="","",IFERROR(VLOOKUP(H4762,Listas!$J$2:$K$1048576,2,FALSE),""))</f>
        <v/>
      </c>
      <c r="K4762" s="5" t="str">
        <f>IF(OR(I4762="",G4762=""),"",IF(G4762="Saída",-I4762,I4762))</f>
        <v/>
      </c>
      <c r="L4762" t="str">
        <f>IF(E4762="","",IFERROR(VLOOKUP(E4762,Listas!$A$2:$C$1048576,3,FALSE),""))</f>
        <v/>
      </c>
    </row>
    <row r="4763" spans="10:12" x14ac:dyDescent="0.25">
      <c r="J4763" t="str">
        <f>IF(H4763="","",IFERROR(VLOOKUP(H4763,Listas!$J$2:$K$1048576,2,FALSE),""))</f>
        <v/>
      </c>
      <c r="K4763" s="5" t="str">
        <f>IF(OR(I4763="",G4763=""),"",IF(G4763="Saída",-I4763,I4763))</f>
        <v/>
      </c>
      <c r="L4763" t="str">
        <f>IF(E4763="","",IFERROR(VLOOKUP(E4763,Listas!$A$2:$C$1048576,3,FALSE),""))</f>
        <v/>
      </c>
    </row>
    <row r="4764" spans="10:12" x14ac:dyDescent="0.25">
      <c r="J4764" t="str">
        <f>IF(H4764="","",IFERROR(VLOOKUP(H4764,Listas!$J$2:$K$1048576,2,FALSE),""))</f>
        <v/>
      </c>
      <c r="K4764" s="5" t="str">
        <f>IF(OR(I4764="",G4764=""),"",IF(G4764="Saída",-I4764,I4764))</f>
        <v/>
      </c>
      <c r="L4764" t="str">
        <f>IF(E4764="","",IFERROR(VLOOKUP(E4764,Listas!$A$2:$C$1048576,3,FALSE),""))</f>
        <v/>
      </c>
    </row>
    <row r="4765" spans="10:12" x14ac:dyDescent="0.25">
      <c r="J4765" t="str">
        <f>IF(H4765="","",IFERROR(VLOOKUP(H4765,Listas!$J$2:$K$1048576,2,FALSE),""))</f>
        <v/>
      </c>
      <c r="K4765" s="5" t="str">
        <f>IF(OR(I4765="",G4765=""),"",IF(G4765="Saída",-I4765,I4765))</f>
        <v/>
      </c>
      <c r="L4765" t="str">
        <f>IF(E4765="","",IFERROR(VLOOKUP(E4765,Listas!$A$2:$C$1048576,3,FALSE),""))</f>
        <v/>
      </c>
    </row>
    <row r="4766" spans="10:12" x14ac:dyDescent="0.25">
      <c r="J4766" t="str">
        <f>IF(H4766="","",IFERROR(VLOOKUP(H4766,Listas!$J$2:$K$1048576,2,FALSE),""))</f>
        <v/>
      </c>
      <c r="K4766" s="5" t="str">
        <f>IF(OR(I4766="",G4766=""),"",IF(G4766="Saída",-I4766,I4766))</f>
        <v/>
      </c>
      <c r="L4766" t="str">
        <f>IF(E4766="","",IFERROR(VLOOKUP(E4766,Listas!$A$2:$C$1048576,3,FALSE),""))</f>
        <v/>
      </c>
    </row>
    <row r="4767" spans="10:12" x14ac:dyDescent="0.25">
      <c r="J4767" t="str">
        <f>IF(H4767="","",IFERROR(VLOOKUP(H4767,Listas!$J$2:$K$1048576,2,FALSE),""))</f>
        <v/>
      </c>
      <c r="K4767" s="5" t="str">
        <f>IF(OR(I4767="",G4767=""),"",IF(G4767="Saída",-I4767,I4767))</f>
        <v/>
      </c>
      <c r="L4767" t="str">
        <f>IF(E4767="","",IFERROR(VLOOKUP(E4767,Listas!$A$2:$C$1048576,3,FALSE),""))</f>
        <v/>
      </c>
    </row>
    <row r="4768" spans="10:12" x14ac:dyDescent="0.25">
      <c r="J4768" t="str">
        <f>IF(H4768="","",IFERROR(VLOOKUP(H4768,Listas!$J$2:$K$1048576,2,FALSE),""))</f>
        <v/>
      </c>
      <c r="K4768" s="5" t="str">
        <f>IF(OR(I4768="",G4768=""),"",IF(G4768="Saída",-I4768,I4768))</f>
        <v/>
      </c>
      <c r="L4768" t="str">
        <f>IF(E4768="","",IFERROR(VLOOKUP(E4768,Listas!$A$2:$C$1048576,3,FALSE),""))</f>
        <v/>
      </c>
    </row>
    <row r="4769" spans="10:12" x14ac:dyDescent="0.25">
      <c r="J4769" t="str">
        <f>IF(H4769="","",IFERROR(VLOOKUP(H4769,Listas!$J$2:$K$1048576,2,FALSE),""))</f>
        <v/>
      </c>
      <c r="K4769" s="5" t="str">
        <f>IF(OR(I4769="",G4769=""),"",IF(G4769="Saída",-I4769,I4769))</f>
        <v/>
      </c>
      <c r="L4769" t="str">
        <f>IF(E4769="","",IFERROR(VLOOKUP(E4769,Listas!$A$2:$C$1048576,3,FALSE),""))</f>
        <v/>
      </c>
    </row>
    <row r="4770" spans="10:12" x14ac:dyDescent="0.25">
      <c r="J4770" t="str">
        <f>IF(H4770="","",IFERROR(VLOOKUP(H4770,Listas!$J$2:$K$1048576,2,FALSE),""))</f>
        <v/>
      </c>
      <c r="K4770" s="5" t="str">
        <f>IF(OR(I4770="",G4770=""),"",IF(G4770="Saída",-I4770,I4770))</f>
        <v/>
      </c>
      <c r="L4770" t="str">
        <f>IF(E4770="","",IFERROR(VLOOKUP(E4770,Listas!$A$2:$C$1048576,3,FALSE),""))</f>
        <v/>
      </c>
    </row>
    <row r="4771" spans="10:12" x14ac:dyDescent="0.25">
      <c r="J4771" t="str">
        <f>IF(H4771="","",IFERROR(VLOOKUP(H4771,Listas!$J$2:$K$1048576,2,FALSE),""))</f>
        <v/>
      </c>
      <c r="K4771" s="5" t="str">
        <f>IF(OR(I4771="",G4771=""),"",IF(G4771="Saída",-I4771,I4771))</f>
        <v/>
      </c>
      <c r="L4771" t="str">
        <f>IF(E4771="","",IFERROR(VLOOKUP(E4771,Listas!$A$2:$C$1048576,3,FALSE),""))</f>
        <v/>
      </c>
    </row>
    <row r="4772" spans="10:12" x14ac:dyDescent="0.25">
      <c r="J4772" t="str">
        <f>IF(H4772="","",IFERROR(VLOOKUP(H4772,Listas!$J$2:$K$1048576,2,FALSE),""))</f>
        <v/>
      </c>
      <c r="K4772" s="5" t="str">
        <f>IF(OR(I4772="",G4772=""),"",IF(G4772="Saída",-I4772,I4772))</f>
        <v/>
      </c>
      <c r="L4772" t="str">
        <f>IF(E4772="","",IFERROR(VLOOKUP(E4772,Listas!$A$2:$C$1048576,3,FALSE),""))</f>
        <v/>
      </c>
    </row>
    <row r="4773" spans="10:12" x14ac:dyDescent="0.25">
      <c r="J4773" t="str">
        <f>IF(H4773="","",IFERROR(VLOOKUP(H4773,Listas!$J$2:$K$1048576,2,FALSE),""))</f>
        <v/>
      </c>
      <c r="K4773" s="5" t="str">
        <f>IF(OR(I4773="",G4773=""),"",IF(G4773="Saída",-I4773,I4773))</f>
        <v/>
      </c>
      <c r="L4773" t="str">
        <f>IF(E4773="","",IFERROR(VLOOKUP(E4773,Listas!$A$2:$C$1048576,3,FALSE),""))</f>
        <v/>
      </c>
    </row>
    <row r="4774" spans="10:12" x14ac:dyDescent="0.25">
      <c r="J4774" t="str">
        <f>IF(H4774="","",IFERROR(VLOOKUP(H4774,Listas!$J$2:$K$1048576,2,FALSE),""))</f>
        <v/>
      </c>
      <c r="K4774" s="5" t="str">
        <f>IF(OR(I4774="",G4774=""),"",IF(G4774="Saída",-I4774,I4774))</f>
        <v/>
      </c>
      <c r="L4774" t="str">
        <f>IF(E4774="","",IFERROR(VLOOKUP(E4774,Listas!$A$2:$C$1048576,3,FALSE),""))</f>
        <v/>
      </c>
    </row>
    <row r="4775" spans="10:12" x14ac:dyDescent="0.25">
      <c r="J4775" t="str">
        <f>IF(H4775="","",IFERROR(VLOOKUP(H4775,Listas!$J$2:$K$1048576,2,FALSE),""))</f>
        <v/>
      </c>
      <c r="K4775" s="5" t="str">
        <f>IF(OR(I4775="",G4775=""),"",IF(G4775="Saída",-I4775,I4775))</f>
        <v/>
      </c>
      <c r="L4775" t="str">
        <f>IF(E4775="","",IFERROR(VLOOKUP(E4775,Listas!$A$2:$C$1048576,3,FALSE),""))</f>
        <v/>
      </c>
    </row>
    <row r="4776" spans="10:12" x14ac:dyDescent="0.25">
      <c r="J4776" t="str">
        <f>IF(H4776="","",IFERROR(VLOOKUP(H4776,Listas!$J$2:$K$1048576,2,FALSE),""))</f>
        <v/>
      </c>
      <c r="K4776" s="5" t="str">
        <f>IF(OR(I4776="",G4776=""),"",IF(G4776="Saída",-I4776,I4776))</f>
        <v/>
      </c>
      <c r="L4776" t="str">
        <f>IF(E4776="","",IFERROR(VLOOKUP(E4776,Listas!$A$2:$C$1048576,3,FALSE),""))</f>
        <v/>
      </c>
    </row>
    <row r="4777" spans="10:12" x14ac:dyDescent="0.25">
      <c r="J4777" t="str">
        <f>IF(H4777="","",IFERROR(VLOOKUP(H4777,Listas!$J$2:$K$1048576,2,FALSE),""))</f>
        <v/>
      </c>
      <c r="K4777" s="5" t="str">
        <f>IF(OR(I4777="",G4777=""),"",IF(G4777="Saída",-I4777,I4777))</f>
        <v/>
      </c>
      <c r="L4777" t="str">
        <f>IF(E4777="","",IFERROR(VLOOKUP(E4777,Listas!$A$2:$C$1048576,3,FALSE),""))</f>
        <v/>
      </c>
    </row>
    <row r="4778" spans="10:12" x14ac:dyDescent="0.25">
      <c r="J4778" t="str">
        <f>IF(H4778="","",IFERROR(VLOOKUP(H4778,Listas!$J$2:$K$1048576,2,FALSE),""))</f>
        <v/>
      </c>
      <c r="K4778" s="5" t="str">
        <f>IF(OR(I4778="",G4778=""),"",IF(G4778="Saída",-I4778,I4778))</f>
        <v/>
      </c>
      <c r="L4778" t="str">
        <f>IF(E4778="","",IFERROR(VLOOKUP(E4778,Listas!$A$2:$C$1048576,3,FALSE),""))</f>
        <v/>
      </c>
    </row>
    <row r="4779" spans="10:12" x14ac:dyDescent="0.25">
      <c r="J4779" t="str">
        <f>IF(H4779="","",IFERROR(VLOOKUP(H4779,Listas!$J$2:$K$1048576,2,FALSE),""))</f>
        <v/>
      </c>
      <c r="K4779" s="5" t="str">
        <f>IF(OR(I4779="",G4779=""),"",IF(G4779="Saída",-I4779,I4779))</f>
        <v/>
      </c>
      <c r="L4779" t="str">
        <f>IF(E4779="","",IFERROR(VLOOKUP(E4779,Listas!$A$2:$C$1048576,3,FALSE),""))</f>
        <v/>
      </c>
    </row>
    <row r="4780" spans="10:12" x14ac:dyDescent="0.25">
      <c r="J4780" t="str">
        <f>IF(H4780="","",IFERROR(VLOOKUP(H4780,Listas!$J$2:$K$1048576,2,FALSE),""))</f>
        <v/>
      </c>
      <c r="K4780" s="5" t="str">
        <f>IF(OR(I4780="",G4780=""),"",IF(G4780="Saída",-I4780,I4780))</f>
        <v/>
      </c>
      <c r="L4780" t="str">
        <f>IF(E4780="","",IFERROR(VLOOKUP(E4780,Listas!$A$2:$C$1048576,3,FALSE),""))</f>
        <v/>
      </c>
    </row>
    <row r="4781" spans="10:12" x14ac:dyDescent="0.25">
      <c r="J4781" t="str">
        <f>IF(H4781="","",IFERROR(VLOOKUP(H4781,Listas!$J$2:$K$1048576,2,FALSE),""))</f>
        <v/>
      </c>
      <c r="K4781" s="5" t="str">
        <f>IF(OR(I4781="",G4781=""),"",IF(G4781="Saída",-I4781,I4781))</f>
        <v/>
      </c>
      <c r="L4781" t="str">
        <f>IF(E4781="","",IFERROR(VLOOKUP(E4781,Listas!$A$2:$C$1048576,3,FALSE),""))</f>
        <v/>
      </c>
    </row>
    <row r="4782" spans="10:12" x14ac:dyDescent="0.25">
      <c r="J4782" t="str">
        <f>IF(H4782="","",IFERROR(VLOOKUP(H4782,Listas!$J$2:$K$1048576,2,FALSE),""))</f>
        <v/>
      </c>
      <c r="K4782" s="5" t="str">
        <f>IF(OR(I4782="",G4782=""),"",IF(G4782="Saída",-I4782,I4782))</f>
        <v/>
      </c>
      <c r="L4782" t="str">
        <f>IF(E4782="","",IFERROR(VLOOKUP(E4782,Listas!$A$2:$C$1048576,3,FALSE),""))</f>
        <v/>
      </c>
    </row>
    <row r="4783" spans="10:12" x14ac:dyDescent="0.25">
      <c r="J4783" t="str">
        <f>IF(H4783="","",IFERROR(VLOOKUP(H4783,Listas!$J$2:$K$1048576,2,FALSE),""))</f>
        <v/>
      </c>
      <c r="K4783" s="5" t="str">
        <f>IF(OR(I4783="",G4783=""),"",IF(G4783="Saída",-I4783,I4783))</f>
        <v/>
      </c>
      <c r="L4783" t="str">
        <f>IF(E4783="","",IFERROR(VLOOKUP(E4783,Listas!$A$2:$C$1048576,3,FALSE),""))</f>
        <v/>
      </c>
    </row>
    <row r="4784" spans="10:12" x14ac:dyDescent="0.25">
      <c r="J4784" t="str">
        <f>IF(H4784="","",IFERROR(VLOOKUP(H4784,Listas!$J$2:$K$1048576,2,FALSE),""))</f>
        <v/>
      </c>
      <c r="K4784" s="5" t="str">
        <f>IF(OR(I4784="",G4784=""),"",IF(G4784="Saída",-I4784,I4784))</f>
        <v/>
      </c>
      <c r="L4784" t="str">
        <f>IF(E4784="","",IFERROR(VLOOKUP(E4784,Listas!$A$2:$C$1048576,3,FALSE),""))</f>
        <v/>
      </c>
    </row>
    <row r="4785" spans="10:12" x14ac:dyDescent="0.25">
      <c r="J4785" t="str">
        <f>IF(H4785="","",IFERROR(VLOOKUP(H4785,Listas!$J$2:$K$1048576,2,FALSE),""))</f>
        <v/>
      </c>
      <c r="K4785" s="5" t="str">
        <f>IF(OR(I4785="",G4785=""),"",IF(G4785="Saída",-I4785,I4785))</f>
        <v/>
      </c>
      <c r="L4785" t="str">
        <f>IF(E4785="","",IFERROR(VLOOKUP(E4785,Listas!$A$2:$C$1048576,3,FALSE),""))</f>
        <v/>
      </c>
    </row>
    <row r="4786" spans="10:12" x14ac:dyDescent="0.25">
      <c r="J4786" t="str">
        <f>IF(H4786="","",IFERROR(VLOOKUP(H4786,Listas!$J$2:$K$1048576,2,FALSE),""))</f>
        <v/>
      </c>
      <c r="K4786" s="5" t="str">
        <f>IF(OR(I4786="",G4786=""),"",IF(G4786="Saída",-I4786,I4786))</f>
        <v/>
      </c>
      <c r="L4786" t="str">
        <f>IF(E4786="","",IFERROR(VLOOKUP(E4786,Listas!$A$2:$C$1048576,3,FALSE),""))</f>
        <v/>
      </c>
    </row>
    <row r="4787" spans="10:12" x14ac:dyDescent="0.25">
      <c r="J4787" t="str">
        <f>IF(H4787="","",IFERROR(VLOOKUP(H4787,Listas!$J$2:$K$1048576,2,FALSE),""))</f>
        <v/>
      </c>
      <c r="K4787" s="5" t="str">
        <f>IF(OR(I4787="",G4787=""),"",IF(G4787="Saída",-I4787,I4787))</f>
        <v/>
      </c>
      <c r="L4787" t="str">
        <f>IF(E4787="","",IFERROR(VLOOKUP(E4787,Listas!$A$2:$C$1048576,3,FALSE),""))</f>
        <v/>
      </c>
    </row>
    <row r="4788" spans="10:12" x14ac:dyDescent="0.25">
      <c r="J4788" t="str">
        <f>IF(H4788="","",IFERROR(VLOOKUP(H4788,Listas!$J$2:$K$1048576,2,FALSE),""))</f>
        <v/>
      </c>
      <c r="K4788" s="5" t="str">
        <f>IF(OR(I4788="",G4788=""),"",IF(G4788="Saída",-I4788,I4788))</f>
        <v/>
      </c>
      <c r="L4788" t="str">
        <f>IF(E4788="","",IFERROR(VLOOKUP(E4788,Listas!$A$2:$C$1048576,3,FALSE),""))</f>
        <v/>
      </c>
    </row>
    <row r="4789" spans="10:12" x14ac:dyDescent="0.25">
      <c r="J4789" t="str">
        <f>IF(H4789="","",IFERROR(VLOOKUP(H4789,Listas!$J$2:$K$1048576,2,FALSE),""))</f>
        <v/>
      </c>
      <c r="K4789" s="5" t="str">
        <f>IF(OR(I4789="",G4789=""),"",IF(G4789="Saída",-I4789,I4789))</f>
        <v/>
      </c>
      <c r="L4789" t="str">
        <f>IF(E4789="","",IFERROR(VLOOKUP(E4789,Listas!$A$2:$C$1048576,3,FALSE),""))</f>
        <v/>
      </c>
    </row>
    <row r="4790" spans="10:12" x14ac:dyDescent="0.25">
      <c r="J4790" t="str">
        <f>IF(H4790="","",IFERROR(VLOOKUP(H4790,Listas!$J$2:$K$1048576,2,FALSE),""))</f>
        <v/>
      </c>
      <c r="K4790" s="5" t="str">
        <f>IF(OR(I4790="",G4790=""),"",IF(G4790="Saída",-I4790,I4790))</f>
        <v/>
      </c>
      <c r="L4790" t="str">
        <f>IF(E4790="","",IFERROR(VLOOKUP(E4790,Listas!$A$2:$C$1048576,3,FALSE),""))</f>
        <v/>
      </c>
    </row>
    <row r="4791" spans="10:12" x14ac:dyDescent="0.25">
      <c r="J4791" t="str">
        <f>IF(H4791="","",IFERROR(VLOOKUP(H4791,Listas!$J$2:$K$1048576,2,FALSE),""))</f>
        <v/>
      </c>
      <c r="K4791" s="5" t="str">
        <f>IF(OR(I4791="",G4791=""),"",IF(G4791="Saída",-I4791,I4791))</f>
        <v/>
      </c>
      <c r="L4791" t="str">
        <f>IF(E4791="","",IFERROR(VLOOKUP(E4791,Listas!$A$2:$C$1048576,3,FALSE),""))</f>
        <v/>
      </c>
    </row>
    <row r="4792" spans="10:12" x14ac:dyDescent="0.25">
      <c r="J4792" t="str">
        <f>IF(H4792="","",IFERROR(VLOOKUP(H4792,Listas!$J$2:$K$1048576,2,FALSE),""))</f>
        <v/>
      </c>
      <c r="K4792" s="5" t="str">
        <f>IF(OR(I4792="",G4792=""),"",IF(G4792="Saída",-I4792,I4792))</f>
        <v/>
      </c>
      <c r="L4792" t="str">
        <f>IF(E4792="","",IFERROR(VLOOKUP(E4792,Listas!$A$2:$C$1048576,3,FALSE),""))</f>
        <v/>
      </c>
    </row>
    <row r="4793" spans="10:12" x14ac:dyDescent="0.25">
      <c r="J4793" t="str">
        <f>IF(H4793="","",IFERROR(VLOOKUP(H4793,Listas!$J$2:$K$1048576,2,FALSE),""))</f>
        <v/>
      </c>
      <c r="K4793" s="5" t="str">
        <f>IF(OR(I4793="",G4793=""),"",IF(G4793="Saída",-I4793,I4793))</f>
        <v/>
      </c>
      <c r="L4793" t="str">
        <f>IF(E4793="","",IFERROR(VLOOKUP(E4793,Listas!$A$2:$C$1048576,3,FALSE),""))</f>
        <v/>
      </c>
    </row>
    <row r="4794" spans="10:12" x14ac:dyDescent="0.25">
      <c r="J4794" t="str">
        <f>IF(H4794="","",IFERROR(VLOOKUP(H4794,Listas!$J$2:$K$1048576,2,FALSE),""))</f>
        <v/>
      </c>
      <c r="K4794" s="5" t="str">
        <f>IF(OR(I4794="",G4794=""),"",IF(G4794="Saída",-I4794,I4794))</f>
        <v/>
      </c>
      <c r="L4794" t="str">
        <f>IF(E4794="","",IFERROR(VLOOKUP(E4794,Listas!$A$2:$C$1048576,3,FALSE),""))</f>
        <v/>
      </c>
    </row>
    <row r="4795" spans="10:12" x14ac:dyDescent="0.25">
      <c r="J4795" t="str">
        <f>IF(H4795="","",IFERROR(VLOOKUP(H4795,Listas!$J$2:$K$1048576,2,FALSE),""))</f>
        <v/>
      </c>
      <c r="K4795" s="5" t="str">
        <f>IF(OR(I4795="",G4795=""),"",IF(G4795="Saída",-I4795,I4795))</f>
        <v/>
      </c>
      <c r="L4795" t="str">
        <f>IF(E4795="","",IFERROR(VLOOKUP(E4795,Listas!$A$2:$C$1048576,3,FALSE),""))</f>
        <v/>
      </c>
    </row>
    <row r="4796" spans="10:12" x14ac:dyDescent="0.25">
      <c r="J4796" t="str">
        <f>IF(H4796="","",IFERROR(VLOOKUP(H4796,Listas!$J$2:$K$1048576,2,FALSE),""))</f>
        <v/>
      </c>
      <c r="K4796" s="5" t="str">
        <f>IF(OR(I4796="",G4796=""),"",IF(G4796="Saída",-I4796,I4796))</f>
        <v/>
      </c>
      <c r="L4796" t="str">
        <f>IF(E4796="","",IFERROR(VLOOKUP(E4796,Listas!$A$2:$C$1048576,3,FALSE),""))</f>
        <v/>
      </c>
    </row>
    <row r="4797" spans="10:12" x14ac:dyDescent="0.25">
      <c r="J4797" t="str">
        <f>IF(H4797="","",IFERROR(VLOOKUP(H4797,Listas!$J$2:$K$1048576,2,FALSE),""))</f>
        <v/>
      </c>
      <c r="K4797" s="5" t="str">
        <f>IF(OR(I4797="",G4797=""),"",IF(G4797="Saída",-I4797,I4797))</f>
        <v/>
      </c>
      <c r="L4797" t="str">
        <f>IF(E4797="","",IFERROR(VLOOKUP(E4797,Listas!$A$2:$C$1048576,3,FALSE),""))</f>
        <v/>
      </c>
    </row>
    <row r="4798" spans="10:12" x14ac:dyDescent="0.25">
      <c r="J4798" t="str">
        <f>IF(H4798="","",IFERROR(VLOOKUP(H4798,Listas!$J$2:$K$1048576,2,FALSE),""))</f>
        <v/>
      </c>
      <c r="K4798" s="5" t="str">
        <f>IF(OR(I4798="",G4798=""),"",IF(G4798="Saída",-I4798,I4798))</f>
        <v/>
      </c>
      <c r="L4798" t="str">
        <f>IF(E4798="","",IFERROR(VLOOKUP(E4798,Listas!$A$2:$C$1048576,3,FALSE),""))</f>
        <v/>
      </c>
    </row>
    <row r="4799" spans="10:12" x14ac:dyDescent="0.25">
      <c r="J4799" t="str">
        <f>IF(H4799="","",IFERROR(VLOOKUP(H4799,Listas!$J$2:$K$1048576,2,FALSE),""))</f>
        <v/>
      </c>
      <c r="K4799" s="5" t="str">
        <f>IF(OR(I4799="",G4799=""),"",IF(G4799="Saída",-I4799,I4799))</f>
        <v/>
      </c>
      <c r="L4799" t="str">
        <f>IF(E4799="","",IFERROR(VLOOKUP(E4799,Listas!$A$2:$C$1048576,3,FALSE),""))</f>
        <v/>
      </c>
    </row>
    <row r="4800" spans="10:12" x14ac:dyDescent="0.25">
      <c r="J4800" t="str">
        <f>IF(H4800="","",IFERROR(VLOOKUP(H4800,Listas!$J$2:$K$1048576,2,FALSE),""))</f>
        <v/>
      </c>
      <c r="K4800" s="5" t="str">
        <f>IF(OR(I4800="",G4800=""),"",IF(G4800="Saída",-I4800,I4800))</f>
        <v/>
      </c>
      <c r="L4800" t="str">
        <f>IF(E4800="","",IFERROR(VLOOKUP(E4800,Listas!$A$2:$C$1048576,3,FALSE),""))</f>
        <v/>
      </c>
    </row>
    <row r="4801" spans="10:12" x14ac:dyDescent="0.25">
      <c r="J4801" t="str">
        <f>IF(H4801="","",IFERROR(VLOOKUP(H4801,Listas!$J$2:$K$1048576,2,FALSE),""))</f>
        <v/>
      </c>
      <c r="K4801" s="5" t="str">
        <f>IF(OR(I4801="",G4801=""),"",IF(G4801="Saída",-I4801,I4801))</f>
        <v/>
      </c>
      <c r="L4801" t="str">
        <f>IF(E4801="","",IFERROR(VLOOKUP(E4801,Listas!$A$2:$C$1048576,3,FALSE),""))</f>
        <v/>
      </c>
    </row>
    <row r="4802" spans="10:12" x14ac:dyDescent="0.25">
      <c r="J4802" t="str">
        <f>IF(H4802="","",IFERROR(VLOOKUP(H4802,Listas!$J$2:$K$1048576,2,FALSE),""))</f>
        <v/>
      </c>
      <c r="K4802" s="5" t="str">
        <f>IF(OR(I4802="",G4802=""),"",IF(G4802="Saída",-I4802,I4802))</f>
        <v/>
      </c>
      <c r="L4802" t="str">
        <f>IF(E4802="","",IFERROR(VLOOKUP(E4802,Listas!$A$2:$C$1048576,3,FALSE),""))</f>
        <v/>
      </c>
    </row>
    <row r="4803" spans="10:12" x14ac:dyDescent="0.25">
      <c r="J4803" t="str">
        <f>IF(H4803="","",IFERROR(VLOOKUP(H4803,Listas!$J$2:$K$1048576,2,FALSE),""))</f>
        <v/>
      </c>
      <c r="K4803" s="5" t="str">
        <f>IF(OR(I4803="",G4803=""),"",IF(G4803="Saída",-I4803,I4803))</f>
        <v/>
      </c>
      <c r="L4803" t="str">
        <f>IF(E4803="","",IFERROR(VLOOKUP(E4803,Listas!$A$2:$C$1048576,3,FALSE),""))</f>
        <v/>
      </c>
    </row>
    <row r="4804" spans="10:12" x14ac:dyDescent="0.25">
      <c r="J4804" t="str">
        <f>IF(H4804="","",IFERROR(VLOOKUP(H4804,Listas!$J$2:$K$1048576,2,FALSE),""))</f>
        <v/>
      </c>
      <c r="K4804" s="5" t="str">
        <f>IF(OR(I4804="",G4804=""),"",IF(G4804="Saída",-I4804,I4804))</f>
        <v/>
      </c>
      <c r="L4804" t="str">
        <f>IF(E4804="","",IFERROR(VLOOKUP(E4804,Listas!$A$2:$C$1048576,3,FALSE),""))</f>
        <v/>
      </c>
    </row>
    <row r="4805" spans="10:12" x14ac:dyDescent="0.25">
      <c r="J4805" t="str">
        <f>IF(H4805="","",IFERROR(VLOOKUP(H4805,Listas!$J$2:$K$1048576,2,FALSE),""))</f>
        <v/>
      </c>
      <c r="K4805" s="5" t="str">
        <f>IF(OR(I4805="",G4805=""),"",IF(G4805="Saída",-I4805,I4805))</f>
        <v/>
      </c>
      <c r="L4805" t="str">
        <f>IF(E4805="","",IFERROR(VLOOKUP(E4805,Listas!$A$2:$C$1048576,3,FALSE),""))</f>
        <v/>
      </c>
    </row>
    <row r="4806" spans="10:12" x14ac:dyDescent="0.25">
      <c r="J4806" t="str">
        <f>IF(H4806="","",IFERROR(VLOOKUP(H4806,Listas!$J$2:$K$1048576,2,FALSE),""))</f>
        <v/>
      </c>
      <c r="K4806" s="5" t="str">
        <f>IF(OR(I4806="",G4806=""),"",IF(G4806="Saída",-I4806,I4806))</f>
        <v/>
      </c>
      <c r="L4806" t="str">
        <f>IF(E4806="","",IFERROR(VLOOKUP(E4806,Listas!$A$2:$C$1048576,3,FALSE),""))</f>
        <v/>
      </c>
    </row>
    <row r="4807" spans="10:12" x14ac:dyDescent="0.25">
      <c r="J4807" t="str">
        <f>IF(H4807="","",IFERROR(VLOOKUP(H4807,Listas!$J$2:$K$1048576,2,FALSE),""))</f>
        <v/>
      </c>
      <c r="K4807" s="5" t="str">
        <f>IF(OR(I4807="",G4807=""),"",IF(G4807="Saída",-I4807,I4807))</f>
        <v/>
      </c>
      <c r="L4807" t="str">
        <f>IF(E4807="","",IFERROR(VLOOKUP(E4807,Listas!$A$2:$C$1048576,3,FALSE),""))</f>
        <v/>
      </c>
    </row>
    <row r="4808" spans="10:12" x14ac:dyDescent="0.25">
      <c r="J4808" t="str">
        <f>IF(H4808="","",IFERROR(VLOOKUP(H4808,Listas!$J$2:$K$1048576,2,FALSE),""))</f>
        <v/>
      </c>
      <c r="K4808" s="5" t="str">
        <f>IF(OR(I4808="",G4808=""),"",IF(G4808="Saída",-I4808,I4808))</f>
        <v/>
      </c>
      <c r="L4808" t="str">
        <f>IF(E4808="","",IFERROR(VLOOKUP(E4808,Listas!$A$2:$C$1048576,3,FALSE),""))</f>
        <v/>
      </c>
    </row>
    <row r="4809" spans="10:12" x14ac:dyDescent="0.25">
      <c r="J4809" t="str">
        <f>IF(H4809="","",IFERROR(VLOOKUP(H4809,Listas!$J$2:$K$1048576,2,FALSE),""))</f>
        <v/>
      </c>
      <c r="K4809" s="5" t="str">
        <f>IF(OR(I4809="",G4809=""),"",IF(G4809="Saída",-I4809,I4809))</f>
        <v/>
      </c>
      <c r="L4809" t="str">
        <f>IF(E4809="","",IFERROR(VLOOKUP(E4809,Listas!$A$2:$C$1048576,3,FALSE),""))</f>
        <v/>
      </c>
    </row>
    <row r="4810" spans="10:12" x14ac:dyDescent="0.25">
      <c r="J4810" t="str">
        <f>IF(H4810="","",IFERROR(VLOOKUP(H4810,Listas!$J$2:$K$1048576,2,FALSE),""))</f>
        <v/>
      </c>
      <c r="K4810" s="5" t="str">
        <f>IF(OR(I4810="",G4810=""),"",IF(G4810="Saída",-I4810,I4810))</f>
        <v/>
      </c>
      <c r="L4810" t="str">
        <f>IF(E4810="","",IFERROR(VLOOKUP(E4810,Listas!$A$2:$C$1048576,3,FALSE),""))</f>
        <v/>
      </c>
    </row>
    <row r="4811" spans="10:12" x14ac:dyDescent="0.25">
      <c r="J4811" t="str">
        <f>IF(H4811="","",IFERROR(VLOOKUP(H4811,Listas!$J$2:$K$1048576,2,FALSE),""))</f>
        <v/>
      </c>
      <c r="K4811" s="5" t="str">
        <f>IF(OR(I4811="",G4811=""),"",IF(G4811="Saída",-I4811,I4811))</f>
        <v/>
      </c>
      <c r="L4811" t="str">
        <f>IF(E4811="","",IFERROR(VLOOKUP(E4811,Listas!$A$2:$C$1048576,3,FALSE),""))</f>
        <v/>
      </c>
    </row>
    <row r="4812" spans="10:12" x14ac:dyDescent="0.25">
      <c r="J4812" t="str">
        <f>IF(H4812="","",IFERROR(VLOOKUP(H4812,Listas!$J$2:$K$1048576,2,FALSE),""))</f>
        <v/>
      </c>
      <c r="K4812" s="5" t="str">
        <f>IF(OR(I4812="",G4812=""),"",IF(G4812="Saída",-I4812,I4812))</f>
        <v/>
      </c>
      <c r="L4812" t="str">
        <f>IF(E4812="","",IFERROR(VLOOKUP(E4812,Listas!$A$2:$C$1048576,3,FALSE),""))</f>
        <v/>
      </c>
    </row>
    <row r="4813" spans="10:12" x14ac:dyDescent="0.25">
      <c r="J4813" t="str">
        <f>IF(H4813="","",IFERROR(VLOOKUP(H4813,Listas!$J$2:$K$1048576,2,FALSE),""))</f>
        <v/>
      </c>
      <c r="K4813" s="5" t="str">
        <f>IF(OR(I4813="",G4813=""),"",IF(G4813="Saída",-I4813,I4813))</f>
        <v/>
      </c>
      <c r="L4813" t="str">
        <f>IF(E4813="","",IFERROR(VLOOKUP(E4813,Listas!$A$2:$C$1048576,3,FALSE),""))</f>
        <v/>
      </c>
    </row>
    <row r="4814" spans="10:12" x14ac:dyDescent="0.25">
      <c r="J4814" t="str">
        <f>IF(H4814="","",IFERROR(VLOOKUP(H4814,Listas!$J$2:$K$1048576,2,FALSE),""))</f>
        <v/>
      </c>
      <c r="K4814" s="5" t="str">
        <f>IF(OR(I4814="",G4814=""),"",IF(G4814="Saída",-I4814,I4814))</f>
        <v/>
      </c>
      <c r="L4814" t="str">
        <f>IF(E4814="","",IFERROR(VLOOKUP(E4814,Listas!$A$2:$C$1048576,3,FALSE),""))</f>
        <v/>
      </c>
    </row>
    <row r="4815" spans="10:12" x14ac:dyDescent="0.25">
      <c r="J4815" t="str">
        <f>IF(H4815="","",IFERROR(VLOOKUP(H4815,Listas!$J$2:$K$1048576,2,FALSE),""))</f>
        <v/>
      </c>
      <c r="K4815" s="5" t="str">
        <f>IF(OR(I4815="",G4815=""),"",IF(G4815="Saída",-I4815,I4815))</f>
        <v/>
      </c>
      <c r="L4815" t="str">
        <f>IF(E4815="","",IFERROR(VLOOKUP(E4815,Listas!$A$2:$C$1048576,3,FALSE),""))</f>
        <v/>
      </c>
    </row>
    <row r="4816" spans="10:12" x14ac:dyDescent="0.25">
      <c r="J4816" t="str">
        <f>IF(H4816="","",IFERROR(VLOOKUP(H4816,Listas!$J$2:$K$1048576,2,FALSE),""))</f>
        <v/>
      </c>
      <c r="K4816" s="5" t="str">
        <f>IF(OR(I4816="",G4816=""),"",IF(G4816="Saída",-I4816,I4816))</f>
        <v/>
      </c>
      <c r="L4816" t="str">
        <f>IF(E4816="","",IFERROR(VLOOKUP(E4816,Listas!$A$2:$C$1048576,3,FALSE),""))</f>
        <v/>
      </c>
    </row>
    <row r="4817" spans="10:12" x14ac:dyDescent="0.25">
      <c r="J4817" t="str">
        <f>IF(H4817="","",IFERROR(VLOOKUP(H4817,Listas!$J$2:$K$1048576,2,FALSE),""))</f>
        <v/>
      </c>
      <c r="K4817" s="5" t="str">
        <f>IF(OR(I4817="",G4817=""),"",IF(G4817="Saída",-I4817,I4817))</f>
        <v/>
      </c>
      <c r="L4817" t="str">
        <f>IF(E4817="","",IFERROR(VLOOKUP(E4817,Listas!$A$2:$C$1048576,3,FALSE),""))</f>
        <v/>
      </c>
    </row>
    <row r="4818" spans="10:12" x14ac:dyDescent="0.25">
      <c r="J4818" t="str">
        <f>IF(H4818="","",IFERROR(VLOOKUP(H4818,Listas!$J$2:$K$1048576,2,FALSE),""))</f>
        <v/>
      </c>
      <c r="K4818" s="5" t="str">
        <f>IF(OR(I4818="",G4818=""),"",IF(G4818="Saída",-I4818,I4818))</f>
        <v/>
      </c>
      <c r="L4818" t="str">
        <f>IF(E4818="","",IFERROR(VLOOKUP(E4818,Listas!$A$2:$C$1048576,3,FALSE),""))</f>
        <v/>
      </c>
    </row>
    <row r="4819" spans="10:12" x14ac:dyDescent="0.25">
      <c r="J4819" t="str">
        <f>IF(H4819="","",IFERROR(VLOOKUP(H4819,Listas!$J$2:$K$1048576,2,FALSE),""))</f>
        <v/>
      </c>
      <c r="K4819" s="5" t="str">
        <f>IF(OR(I4819="",G4819=""),"",IF(G4819="Saída",-I4819,I4819))</f>
        <v/>
      </c>
      <c r="L4819" t="str">
        <f>IF(E4819="","",IFERROR(VLOOKUP(E4819,Listas!$A$2:$C$1048576,3,FALSE),""))</f>
        <v/>
      </c>
    </row>
    <row r="4820" spans="10:12" x14ac:dyDescent="0.25">
      <c r="J4820" t="str">
        <f>IF(H4820="","",IFERROR(VLOOKUP(H4820,Listas!$J$2:$K$1048576,2,FALSE),""))</f>
        <v/>
      </c>
      <c r="K4820" s="5" t="str">
        <f>IF(OR(I4820="",G4820=""),"",IF(G4820="Saída",-I4820,I4820))</f>
        <v/>
      </c>
      <c r="L4820" t="str">
        <f>IF(E4820="","",IFERROR(VLOOKUP(E4820,Listas!$A$2:$C$1048576,3,FALSE),""))</f>
        <v/>
      </c>
    </row>
    <row r="4821" spans="10:12" x14ac:dyDescent="0.25">
      <c r="J4821" t="str">
        <f>IF(H4821="","",IFERROR(VLOOKUP(H4821,Listas!$J$2:$K$1048576,2,FALSE),""))</f>
        <v/>
      </c>
      <c r="K4821" s="5" t="str">
        <f>IF(OR(I4821="",G4821=""),"",IF(G4821="Saída",-I4821,I4821))</f>
        <v/>
      </c>
      <c r="L4821" t="str">
        <f>IF(E4821="","",IFERROR(VLOOKUP(E4821,Listas!$A$2:$C$1048576,3,FALSE),""))</f>
        <v/>
      </c>
    </row>
    <row r="4822" spans="10:12" x14ac:dyDescent="0.25">
      <c r="J4822" t="str">
        <f>IF(H4822="","",IFERROR(VLOOKUP(H4822,Listas!$J$2:$K$1048576,2,FALSE),""))</f>
        <v/>
      </c>
      <c r="K4822" s="5" t="str">
        <f>IF(OR(I4822="",G4822=""),"",IF(G4822="Saída",-I4822,I4822))</f>
        <v/>
      </c>
      <c r="L4822" t="str">
        <f>IF(E4822="","",IFERROR(VLOOKUP(E4822,Listas!$A$2:$C$1048576,3,FALSE),""))</f>
        <v/>
      </c>
    </row>
    <row r="4823" spans="10:12" x14ac:dyDescent="0.25">
      <c r="J4823" t="str">
        <f>IF(H4823="","",IFERROR(VLOOKUP(H4823,Listas!$J$2:$K$1048576,2,FALSE),""))</f>
        <v/>
      </c>
      <c r="K4823" s="5" t="str">
        <f>IF(OR(I4823="",G4823=""),"",IF(G4823="Saída",-I4823,I4823))</f>
        <v/>
      </c>
      <c r="L4823" t="str">
        <f>IF(E4823="","",IFERROR(VLOOKUP(E4823,Listas!$A$2:$C$1048576,3,FALSE),""))</f>
        <v/>
      </c>
    </row>
    <row r="4824" spans="10:12" x14ac:dyDescent="0.25">
      <c r="J4824" t="str">
        <f>IF(H4824="","",IFERROR(VLOOKUP(H4824,Listas!$J$2:$K$1048576,2,FALSE),""))</f>
        <v/>
      </c>
      <c r="K4824" s="5" t="str">
        <f>IF(OR(I4824="",G4824=""),"",IF(G4824="Saída",-I4824,I4824))</f>
        <v/>
      </c>
      <c r="L4824" t="str">
        <f>IF(E4824="","",IFERROR(VLOOKUP(E4824,Listas!$A$2:$C$1048576,3,FALSE),""))</f>
        <v/>
      </c>
    </row>
    <row r="4825" spans="10:12" x14ac:dyDescent="0.25">
      <c r="J4825" t="str">
        <f>IF(H4825="","",IFERROR(VLOOKUP(H4825,Listas!$J$2:$K$1048576,2,FALSE),""))</f>
        <v/>
      </c>
      <c r="K4825" s="5" t="str">
        <f>IF(OR(I4825="",G4825=""),"",IF(G4825="Saída",-I4825,I4825))</f>
        <v/>
      </c>
      <c r="L4825" t="str">
        <f>IF(E4825="","",IFERROR(VLOOKUP(E4825,Listas!$A$2:$C$1048576,3,FALSE),""))</f>
        <v/>
      </c>
    </row>
    <row r="4826" spans="10:12" x14ac:dyDescent="0.25">
      <c r="J4826" t="str">
        <f>IF(H4826="","",IFERROR(VLOOKUP(H4826,Listas!$J$2:$K$1048576,2,FALSE),""))</f>
        <v/>
      </c>
      <c r="K4826" s="5" t="str">
        <f>IF(OR(I4826="",G4826=""),"",IF(G4826="Saída",-I4826,I4826))</f>
        <v/>
      </c>
      <c r="L4826" t="str">
        <f>IF(E4826="","",IFERROR(VLOOKUP(E4826,Listas!$A$2:$C$1048576,3,FALSE),""))</f>
        <v/>
      </c>
    </row>
    <row r="4827" spans="10:12" x14ac:dyDescent="0.25">
      <c r="J4827" t="str">
        <f>IF(H4827="","",IFERROR(VLOOKUP(H4827,Listas!$J$2:$K$1048576,2,FALSE),""))</f>
        <v/>
      </c>
      <c r="K4827" s="5" t="str">
        <f>IF(OR(I4827="",G4827=""),"",IF(G4827="Saída",-I4827,I4827))</f>
        <v/>
      </c>
      <c r="L4827" t="str">
        <f>IF(E4827="","",IFERROR(VLOOKUP(E4827,Listas!$A$2:$C$1048576,3,FALSE),""))</f>
        <v/>
      </c>
    </row>
    <row r="4828" spans="10:12" x14ac:dyDescent="0.25">
      <c r="J4828" t="str">
        <f>IF(H4828="","",IFERROR(VLOOKUP(H4828,Listas!$J$2:$K$1048576,2,FALSE),""))</f>
        <v/>
      </c>
      <c r="K4828" s="5" t="str">
        <f>IF(OR(I4828="",G4828=""),"",IF(G4828="Saída",-I4828,I4828))</f>
        <v/>
      </c>
      <c r="L4828" t="str">
        <f>IF(E4828="","",IFERROR(VLOOKUP(E4828,Listas!$A$2:$C$1048576,3,FALSE),""))</f>
        <v/>
      </c>
    </row>
    <row r="4829" spans="10:12" x14ac:dyDescent="0.25">
      <c r="J4829" t="str">
        <f>IF(H4829="","",IFERROR(VLOOKUP(H4829,Listas!$J$2:$K$1048576,2,FALSE),""))</f>
        <v/>
      </c>
      <c r="K4829" s="5" t="str">
        <f>IF(OR(I4829="",G4829=""),"",IF(G4829="Saída",-I4829,I4829))</f>
        <v/>
      </c>
      <c r="L4829" t="str">
        <f>IF(E4829="","",IFERROR(VLOOKUP(E4829,Listas!$A$2:$C$1048576,3,FALSE),""))</f>
        <v/>
      </c>
    </row>
    <row r="4830" spans="10:12" x14ac:dyDescent="0.25">
      <c r="J4830" t="str">
        <f>IF(H4830="","",IFERROR(VLOOKUP(H4830,Listas!$J$2:$K$1048576,2,FALSE),""))</f>
        <v/>
      </c>
      <c r="K4830" s="5" t="str">
        <f>IF(OR(I4830="",G4830=""),"",IF(G4830="Saída",-I4830,I4830))</f>
        <v/>
      </c>
      <c r="L4830" t="str">
        <f>IF(E4830="","",IFERROR(VLOOKUP(E4830,Listas!$A$2:$C$1048576,3,FALSE),""))</f>
        <v/>
      </c>
    </row>
    <row r="4831" spans="10:12" x14ac:dyDescent="0.25">
      <c r="J4831" t="str">
        <f>IF(H4831="","",IFERROR(VLOOKUP(H4831,Listas!$J$2:$K$1048576,2,FALSE),""))</f>
        <v/>
      </c>
      <c r="K4831" s="5" t="str">
        <f>IF(OR(I4831="",G4831=""),"",IF(G4831="Saída",-I4831,I4831))</f>
        <v/>
      </c>
      <c r="L4831" t="str">
        <f>IF(E4831="","",IFERROR(VLOOKUP(E4831,Listas!$A$2:$C$1048576,3,FALSE),""))</f>
        <v/>
      </c>
    </row>
    <row r="4832" spans="10:12" x14ac:dyDescent="0.25">
      <c r="J4832" t="str">
        <f>IF(H4832="","",IFERROR(VLOOKUP(H4832,Listas!$J$2:$K$1048576,2,FALSE),""))</f>
        <v/>
      </c>
      <c r="K4832" s="5" t="str">
        <f>IF(OR(I4832="",G4832=""),"",IF(G4832="Saída",-I4832,I4832))</f>
        <v/>
      </c>
      <c r="L4832" t="str">
        <f>IF(E4832="","",IFERROR(VLOOKUP(E4832,Listas!$A$2:$C$1048576,3,FALSE),""))</f>
        <v/>
      </c>
    </row>
    <row r="4833" spans="10:12" x14ac:dyDescent="0.25">
      <c r="J4833" t="str">
        <f>IF(H4833="","",IFERROR(VLOOKUP(H4833,Listas!$J$2:$K$1048576,2,FALSE),""))</f>
        <v/>
      </c>
      <c r="K4833" s="5" t="str">
        <f>IF(OR(I4833="",G4833=""),"",IF(G4833="Saída",-I4833,I4833))</f>
        <v/>
      </c>
      <c r="L4833" t="str">
        <f>IF(E4833="","",IFERROR(VLOOKUP(E4833,Listas!$A$2:$C$1048576,3,FALSE),""))</f>
        <v/>
      </c>
    </row>
    <row r="4834" spans="10:12" x14ac:dyDescent="0.25">
      <c r="J4834" t="str">
        <f>IF(H4834="","",IFERROR(VLOOKUP(H4834,Listas!$J$2:$K$1048576,2,FALSE),""))</f>
        <v/>
      </c>
      <c r="K4834" s="5" t="str">
        <f>IF(OR(I4834="",G4834=""),"",IF(G4834="Saída",-I4834,I4834))</f>
        <v/>
      </c>
      <c r="L4834" t="str">
        <f>IF(E4834="","",IFERROR(VLOOKUP(E4834,Listas!$A$2:$C$1048576,3,FALSE),""))</f>
        <v/>
      </c>
    </row>
    <row r="4835" spans="10:12" x14ac:dyDescent="0.25">
      <c r="J4835" t="str">
        <f>IF(H4835="","",IFERROR(VLOOKUP(H4835,Listas!$J$2:$K$1048576,2,FALSE),""))</f>
        <v/>
      </c>
      <c r="K4835" s="5" t="str">
        <f>IF(OR(I4835="",G4835=""),"",IF(G4835="Saída",-I4835,I4835))</f>
        <v/>
      </c>
      <c r="L4835" t="str">
        <f>IF(E4835="","",IFERROR(VLOOKUP(E4835,Listas!$A$2:$C$1048576,3,FALSE),""))</f>
        <v/>
      </c>
    </row>
    <row r="4836" spans="10:12" x14ac:dyDescent="0.25">
      <c r="J4836" t="str">
        <f>IF(H4836="","",IFERROR(VLOOKUP(H4836,Listas!$J$2:$K$1048576,2,FALSE),""))</f>
        <v/>
      </c>
      <c r="K4836" s="5" t="str">
        <f>IF(OR(I4836="",G4836=""),"",IF(G4836="Saída",-I4836,I4836))</f>
        <v/>
      </c>
      <c r="L4836" t="str">
        <f>IF(E4836="","",IFERROR(VLOOKUP(E4836,Listas!$A$2:$C$1048576,3,FALSE),""))</f>
        <v/>
      </c>
    </row>
    <row r="4837" spans="10:12" x14ac:dyDescent="0.25">
      <c r="J4837" t="str">
        <f>IF(H4837="","",IFERROR(VLOOKUP(H4837,Listas!$J$2:$K$1048576,2,FALSE),""))</f>
        <v/>
      </c>
      <c r="K4837" s="5" t="str">
        <f>IF(OR(I4837="",G4837=""),"",IF(G4837="Saída",-I4837,I4837))</f>
        <v/>
      </c>
      <c r="L4837" t="str">
        <f>IF(E4837="","",IFERROR(VLOOKUP(E4837,Listas!$A$2:$C$1048576,3,FALSE),""))</f>
        <v/>
      </c>
    </row>
    <row r="4838" spans="10:12" x14ac:dyDescent="0.25">
      <c r="J4838" t="str">
        <f>IF(H4838="","",IFERROR(VLOOKUP(H4838,Listas!$J$2:$K$1048576,2,FALSE),""))</f>
        <v/>
      </c>
      <c r="K4838" s="5" t="str">
        <f>IF(OR(I4838="",G4838=""),"",IF(G4838="Saída",-I4838,I4838))</f>
        <v/>
      </c>
      <c r="L4838" t="str">
        <f>IF(E4838="","",IFERROR(VLOOKUP(E4838,Listas!$A$2:$C$1048576,3,FALSE),""))</f>
        <v/>
      </c>
    </row>
    <row r="4839" spans="10:12" x14ac:dyDescent="0.25">
      <c r="J4839" t="str">
        <f>IF(H4839="","",IFERROR(VLOOKUP(H4839,Listas!$J$2:$K$1048576,2,FALSE),""))</f>
        <v/>
      </c>
      <c r="K4839" s="5" t="str">
        <f>IF(OR(I4839="",G4839=""),"",IF(G4839="Saída",-I4839,I4839))</f>
        <v/>
      </c>
      <c r="L4839" t="str">
        <f>IF(E4839="","",IFERROR(VLOOKUP(E4839,Listas!$A$2:$C$1048576,3,FALSE),""))</f>
        <v/>
      </c>
    </row>
    <row r="4840" spans="10:12" x14ac:dyDescent="0.25">
      <c r="J4840" t="str">
        <f>IF(H4840="","",IFERROR(VLOOKUP(H4840,Listas!$J$2:$K$1048576,2,FALSE),""))</f>
        <v/>
      </c>
      <c r="K4840" s="5" t="str">
        <f>IF(OR(I4840="",G4840=""),"",IF(G4840="Saída",-I4840,I4840))</f>
        <v/>
      </c>
      <c r="L4840" t="str">
        <f>IF(E4840="","",IFERROR(VLOOKUP(E4840,Listas!$A$2:$C$1048576,3,FALSE),""))</f>
        <v/>
      </c>
    </row>
    <row r="4841" spans="10:12" x14ac:dyDescent="0.25">
      <c r="J4841" t="str">
        <f>IF(H4841="","",IFERROR(VLOOKUP(H4841,Listas!$J$2:$K$1048576,2,FALSE),""))</f>
        <v/>
      </c>
      <c r="K4841" s="5" t="str">
        <f>IF(OR(I4841="",G4841=""),"",IF(G4841="Saída",-I4841,I4841))</f>
        <v/>
      </c>
      <c r="L4841" t="str">
        <f>IF(E4841="","",IFERROR(VLOOKUP(E4841,Listas!$A$2:$C$1048576,3,FALSE),""))</f>
        <v/>
      </c>
    </row>
    <row r="4842" spans="10:12" x14ac:dyDescent="0.25">
      <c r="J4842" t="str">
        <f>IF(H4842="","",IFERROR(VLOOKUP(H4842,Listas!$J$2:$K$1048576,2,FALSE),""))</f>
        <v/>
      </c>
      <c r="K4842" s="5" t="str">
        <f>IF(OR(I4842="",G4842=""),"",IF(G4842="Saída",-I4842,I4842))</f>
        <v/>
      </c>
      <c r="L4842" t="str">
        <f>IF(E4842="","",IFERROR(VLOOKUP(E4842,Listas!$A$2:$C$1048576,3,FALSE),""))</f>
        <v/>
      </c>
    </row>
    <row r="4843" spans="10:12" x14ac:dyDescent="0.25">
      <c r="J4843" t="str">
        <f>IF(H4843="","",IFERROR(VLOOKUP(H4843,Listas!$J$2:$K$1048576,2,FALSE),""))</f>
        <v/>
      </c>
      <c r="K4843" s="5" t="str">
        <f>IF(OR(I4843="",G4843=""),"",IF(G4843="Saída",-I4843,I4843))</f>
        <v/>
      </c>
      <c r="L4843" t="str">
        <f>IF(E4843="","",IFERROR(VLOOKUP(E4843,Listas!$A$2:$C$1048576,3,FALSE),""))</f>
        <v/>
      </c>
    </row>
    <row r="4844" spans="10:12" x14ac:dyDescent="0.25">
      <c r="J4844" t="str">
        <f>IF(H4844="","",IFERROR(VLOOKUP(H4844,Listas!$J$2:$K$1048576,2,FALSE),""))</f>
        <v/>
      </c>
      <c r="K4844" s="5" t="str">
        <f>IF(OR(I4844="",G4844=""),"",IF(G4844="Saída",-I4844,I4844))</f>
        <v/>
      </c>
      <c r="L4844" t="str">
        <f>IF(E4844="","",IFERROR(VLOOKUP(E4844,Listas!$A$2:$C$1048576,3,FALSE),""))</f>
        <v/>
      </c>
    </row>
    <row r="4845" spans="10:12" x14ac:dyDescent="0.25">
      <c r="J4845" t="str">
        <f>IF(H4845="","",IFERROR(VLOOKUP(H4845,Listas!$J$2:$K$1048576,2,FALSE),""))</f>
        <v/>
      </c>
      <c r="K4845" s="5" t="str">
        <f>IF(OR(I4845="",G4845=""),"",IF(G4845="Saída",-I4845,I4845))</f>
        <v/>
      </c>
      <c r="L4845" t="str">
        <f>IF(E4845="","",IFERROR(VLOOKUP(E4845,Listas!$A$2:$C$1048576,3,FALSE),""))</f>
        <v/>
      </c>
    </row>
    <row r="4846" spans="10:12" x14ac:dyDescent="0.25">
      <c r="J4846" t="str">
        <f>IF(H4846="","",IFERROR(VLOOKUP(H4846,Listas!$J$2:$K$1048576,2,FALSE),""))</f>
        <v/>
      </c>
      <c r="K4846" s="5" t="str">
        <f>IF(OR(I4846="",G4846=""),"",IF(G4846="Saída",-I4846,I4846))</f>
        <v/>
      </c>
      <c r="L4846" t="str">
        <f>IF(E4846="","",IFERROR(VLOOKUP(E4846,Listas!$A$2:$C$1048576,3,FALSE),""))</f>
        <v/>
      </c>
    </row>
    <row r="4847" spans="10:12" x14ac:dyDescent="0.25">
      <c r="J4847" t="str">
        <f>IF(H4847="","",IFERROR(VLOOKUP(H4847,Listas!$J$2:$K$1048576,2,FALSE),""))</f>
        <v/>
      </c>
      <c r="K4847" s="5" t="str">
        <f>IF(OR(I4847="",G4847=""),"",IF(G4847="Saída",-I4847,I4847))</f>
        <v/>
      </c>
      <c r="L4847" t="str">
        <f>IF(E4847="","",IFERROR(VLOOKUP(E4847,Listas!$A$2:$C$1048576,3,FALSE),""))</f>
        <v/>
      </c>
    </row>
    <row r="4848" spans="10:12" x14ac:dyDescent="0.25">
      <c r="J4848" t="str">
        <f>IF(H4848="","",IFERROR(VLOOKUP(H4848,Listas!$J$2:$K$1048576,2,FALSE),""))</f>
        <v/>
      </c>
      <c r="K4848" s="5" t="str">
        <f>IF(OR(I4848="",G4848=""),"",IF(G4848="Saída",-I4848,I4848))</f>
        <v/>
      </c>
      <c r="L4848" t="str">
        <f>IF(E4848="","",IFERROR(VLOOKUP(E4848,Listas!$A$2:$C$1048576,3,FALSE),""))</f>
        <v/>
      </c>
    </row>
    <row r="4849" spans="10:12" x14ac:dyDescent="0.25">
      <c r="J4849" t="str">
        <f>IF(H4849="","",IFERROR(VLOOKUP(H4849,Listas!$J$2:$K$1048576,2,FALSE),""))</f>
        <v/>
      </c>
      <c r="K4849" s="5" t="str">
        <f>IF(OR(I4849="",G4849=""),"",IF(G4849="Saída",-I4849,I4849))</f>
        <v/>
      </c>
      <c r="L4849" t="str">
        <f>IF(E4849="","",IFERROR(VLOOKUP(E4849,Listas!$A$2:$C$1048576,3,FALSE),""))</f>
        <v/>
      </c>
    </row>
    <row r="4850" spans="10:12" x14ac:dyDescent="0.25">
      <c r="J4850" t="str">
        <f>IF(H4850="","",IFERROR(VLOOKUP(H4850,Listas!$J$2:$K$1048576,2,FALSE),""))</f>
        <v/>
      </c>
      <c r="K4850" s="5" t="str">
        <f>IF(OR(I4850="",G4850=""),"",IF(G4850="Saída",-I4850,I4850))</f>
        <v/>
      </c>
      <c r="L4850" t="str">
        <f>IF(E4850="","",IFERROR(VLOOKUP(E4850,Listas!$A$2:$C$1048576,3,FALSE),""))</f>
        <v/>
      </c>
    </row>
    <row r="4851" spans="10:12" x14ac:dyDescent="0.25">
      <c r="J4851" t="str">
        <f>IF(H4851="","",IFERROR(VLOOKUP(H4851,Listas!$J$2:$K$1048576,2,FALSE),""))</f>
        <v/>
      </c>
      <c r="K4851" s="5" t="str">
        <f>IF(OR(I4851="",G4851=""),"",IF(G4851="Saída",-I4851,I4851))</f>
        <v/>
      </c>
      <c r="L4851" t="str">
        <f>IF(E4851="","",IFERROR(VLOOKUP(E4851,Listas!$A$2:$C$1048576,3,FALSE),""))</f>
        <v/>
      </c>
    </row>
    <row r="4852" spans="10:12" x14ac:dyDescent="0.25">
      <c r="J4852" t="str">
        <f>IF(H4852="","",IFERROR(VLOOKUP(H4852,Listas!$J$2:$K$1048576,2,FALSE),""))</f>
        <v/>
      </c>
      <c r="K4852" s="5" t="str">
        <f>IF(OR(I4852="",G4852=""),"",IF(G4852="Saída",-I4852,I4852))</f>
        <v/>
      </c>
      <c r="L4852" t="str">
        <f>IF(E4852="","",IFERROR(VLOOKUP(E4852,Listas!$A$2:$C$1048576,3,FALSE),""))</f>
        <v/>
      </c>
    </row>
    <row r="4853" spans="10:12" x14ac:dyDescent="0.25">
      <c r="J4853" t="str">
        <f>IF(H4853="","",IFERROR(VLOOKUP(H4853,Listas!$J$2:$K$1048576,2,FALSE),""))</f>
        <v/>
      </c>
      <c r="K4853" s="5" t="str">
        <f>IF(OR(I4853="",G4853=""),"",IF(G4853="Saída",-I4853,I4853))</f>
        <v/>
      </c>
      <c r="L4853" t="str">
        <f>IF(E4853="","",IFERROR(VLOOKUP(E4853,Listas!$A$2:$C$1048576,3,FALSE),""))</f>
        <v/>
      </c>
    </row>
    <row r="4854" spans="10:12" x14ac:dyDescent="0.25">
      <c r="J4854" t="str">
        <f>IF(H4854="","",IFERROR(VLOOKUP(H4854,Listas!$J$2:$K$1048576,2,FALSE),""))</f>
        <v/>
      </c>
      <c r="K4854" s="5" t="str">
        <f>IF(OR(I4854="",G4854=""),"",IF(G4854="Saída",-I4854,I4854))</f>
        <v/>
      </c>
      <c r="L4854" t="str">
        <f>IF(E4854="","",IFERROR(VLOOKUP(E4854,Listas!$A$2:$C$1048576,3,FALSE),""))</f>
        <v/>
      </c>
    </row>
    <row r="4855" spans="10:12" x14ac:dyDescent="0.25">
      <c r="J4855" t="str">
        <f>IF(H4855="","",IFERROR(VLOOKUP(H4855,Listas!$J$2:$K$1048576,2,FALSE),""))</f>
        <v/>
      </c>
      <c r="K4855" s="5" t="str">
        <f>IF(OR(I4855="",G4855=""),"",IF(G4855="Saída",-I4855,I4855))</f>
        <v/>
      </c>
      <c r="L4855" t="str">
        <f>IF(E4855="","",IFERROR(VLOOKUP(E4855,Listas!$A$2:$C$1048576,3,FALSE),""))</f>
        <v/>
      </c>
    </row>
    <row r="4856" spans="10:12" x14ac:dyDescent="0.25">
      <c r="J4856" t="str">
        <f>IF(H4856="","",IFERROR(VLOOKUP(H4856,Listas!$J$2:$K$1048576,2,FALSE),""))</f>
        <v/>
      </c>
      <c r="K4856" s="5" t="str">
        <f>IF(OR(I4856="",G4856=""),"",IF(G4856="Saída",-I4856,I4856))</f>
        <v/>
      </c>
      <c r="L4856" t="str">
        <f>IF(E4856="","",IFERROR(VLOOKUP(E4856,Listas!$A$2:$C$1048576,3,FALSE),""))</f>
        <v/>
      </c>
    </row>
    <row r="4857" spans="10:12" x14ac:dyDescent="0.25">
      <c r="J4857" t="str">
        <f>IF(H4857="","",IFERROR(VLOOKUP(H4857,Listas!$J$2:$K$1048576,2,FALSE),""))</f>
        <v/>
      </c>
      <c r="K4857" s="5" t="str">
        <f>IF(OR(I4857="",G4857=""),"",IF(G4857="Saída",-I4857,I4857))</f>
        <v/>
      </c>
      <c r="L4857" t="str">
        <f>IF(E4857="","",IFERROR(VLOOKUP(E4857,Listas!$A$2:$C$1048576,3,FALSE),""))</f>
        <v/>
      </c>
    </row>
    <row r="4858" spans="10:12" x14ac:dyDescent="0.25">
      <c r="J4858" t="str">
        <f>IF(H4858="","",IFERROR(VLOOKUP(H4858,Listas!$J$2:$K$1048576,2,FALSE),""))</f>
        <v/>
      </c>
      <c r="K4858" s="5" t="str">
        <f>IF(OR(I4858="",G4858=""),"",IF(G4858="Saída",-I4858,I4858))</f>
        <v/>
      </c>
      <c r="L4858" t="str">
        <f>IF(E4858="","",IFERROR(VLOOKUP(E4858,Listas!$A$2:$C$1048576,3,FALSE),""))</f>
        <v/>
      </c>
    </row>
    <row r="4859" spans="10:12" x14ac:dyDescent="0.25">
      <c r="J4859" t="str">
        <f>IF(H4859="","",IFERROR(VLOOKUP(H4859,Listas!$J$2:$K$1048576,2,FALSE),""))</f>
        <v/>
      </c>
      <c r="K4859" s="5" t="str">
        <f>IF(OR(I4859="",G4859=""),"",IF(G4859="Saída",-I4859,I4859))</f>
        <v/>
      </c>
      <c r="L4859" t="str">
        <f>IF(E4859="","",IFERROR(VLOOKUP(E4859,Listas!$A$2:$C$1048576,3,FALSE),""))</f>
        <v/>
      </c>
    </row>
    <row r="4860" spans="10:12" x14ac:dyDescent="0.25">
      <c r="J4860" t="str">
        <f>IF(H4860="","",IFERROR(VLOOKUP(H4860,Listas!$J$2:$K$1048576,2,FALSE),""))</f>
        <v/>
      </c>
      <c r="K4860" s="5" t="str">
        <f>IF(OR(I4860="",G4860=""),"",IF(G4860="Saída",-I4860,I4860))</f>
        <v/>
      </c>
      <c r="L4860" t="str">
        <f>IF(E4860="","",IFERROR(VLOOKUP(E4860,Listas!$A$2:$C$1048576,3,FALSE),""))</f>
        <v/>
      </c>
    </row>
    <row r="4861" spans="10:12" x14ac:dyDescent="0.25">
      <c r="J4861" t="str">
        <f>IF(H4861="","",IFERROR(VLOOKUP(H4861,Listas!$J$2:$K$1048576,2,FALSE),""))</f>
        <v/>
      </c>
      <c r="K4861" s="5" t="str">
        <f>IF(OR(I4861="",G4861=""),"",IF(G4861="Saída",-I4861,I4861))</f>
        <v/>
      </c>
      <c r="L4861" t="str">
        <f>IF(E4861="","",IFERROR(VLOOKUP(E4861,Listas!$A$2:$C$1048576,3,FALSE),""))</f>
        <v/>
      </c>
    </row>
    <row r="4862" spans="10:12" x14ac:dyDescent="0.25">
      <c r="J4862" t="str">
        <f>IF(H4862="","",IFERROR(VLOOKUP(H4862,Listas!$J$2:$K$1048576,2,FALSE),""))</f>
        <v/>
      </c>
      <c r="K4862" s="5" t="str">
        <f>IF(OR(I4862="",G4862=""),"",IF(G4862="Saída",-I4862,I4862))</f>
        <v/>
      </c>
      <c r="L4862" t="str">
        <f>IF(E4862="","",IFERROR(VLOOKUP(E4862,Listas!$A$2:$C$1048576,3,FALSE),""))</f>
        <v/>
      </c>
    </row>
    <row r="4863" spans="10:12" x14ac:dyDescent="0.25">
      <c r="J4863" t="str">
        <f>IF(H4863="","",IFERROR(VLOOKUP(H4863,Listas!$J$2:$K$1048576,2,FALSE),""))</f>
        <v/>
      </c>
      <c r="K4863" s="5" t="str">
        <f>IF(OR(I4863="",G4863=""),"",IF(G4863="Saída",-I4863,I4863))</f>
        <v/>
      </c>
      <c r="L4863" t="str">
        <f>IF(E4863="","",IFERROR(VLOOKUP(E4863,Listas!$A$2:$C$1048576,3,FALSE),""))</f>
        <v/>
      </c>
    </row>
    <row r="4864" spans="10:12" x14ac:dyDescent="0.25">
      <c r="J4864" t="str">
        <f>IF(H4864="","",IFERROR(VLOOKUP(H4864,Listas!$J$2:$K$1048576,2,FALSE),""))</f>
        <v/>
      </c>
      <c r="K4864" s="5" t="str">
        <f>IF(OR(I4864="",G4864=""),"",IF(G4864="Saída",-I4864,I4864))</f>
        <v/>
      </c>
      <c r="L4864" t="str">
        <f>IF(E4864="","",IFERROR(VLOOKUP(E4864,Listas!$A$2:$C$1048576,3,FALSE),""))</f>
        <v/>
      </c>
    </row>
    <row r="4865" spans="10:12" x14ac:dyDescent="0.25">
      <c r="J4865" t="str">
        <f>IF(H4865="","",IFERROR(VLOOKUP(H4865,Listas!$J$2:$K$1048576,2,FALSE),""))</f>
        <v/>
      </c>
      <c r="K4865" s="5" t="str">
        <f>IF(OR(I4865="",G4865=""),"",IF(G4865="Saída",-I4865,I4865))</f>
        <v/>
      </c>
      <c r="L4865" t="str">
        <f>IF(E4865="","",IFERROR(VLOOKUP(E4865,Listas!$A$2:$C$1048576,3,FALSE),""))</f>
        <v/>
      </c>
    </row>
    <row r="4866" spans="10:12" x14ac:dyDescent="0.25">
      <c r="J4866" t="str">
        <f>IF(H4866="","",IFERROR(VLOOKUP(H4866,Listas!$J$2:$K$1048576,2,FALSE),""))</f>
        <v/>
      </c>
      <c r="K4866" s="5" t="str">
        <f>IF(OR(I4866="",G4866=""),"",IF(G4866="Saída",-I4866,I4866))</f>
        <v/>
      </c>
      <c r="L4866" t="str">
        <f>IF(E4866="","",IFERROR(VLOOKUP(E4866,Listas!$A$2:$C$1048576,3,FALSE),""))</f>
        <v/>
      </c>
    </row>
    <row r="4867" spans="10:12" x14ac:dyDescent="0.25">
      <c r="J4867" t="str">
        <f>IF(H4867="","",IFERROR(VLOOKUP(H4867,Listas!$J$2:$K$1048576,2,FALSE),""))</f>
        <v/>
      </c>
      <c r="K4867" s="5" t="str">
        <f>IF(OR(I4867="",G4867=""),"",IF(G4867="Saída",-I4867,I4867))</f>
        <v/>
      </c>
      <c r="L4867" t="str">
        <f>IF(E4867="","",IFERROR(VLOOKUP(E4867,Listas!$A$2:$C$1048576,3,FALSE),""))</f>
        <v/>
      </c>
    </row>
    <row r="4868" spans="10:12" x14ac:dyDescent="0.25">
      <c r="J4868" t="str">
        <f>IF(H4868="","",IFERROR(VLOOKUP(H4868,Listas!$J$2:$K$1048576,2,FALSE),""))</f>
        <v/>
      </c>
      <c r="K4868" s="5" t="str">
        <f>IF(OR(I4868="",G4868=""),"",IF(G4868="Saída",-I4868,I4868))</f>
        <v/>
      </c>
      <c r="L4868" t="str">
        <f>IF(E4868="","",IFERROR(VLOOKUP(E4868,Listas!$A$2:$C$1048576,3,FALSE),""))</f>
        <v/>
      </c>
    </row>
    <row r="4869" spans="10:12" x14ac:dyDescent="0.25">
      <c r="J4869" t="str">
        <f>IF(H4869="","",IFERROR(VLOOKUP(H4869,Listas!$J$2:$K$1048576,2,FALSE),""))</f>
        <v/>
      </c>
      <c r="K4869" s="5" t="str">
        <f>IF(OR(I4869="",G4869=""),"",IF(G4869="Saída",-I4869,I4869))</f>
        <v/>
      </c>
      <c r="L4869" t="str">
        <f>IF(E4869="","",IFERROR(VLOOKUP(E4869,Listas!$A$2:$C$1048576,3,FALSE),""))</f>
        <v/>
      </c>
    </row>
    <row r="4870" spans="10:12" x14ac:dyDescent="0.25">
      <c r="J4870" t="str">
        <f>IF(H4870="","",IFERROR(VLOOKUP(H4870,Listas!$J$2:$K$1048576,2,FALSE),""))</f>
        <v/>
      </c>
      <c r="K4870" s="5" t="str">
        <f>IF(OR(I4870="",G4870=""),"",IF(G4870="Saída",-I4870,I4870))</f>
        <v/>
      </c>
      <c r="L4870" t="str">
        <f>IF(E4870="","",IFERROR(VLOOKUP(E4870,Listas!$A$2:$C$1048576,3,FALSE),""))</f>
        <v/>
      </c>
    </row>
    <row r="4871" spans="10:12" x14ac:dyDescent="0.25">
      <c r="J4871" t="str">
        <f>IF(H4871="","",IFERROR(VLOOKUP(H4871,Listas!$J$2:$K$1048576,2,FALSE),""))</f>
        <v/>
      </c>
      <c r="K4871" s="5" t="str">
        <f>IF(OR(I4871="",G4871=""),"",IF(G4871="Saída",-I4871,I4871))</f>
        <v/>
      </c>
      <c r="L4871" t="str">
        <f>IF(E4871="","",IFERROR(VLOOKUP(E4871,Listas!$A$2:$C$1048576,3,FALSE),""))</f>
        <v/>
      </c>
    </row>
    <row r="4872" spans="10:12" x14ac:dyDescent="0.25">
      <c r="J4872" t="str">
        <f>IF(H4872="","",IFERROR(VLOOKUP(H4872,Listas!$J$2:$K$1048576,2,FALSE),""))</f>
        <v/>
      </c>
      <c r="K4872" s="5" t="str">
        <f>IF(OR(I4872="",G4872=""),"",IF(G4872="Saída",-I4872,I4872))</f>
        <v/>
      </c>
      <c r="L4872" t="str">
        <f>IF(E4872="","",IFERROR(VLOOKUP(E4872,Listas!$A$2:$C$1048576,3,FALSE),""))</f>
        <v/>
      </c>
    </row>
    <row r="4873" spans="10:12" x14ac:dyDescent="0.25">
      <c r="J4873" t="str">
        <f>IF(H4873="","",IFERROR(VLOOKUP(H4873,Listas!$J$2:$K$1048576,2,FALSE),""))</f>
        <v/>
      </c>
      <c r="K4873" s="5" t="str">
        <f>IF(OR(I4873="",G4873=""),"",IF(G4873="Saída",-I4873,I4873))</f>
        <v/>
      </c>
      <c r="L4873" t="str">
        <f>IF(E4873="","",IFERROR(VLOOKUP(E4873,Listas!$A$2:$C$1048576,3,FALSE),""))</f>
        <v/>
      </c>
    </row>
    <row r="4874" spans="10:12" x14ac:dyDescent="0.25">
      <c r="J4874" t="str">
        <f>IF(H4874="","",IFERROR(VLOOKUP(H4874,Listas!$J$2:$K$1048576,2,FALSE),""))</f>
        <v/>
      </c>
      <c r="K4874" s="5" t="str">
        <f>IF(OR(I4874="",G4874=""),"",IF(G4874="Saída",-I4874,I4874))</f>
        <v/>
      </c>
      <c r="L4874" t="str">
        <f>IF(E4874="","",IFERROR(VLOOKUP(E4874,Listas!$A$2:$C$1048576,3,FALSE),""))</f>
        <v/>
      </c>
    </row>
    <row r="4875" spans="10:12" x14ac:dyDescent="0.25">
      <c r="J4875" t="str">
        <f>IF(H4875="","",IFERROR(VLOOKUP(H4875,Listas!$J$2:$K$1048576,2,FALSE),""))</f>
        <v/>
      </c>
      <c r="K4875" s="5" t="str">
        <f>IF(OR(I4875="",G4875=""),"",IF(G4875="Saída",-I4875,I4875))</f>
        <v/>
      </c>
      <c r="L4875" t="str">
        <f>IF(E4875="","",IFERROR(VLOOKUP(E4875,Listas!$A$2:$C$1048576,3,FALSE),""))</f>
        <v/>
      </c>
    </row>
    <row r="4876" spans="10:12" x14ac:dyDescent="0.25">
      <c r="J4876" t="str">
        <f>IF(H4876="","",IFERROR(VLOOKUP(H4876,Listas!$J$2:$K$1048576,2,FALSE),""))</f>
        <v/>
      </c>
      <c r="K4876" s="5" t="str">
        <f>IF(OR(I4876="",G4876=""),"",IF(G4876="Saída",-I4876,I4876))</f>
        <v/>
      </c>
      <c r="L4876" t="str">
        <f>IF(E4876="","",IFERROR(VLOOKUP(E4876,Listas!$A$2:$C$1048576,3,FALSE),""))</f>
        <v/>
      </c>
    </row>
    <row r="4877" spans="10:12" x14ac:dyDescent="0.25">
      <c r="J4877" t="str">
        <f>IF(H4877="","",IFERROR(VLOOKUP(H4877,Listas!$J$2:$K$1048576,2,FALSE),""))</f>
        <v/>
      </c>
      <c r="K4877" s="5" t="str">
        <f>IF(OR(I4877="",G4877=""),"",IF(G4877="Saída",-I4877,I4877))</f>
        <v/>
      </c>
      <c r="L4877" t="str">
        <f>IF(E4877="","",IFERROR(VLOOKUP(E4877,Listas!$A$2:$C$1048576,3,FALSE),""))</f>
        <v/>
      </c>
    </row>
    <row r="4878" spans="10:12" x14ac:dyDescent="0.25">
      <c r="J4878" t="str">
        <f>IF(H4878="","",IFERROR(VLOOKUP(H4878,Listas!$J$2:$K$1048576,2,FALSE),""))</f>
        <v/>
      </c>
      <c r="K4878" s="5" t="str">
        <f>IF(OR(I4878="",G4878=""),"",IF(G4878="Saída",-I4878,I4878))</f>
        <v/>
      </c>
      <c r="L4878" t="str">
        <f>IF(E4878="","",IFERROR(VLOOKUP(E4878,Listas!$A$2:$C$1048576,3,FALSE),""))</f>
        <v/>
      </c>
    </row>
    <row r="4879" spans="10:12" x14ac:dyDescent="0.25">
      <c r="J4879" t="str">
        <f>IF(H4879="","",IFERROR(VLOOKUP(H4879,Listas!$J$2:$K$1048576,2,FALSE),""))</f>
        <v/>
      </c>
      <c r="K4879" s="5" t="str">
        <f>IF(OR(I4879="",G4879=""),"",IF(G4879="Saída",-I4879,I4879))</f>
        <v/>
      </c>
      <c r="L4879" t="str">
        <f>IF(E4879="","",IFERROR(VLOOKUP(E4879,Listas!$A$2:$C$1048576,3,FALSE),""))</f>
        <v/>
      </c>
    </row>
    <row r="4880" spans="10:12" x14ac:dyDescent="0.25">
      <c r="J4880" t="str">
        <f>IF(H4880="","",IFERROR(VLOOKUP(H4880,Listas!$J$2:$K$1048576,2,FALSE),""))</f>
        <v/>
      </c>
      <c r="K4880" s="5" t="str">
        <f>IF(OR(I4880="",G4880=""),"",IF(G4880="Saída",-I4880,I4880))</f>
        <v/>
      </c>
      <c r="L4880" t="str">
        <f>IF(E4880="","",IFERROR(VLOOKUP(E4880,Listas!$A$2:$C$1048576,3,FALSE),""))</f>
        <v/>
      </c>
    </row>
    <row r="4881" spans="10:12" x14ac:dyDescent="0.25">
      <c r="J4881" t="str">
        <f>IF(H4881="","",IFERROR(VLOOKUP(H4881,Listas!$J$2:$K$1048576,2,FALSE),""))</f>
        <v/>
      </c>
      <c r="K4881" s="5" t="str">
        <f>IF(OR(I4881="",G4881=""),"",IF(G4881="Saída",-I4881,I4881))</f>
        <v/>
      </c>
      <c r="L4881" t="str">
        <f>IF(E4881="","",IFERROR(VLOOKUP(E4881,Listas!$A$2:$C$1048576,3,FALSE),""))</f>
        <v/>
      </c>
    </row>
    <row r="4882" spans="10:12" x14ac:dyDescent="0.25">
      <c r="J4882" t="str">
        <f>IF(H4882="","",IFERROR(VLOOKUP(H4882,Listas!$J$2:$K$1048576,2,FALSE),""))</f>
        <v/>
      </c>
      <c r="K4882" s="5" t="str">
        <f>IF(OR(I4882="",G4882=""),"",IF(G4882="Saída",-I4882,I4882))</f>
        <v/>
      </c>
      <c r="L4882" t="str">
        <f>IF(E4882="","",IFERROR(VLOOKUP(E4882,Listas!$A$2:$C$1048576,3,FALSE),""))</f>
        <v/>
      </c>
    </row>
    <row r="4883" spans="10:12" x14ac:dyDescent="0.25">
      <c r="J4883" t="str">
        <f>IF(H4883="","",IFERROR(VLOOKUP(H4883,Listas!$J$2:$K$1048576,2,FALSE),""))</f>
        <v/>
      </c>
      <c r="K4883" s="5" t="str">
        <f>IF(OR(I4883="",G4883=""),"",IF(G4883="Saída",-I4883,I4883))</f>
        <v/>
      </c>
      <c r="L4883" t="str">
        <f>IF(E4883="","",IFERROR(VLOOKUP(E4883,Listas!$A$2:$C$1048576,3,FALSE),""))</f>
        <v/>
      </c>
    </row>
    <row r="4884" spans="10:12" x14ac:dyDescent="0.25">
      <c r="J4884" t="str">
        <f>IF(H4884="","",IFERROR(VLOOKUP(H4884,Listas!$J$2:$K$1048576,2,FALSE),""))</f>
        <v/>
      </c>
      <c r="K4884" s="5" t="str">
        <f>IF(OR(I4884="",G4884=""),"",IF(G4884="Saída",-I4884,I4884))</f>
        <v/>
      </c>
      <c r="L4884" t="str">
        <f>IF(E4884="","",IFERROR(VLOOKUP(E4884,Listas!$A$2:$C$1048576,3,FALSE),""))</f>
        <v/>
      </c>
    </row>
    <row r="4885" spans="10:12" x14ac:dyDescent="0.25">
      <c r="J4885" t="str">
        <f>IF(H4885="","",IFERROR(VLOOKUP(H4885,Listas!$J$2:$K$1048576,2,FALSE),""))</f>
        <v/>
      </c>
      <c r="K4885" s="5" t="str">
        <f>IF(OR(I4885="",G4885=""),"",IF(G4885="Saída",-I4885,I4885))</f>
        <v/>
      </c>
      <c r="L4885" t="str">
        <f>IF(E4885="","",IFERROR(VLOOKUP(E4885,Listas!$A$2:$C$1048576,3,FALSE),""))</f>
        <v/>
      </c>
    </row>
    <row r="4886" spans="10:12" x14ac:dyDescent="0.25">
      <c r="J4886" t="str">
        <f>IF(H4886="","",IFERROR(VLOOKUP(H4886,Listas!$J$2:$K$1048576,2,FALSE),""))</f>
        <v/>
      </c>
      <c r="K4886" s="5" t="str">
        <f>IF(OR(I4886="",G4886=""),"",IF(G4886="Saída",-I4886,I4886))</f>
        <v/>
      </c>
      <c r="L4886" t="str">
        <f>IF(E4886="","",IFERROR(VLOOKUP(E4886,Listas!$A$2:$C$1048576,3,FALSE),""))</f>
        <v/>
      </c>
    </row>
    <row r="4887" spans="10:12" x14ac:dyDescent="0.25">
      <c r="J4887" t="str">
        <f>IF(H4887="","",IFERROR(VLOOKUP(H4887,Listas!$J$2:$K$1048576,2,FALSE),""))</f>
        <v/>
      </c>
      <c r="K4887" s="5" t="str">
        <f>IF(OR(I4887="",G4887=""),"",IF(G4887="Saída",-I4887,I4887))</f>
        <v/>
      </c>
      <c r="L4887" t="str">
        <f>IF(E4887="","",IFERROR(VLOOKUP(E4887,Listas!$A$2:$C$1048576,3,FALSE),""))</f>
        <v/>
      </c>
    </row>
    <row r="4888" spans="10:12" x14ac:dyDescent="0.25">
      <c r="J4888" t="str">
        <f>IF(H4888="","",IFERROR(VLOOKUP(H4888,Listas!$J$2:$K$1048576,2,FALSE),""))</f>
        <v/>
      </c>
      <c r="K4888" s="5" t="str">
        <f>IF(OR(I4888="",G4888=""),"",IF(G4888="Saída",-I4888,I4888))</f>
        <v/>
      </c>
      <c r="L4888" t="str">
        <f>IF(E4888="","",IFERROR(VLOOKUP(E4888,Listas!$A$2:$C$1048576,3,FALSE),""))</f>
        <v/>
      </c>
    </row>
    <row r="4889" spans="10:12" x14ac:dyDescent="0.25">
      <c r="J4889" t="str">
        <f>IF(H4889="","",IFERROR(VLOOKUP(H4889,Listas!$J$2:$K$1048576,2,FALSE),""))</f>
        <v/>
      </c>
      <c r="K4889" s="5" t="str">
        <f>IF(OR(I4889="",G4889=""),"",IF(G4889="Saída",-I4889,I4889))</f>
        <v/>
      </c>
      <c r="L4889" t="str">
        <f>IF(E4889="","",IFERROR(VLOOKUP(E4889,Listas!$A$2:$C$1048576,3,FALSE),""))</f>
        <v/>
      </c>
    </row>
    <row r="4890" spans="10:12" x14ac:dyDescent="0.25">
      <c r="J4890" t="str">
        <f>IF(H4890="","",IFERROR(VLOOKUP(H4890,Listas!$J$2:$K$1048576,2,FALSE),""))</f>
        <v/>
      </c>
      <c r="K4890" s="5" t="str">
        <f>IF(OR(I4890="",G4890=""),"",IF(G4890="Saída",-I4890,I4890))</f>
        <v/>
      </c>
      <c r="L4890" t="str">
        <f>IF(E4890="","",IFERROR(VLOOKUP(E4890,Listas!$A$2:$C$1048576,3,FALSE),""))</f>
        <v/>
      </c>
    </row>
    <row r="4891" spans="10:12" x14ac:dyDescent="0.25">
      <c r="J4891" t="str">
        <f>IF(H4891="","",IFERROR(VLOOKUP(H4891,Listas!$J$2:$K$1048576,2,FALSE),""))</f>
        <v/>
      </c>
      <c r="K4891" s="5" t="str">
        <f>IF(OR(I4891="",G4891=""),"",IF(G4891="Saída",-I4891,I4891))</f>
        <v/>
      </c>
      <c r="L4891" t="str">
        <f>IF(E4891="","",IFERROR(VLOOKUP(E4891,Listas!$A$2:$C$1048576,3,FALSE),""))</f>
        <v/>
      </c>
    </row>
    <row r="4892" spans="10:12" x14ac:dyDescent="0.25">
      <c r="J4892" t="str">
        <f>IF(H4892="","",IFERROR(VLOOKUP(H4892,Listas!$J$2:$K$1048576,2,FALSE),""))</f>
        <v/>
      </c>
      <c r="K4892" s="5" t="str">
        <f>IF(OR(I4892="",G4892=""),"",IF(G4892="Saída",-I4892,I4892))</f>
        <v/>
      </c>
      <c r="L4892" t="str">
        <f>IF(E4892="","",IFERROR(VLOOKUP(E4892,Listas!$A$2:$C$1048576,3,FALSE),""))</f>
        <v/>
      </c>
    </row>
    <row r="4893" spans="10:12" x14ac:dyDescent="0.25">
      <c r="J4893" t="str">
        <f>IF(H4893="","",IFERROR(VLOOKUP(H4893,Listas!$J$2:$K$1048576,2,FALSE),""))</f>
        <v/>
      </c>
      <c r="K4893" s="5" t="str">
        <f>IF(OR(I4893="",G4893=""),"",IF(G4893="Saída",-I4893,I4893))</f>
        <v/>
      </c>
      <c r="L4893" t="str">
        <f>IF(E4893="","",IFERROR(VLOOKUP(E4893,Listas!$A$2:$C$1048576,3,FALSE),""))</f>
        <v/>
      </c>
    </row>
    <row r="4894" spans="10:12" x14ac:dyDescent="0.25">
      <c r="J4894" t="str">
        <f>IF(H4894="","",IFERROR(VLOOKUP(H4894,Listas!$J$2:$K$1048576,2,FALSE),""))</f>
        <v/>
      </c>
      <c r="K4894" s="5" t="str">
        <f>IF(OR(I4894="",G4894=""),"",IF(G4894="Saída",-I4894,I4894))</f>
        <v/>
      </c>
      <c r="L4894" t="str">
        <f>IF(E4894="","",IFERROR(VLOOKUP(E4894,Listas!$A$2:$C$1048576,3,FALSE),""))</f>
        <v/>
      </c>
    </row>
    <row r="4895" spans="10:12" x14ac:dyDescent="0.25">
      <c r="J4895" t="str">
        <f>IF(H4895="","",IFERROR(VLOOKUP(H4895,Listas!$J$2:$K$1048576,2,FALSE),""))</f>
        <v/>
      </c>
      <c r="K4895" s="5" t="str">
        <f>IF(OR(I4895="",G4895=""),"",IF(G4895="Saída",-I4895,I4895))</f>
        <v/>
      </c>
      <c r="L4895" t="str">
        <f>IF(E4895="","",IFERROR(VLOOKUP(E4895,Listas!$A$2:$C$1048576,3,FALSE),""))</f>
        <v/>
      </c>
    </row>
    <row r="4896" spans="10:12" x14ac:dyDescent="0.25">
      <c r="J4896" t="str">
        <f>IF(H4896="","",IFERROR(VLOOKUP(H4896,Listas!$J$2:$K$1048576,2,FALSE),""))</f>
        <v/>
      </c>
      <c r="K4896" s="5" t="str">
        <f>IF(OR(I4896="",G4896=""),"",IF(G4896="Saída",-I4896,I4896))</f>
        <v/>
      </c>
      <c r="L4896" t="str">
        <f>IF(E4896="","",IFERROR(VLOOKUP(E4896,Listas!$A$2:$C$1048576,3,FALSE),""))</f>
        <v/>
      </c>
    </row>
    <row r="4897" spans="10:12" x14ac:dyDescent="0.25">
      <c r="J4897" t="str">
        <f>IF(H4897="","",IFERROR(VLOOKUP(H4897,Listas!$J$2:$K$1048576,2,FALSE),""))</f>
        <v/>
      </c>
      <c r="K4897" s="5" t="str">
        <f>IF(OR(I4897="",G4897=""),"",IF(G4897="Saída",-I4897,I4897))</f>
        <v/>
      </c>
      <c r="L4897" t="str">
        <f>IF(E4897="","",IFERROR(VLOOKUP(E4897,Listas!$A$2:$C$1048576,3,FALSE),""))</f>
        <v/>
      </c>
    </row>
    <row r="4898" spans="10:12" x14ac:dyDescent="0.25">
      <c r="J4898" t="str">
        <f>IF(H4898="","",IFERROR(VLOOKUP(H4898,Listas!$J$2:$K$1048576,2,FALSE),""))</f>
        <v/>
      </c>
      <c r="K4898" s="5" t="str">
        <f>IF(OR(I4898="",G4898=""),"",IF(G4898="Saída",-I4898,I4898))</f>
        <v/>
      </c>
      <c r="L4898" t="str">
        <f>IF(E4898="","",IFERROR(VLOOKUP(E4898,Listas!$A$2:$C$1048576,3,FALSE),""))</f>
        <v/>
      </c>
    </row>
    <row r="4899" spans="10:12" x14ac:dyDescent="0.25">
      <c r="J4899" t="str">
        <f>IF(H4899="","",IFERROR(VLOOKUP(H4899,Listas!$J$2:$K$1048576,2,FALSE),""))</f>
        <v/>
      </c>
      <c r="K4899" s="5" t="str">
        <f>IF(OR(I4899="",G4899=""),"",IF(G4899="Saída",-I4899,I4899))</f>
        <v/>
      </c>
      <c r="L4899" t="str">
        <f>IF(E4899="","",IFERROR(VLOOKUP(E4899,Listas!$A$2:$C$1048576,3,FALSE),""))</f>
        <v/>
      </c>
    </row>
    <row r="4900" spans="10:12" x14ac:dyDescent="0.25">
      <c r="J4900" t="str">
        <f>IF(H4900="","",IFERROR(VLOOKUP(H4900,Listas!$J$2:$K$1048576,2,FALSE),""))</f>
        <v/>
      </c>
      <c r="K4900" s="5" t="str">
        <f>IF(OR(I4900="",G4900=""),"",IF(G4900="Saída",-I4900,I4900))</f>
        <v/>
      </c>
      <c r="L4900" t="str">
        <f>IF(E4900="","",IFERROR(VLOOKUP(E4900,Listas!$A$2:$C$1048576,3,FALSE),""))</f>
        <v/>
      </c>
    </row>
    <row r="4901" spans="10:12" x14ac:dyDescent="0.25">
      <c r="J4901" t="str">
        <f>IF(H4901="","",IFERROR(VLOOKUP(H4901,Listas!$J$2:$K$1048576,2,FALSE),""))</f>
        <v/>
      </c>
      <c r="K4901" s="5" t="str">
        <f>IF(OR(I4901="",G4901=""),"",IF(G4901="Saída",-I4901,I4901))</f>
        <v/>
      </c>
      <c r="L4901" t="str">
        <f>IF(E4901="","",IFERROR(VLOOKUP(E4901,Listas!$A$2:$C$1048576,3,FALSE),""))</f>
        <v/>
      </c>
    </row>
    <row r="4902" spans="10:12" x14ac:dyDescent="0.25">
      <c r="J4902" t="str">
        <f>IF(H4902="","",IFERROR(VLOOKUP(H4902,Listas!$J$2:$K$1048576,2,FALSE),""))</f>
        <v/>
      </c>
      <c r="K4902" s="5" t="str">
        <f>IF(OR(I4902="",G4902=""),"",IF(G4902="Saída",-I4902,I4902))</f>
        <v/>
      </c>
      <c r="L4902" t="str">
        <f>IF(E4902="","",IFERROR(VLOOKUP(E4902,Listas!$A$2:$C$1048576,3,FALSE),""))</f>
        <v/>
      </c>
    </row>
    <row r="4903" spans="10:12" x14ac:dyDescent="0.25">
      <c r="J4903" t="str">
        <f>IF(H4903="","",IFERROR(VLOOKUP(H4903,Listas!$J$2:$K$1048576,2,FALSE),""))</f>
        <v/>
      </c>
      <c r="K4903" s="5" t="str">
        <f>IF(OR(I4903="",G4903=""),"",IF(G4903="Saída",-I4903,I4903))</f>
        <v/>
      </c>
      <c r="L4903" t="str">
        <f>IF(E4903="","",IFERROR(VLOOKUP(E4903,Listas!$A$2:$C$1048576,3,FALSE),""))</f>
        <v/>
      </c>
    </row>
    <row r="4904" spans="10:12" x14ac:dyDescent="0.25">
      <c r="J4904" t="str">
        <f>IF(H4904="","",IFERROR(VLOOKUP(H4904,Listas!$J$2:$K$1048576,2,FALSE),""))</f>
        <v/>
      </c>
      <c r="K4904" s="5" t="str">
        <f>IF(OR(I4904="",G4904=""),"",IF(G4904="Saída",-I4904,I4904))</f>
        <v/>
      </c>
      <c r="L4904" t="str">
        <f>IF(E4904="","",IFERROR(VLOOKUP(E4904,Listas!$A$2:$C$1048576,3,FALSE),""))</f>
        <v/>
      </c>
    </row>
    <row r="4905" spans="10:12" x14ac:dyDescent="0.25">
      <c r="J4905" t="str">
        <f>IF(H4905="","",IFERROR(VLOOKUP(H4905,Listas!$J$2:$K$1048576,2,FALSE),""))</f>
        <v/>
      </c>
      <c r="K4905" s="5" t="str">
        <f>IF(OR(I4905="",G4905=""),"",IF(G4905="Saída",-I4905,I4905))</f>
        <v/>
      </c>
      <c r="L4905" t="str">
        <f>IF(E4905="","",IFERROR(VLOOKUP(E4905,Listas!$A$2:$C$1048576,3,FALSE),""))</f>
        <v/>
      </c>
    </row>
    <row r="4906" spans="10:12" x14ac:dyDescent="0.25">
      <c r="J4906" t="str">
        <f>IF(H4906="","",IFERROR(VLOOKUP(H4906,Listas!$J$2:$K$1048576,2,FALSE),""))</f>
        <v/>
      </c>
      <c r="K4906" s="5" t="str">
        <f>IF(OR(I4906="",G4906=""),"",IF(G4906="Saída",-I4906,I4906))</f>
        <v/>
      </c>
      <c r="L4906" t="str">
        <f>IF(E4906="","",IFERROR(VLOOKUP(E4906,Listas!$A$2:$C$1048576,3,FALSE),""))</f>
        <v/>
      </c>
    </row>
    <row r="4907" spans="10:12" x14ac:dyDescent="0.25">
      <c r="J4907" t="str">
        <f>IF(H4907="","",IFERROR(VLOOKUP(H4907,Listas!$J$2:$K$1048576,2,FALSE),""))</f>
        <v/>
      </c>
      <c r="K4907" s="5" t="str">
        <f>IF(OR(I4907="",G4907=""),"",IF(G4907="Saída",-I4907,I4907))</f>
        <v/>
      </c>
      <c r="L4907" t="str">
        <f>IF(E4907="","",IFERROR(VLOOKUP(E4907,Listas!$A$2:$C$1048576,3,FALSE),""))</f>
        <v/>
      </c>
    </row>
    <row r="4908" spans="10:12" x14ac:dyDescent="0.25">
      <c r="J4908" t="str">
        <f>IF(H4908="","",IFERROR(VLOOKUP(H4908,Listas!$J$2:$K$1048576,2,FALSE),""))</f>
        <v/>
      </c>
      <c r="K4908" s="5" t="str">
        <f>IF(OR(I4908="",G4908=""),"",IF(G4908="Saída",-I4908,I4908))</f>
        <v/>
      </c>
      <c r="L4908" t="str">
        <f>IF(E4908="","",IFERROR(VLOOKUP(E4908,Listas!$A$2:$C$1048576,3,FALSE),""))</f>
        <v/>
      </c>
    </row>
    <row r="4909" spans="10:12" x14ac:dyDescent="0.25">
      <c r="J4909" t="str">
        <f>IF(H4909="","",IFERROR(VLOOKUP(H4909,Listas!$J$2:$K$1048576,2,FALSE),""))</f>
        <v/>
      </c>
      <c r="K4909" s="5" t="str">
        <f>IF(OR(I4909="",G4909=""),"",IF(G4909="Saída",-I4909,I4909))</f>
        <v/>
      </c>
      <c r="L4909" t="str">
        <f>IF(E4909="","",IFERROR(VLOOKUP(E4909,Listas!$A$2:$C$1048576,3,FALSE),""))</f>
        <v/>
      </c>
    </row>
    <row r="4910" spans="10:12" x14ac:dyDescent="0.25">
      <c r="J4910" t="str">
        <f>IF(H4910="","",IFERROR(VLOOKUP(H4910,Listas!$J$2:$K$1048576,2,FALSE),""))</f>
        <v/>
      </c>
      <c r="K4910" s="5" t="str">
        <f>IF(OR(I4910="",G4910=""),"",IF(G4910="Saída",-I4910,I4910))</f>
        <v/>
      </c>
      <c r="L4910" t="str">
        <f>IF(E4910="","",IFERROR(VLOOKUP(E4910,Listas!$A$2:$C$1048576,3,FALSE),""))</f>
        <v/>
      </c>
    </row>
    <row r="4911" spans="10:12" x14ac:dyDescent="0.25">
      <c r="J4911" t="str">
        <f>IF(H4911="","",IFERROR(VLOOKUP(H4911,Listas!$J$2:$K$1048576,2,FALSE),""))</f>
        <v/>
      </c>
      <c r="K4911" s="5" t="str">
        <f>IF(OR(I4911="",G4911=""),"",IF(G4911="Saída",-I4911,I4911))</f>
        <v/>
      </c>
      <c r="L4911" t="str">
        <f>IF(E4911="","",IFERROR(VLOOKUP(E4911,Listas!$A$2:$C$1048576,3,FALSE),""))</f>
        <v/>
      </c>
    </row>
    <row r="4912" spans="10:12" x14ac:dyDescent="0.25">
      <c r="J4912" t="str">
        <f>IF(H4912="","",IFERROR(VLOOKUP(H4912,Listas!$J$2:$K$1048576,2,FALSE),""))</f>
        <v/>
      </c>
      <c r="K4912" s="5" t="str">
        <f>IF(OR(I4912="",G4912=""),"",IF(G4912="Saída",-I4912,I4912))</f>
        <v/>
      </c>
      <c r="L4912" t="str">
        <f>IF(E4912="","",IFERROR(VLOOKUP(E4912,Listas!$A$2:$C$1048576,3,FALSE),""))</f>
        <v/>
      </c>
    </row>
    <row r="4913" spans="10:12" x14ac:dyDescent="0.25">
      <c r="J4913" t="str">
        <f>IF(H4913="","",IFERROR(VLOOKUP(H4913,Listas!$J$2:$K$1048576,2,FALSE),""))</f>
        <v/>
      </c>
      <c r="K4913" s="5" t="str">
        <f>IF(OR(I4913="",G4913=""),"",IF(G4913="Saída",-I4913,I4913))</f>
        <v/>
      </c>
      <c r="L4913" t="str">
        <f>IF(E4913="","",IFERROR(VLOOKUP(E4913,Listas!$A$2:$C$1048576,3,FALSE),""))</f>
        <v/>
      </c>
    </row>
    <row r="4914" spans="10:12" x14ac:dyDescent="0.25">
      <c r="J4914" t="str">
        <f>IF(H4914="","",IFERROR(VLOOKUP(H4914,Listas!$J$2:$K$1048576,2,FALSE),""))</f>
        <v/>
      </c>
      <c r="K4914" s="5" t="str">
        <f>IF(OR(I4914="",G4914=""),"",IF(G4914="Saída",-I4914,I4914))</f>
        <v/>
      </c>
      <c r="L4914" t="str">
        <f>IF(E4914="","",IFERROR(VLOOKUP(E4914,Listas!$A$2:$C$1048576,3,FALSE),""))</f>
        <v/>
      </c>
    </row>
    <row r="4915" spans="10:12" x14ac:dyDescent="0.25">
      <c r="J4915" t="str">
        <f>IF(H4915="","",IFERROR(VLOOKUP(H4915,Listas!$J$2:$K$1048576,2,FALSE),""))</f>
        <v/>
      </c>
      <c r="K4915" s="5" t="str">
        <f>IF(OR(I4915="",G4915=""),"",IF(G4915="Saída",-I4915,I4915))</f>
        <v/>
      </c>
      <c r="L4915" t="str">
        <f>IF(E4915="","",IFERROR(VLOOKUP(E4915,Listas!$A$2:$C$1048576,3,FALSE),""))</f>
        <v/>
      </c>
    </row>
    <row r="4916" spans="10:12" x14ac:dyDescent="0.25">
      <c r="J4916" t="str">
        <f>IF(H4916="","",IFERROR(VLOOKUP(H4916,Listas!$J$2:$K$1048576,2,FALSE),""))</f>
        <v/>
      </c>
      <c r="K4916" s="5" t="str">
        <f>IF(OR(I4916="",G4916=""),"",IF(G4916="Saída",-I4916,I4916))</f>
        <v/>
      </c>
      <c r="L4916" t="str">
        <f>IF(E4916="","",IFERROR(VLOOKUP(E4916,Listas!$A$2:$C$1048576,3,FALSE),""))</f>
        <v/>
      </c>
    </row>
    <row r="4917" spans="10:12" x14ac:dyDescent="0.25">
      <c r="J4917" t="str">
        <f>IF(H4917="","",IFERROR(VLOOKUP(H4917,Listas!$J$2:$K$1048576,2,FALSE),""))</f>
        <v/>
      </c>
      <c r="K4917" s="5" t="str">
        <f>IF(OR(I4917="",G4917=""),"",IF(G4917="Saída",-I4917,I4917))</f>
        <v/>
      </c>
      <c r="L4917" t="str">
        <f>IF(E4917="","",IFERROR(VLOOKUP(E4917,Listas!$A$2:$C$1048576,3,FALSE),""))</f>
        <v/>
      </c>
    </row>
    <row r="4918" spans="10:12" x14ac:dyDescent="0.25">
      <c r="J4918" t="str">
        <f>IF(H4918="","",IFERROR(VLOOKUP(H4918,Listas!$J$2:$K$1048576,2,FALSE),""))</f>
        <v/>
      </c>
      <c r="K4918" s="5" t="str">
        <f>IF(OR(I4918="",G4918=""),"",IF(G4918="Saída",-I4918,I4918))</f>
        <v/>
      </c>
      <c r="L4918" t="str">
        <f>IF(E4918="","",IFERROR(VLOOKUP(E4918,Listas!$A$2:$C$1048576,3,FALSE),""))</f>
        <v/>
      </c>
    </row>
    <row r="4919" spans="10:12" x14ac:dyDescent="0.25">
      <c r="J4919" t="str">
        <f>IF(H4919="","",IFERROR(VLOOKUP(H4919,Listas!$J$2:$K$1048576,2,FALSE),""))</f>
        <v/>
      </c>
      <c r="K4919" s="5" t="str">
        <f>IF(OR(I4919="",G4919=""),"",IF(G4919="Saída",-I4919,I4919))</f>
        <v/>
      </c>
      <c r="L4919" t="str">
        <f>IF(E4919="","",IFERROR(VLOOKUP(E4919,Listas!$A$2:$C$1048576,3,FALSE),""))</f>
        <v/>
      </c>
    </row>
    <row r="4920" spans="10:12" x14ac:dyDescent="0.25">
      <c r="J4920" t="str">
        <f>IF(H4920="","",IFERROR(VLOOKUP(H4920,Listas!$J$2:$K$1048576,2,FALSE),""))</f>
        <v/>
      </c>
      <c r="K4920" s="5" t="str">
        <f>IF(OR(I4920="",G4920=""),"",IF(G4920="Saída",-I4920,I4920))</f>
        <v/>
      </c>
      <c r="L4920" t="str">
        <f>IF(E4920="","",IFERROR(VLOOKUP(E4920,Listas!$A$2:$C$1048576,3,FALSE),""))</f>
        <v/>
      </c>
    </row>
    <row r="4921" spans="10:12" x14ac:dyDescent="0.25">
      <c r="J4921" t="str">
        <f>IF(H4921="","",IFERROR(VLOOKUP(H4921,Listas!$J$2:$K$1048576,2,FALSE),""))</f>
        <v/>
      </c>
      <c r="K4921" s="5" t="str">
        <f>IF(OR(I4921="",G4921=""),"",IF(G4921="Saída",-I4921,I4921))</f>
        <v/>
      </c>
      <c r="L4921" t="str">
        <f>IF(E4921="","",IFERROR(VLOOKUP(E4921,Listas!$A$2:$C$1048576,3,FALSE),""))</f>
        <v/>
      </c>
    </row>
    <row r="4922" spans="10:12" x14ac:dyDescent="0.25">
      <c r="J4922" t="str">
        <f>IF(H4922="","",IFERROR(VLOOKUP(H4922,Listas!$J$2:$K$1048576,2,FALSE),""))</f>
        <v/>
      </c>
      <c r="K4922" s="5" t="str">
        <f>IF(OR(I4922="",G4922=""),"",IF(G4922="Saída",-I4922,I4922))</f>
        <v/>
      </c>
      <c r="L4922" t="str">
        <f>IF(E4922="","",IFERROR(VLOOKUP(E4922,Listas!$A$2:$C$1048576,3,FALSE),""))</f>
        <v/>
      </c>
    </row>
    <row r="4923" spans="10:12" x14ac:dyDescent="0.25">
      <c r="J4923" t="str">
        <f>IF(H4923="","",IFERROR(VLOOKUP(H4923,Listas!$J$2:$K$1048576,2,FALSE),""))</f>
        <v/>
      </c>
      <c r="K4923" s="5" t="str">
        <f>IF(OR(I4923="",G4923=""),"",IF(G4923="Saída",-I4923,I4923))</f>
        <v/>
      </c>
      <c r="L4923" t="str">
        <f>IF(E4923="","",IFERROR(VLOOKUP(E4923,Listas!$A$2:$C$1048576,3,FALSE),""))</f>
        <v/>
      </c>
    </row>
    <row r="4924" spans="10:12" x14ac:dyDescent="0.25">
      <c r="J4924" t="str">
        <f>IF(H4924="","",IFERROR(VLOOKUP(H4924,Listas!$J$2:$K$1048576,2,FALSE),""))</f>
        <v/>
      </c>
      <c r="K4924" s="5" t="str">
        <f>IF(OR(I4924="",G4924=""),"",IF(G4924="Saída",-I4924,I4924))</f>
        <v/>
      </c>
      <c r="L4924" t="str">
        <f>IF(E4924="","",IFERROR(VLOOKUP(E4924,Listas!$A$2:$C$1048576,3,FALSE),""))</f>
        <v/>
      </c>
    </row>
    <row r="4925" spans="10:12" x14ac:dyDescent="0.25">
      <c r="J4925" t="str">
        <f>IF(H4925="","",IFERROR(VLOOKUP(H4925,Listas!$J$2:$K$1048576,2,FALSE),""))</f>
        <v/>
      </c>
      <c r="K4925" s="5" t="str">
        <f>IF(OR(I4925="",G4925=""),"",IF(G4925="Saída",-I4925,I4925))</f>
        <v/>
      </c>
      <c r="L4925" t="str">
        <f>IF(E4925="","",IFERROR(VLOOKUP(E4925,Listas!$A$2:$C$1048576,3,FALSE),""))</f>
        <v/>
      </c>
    </row>
    <row r="4926" spans="10:12" x14ac:dyDescent="0.25">
      <c r="J4926" t="str">
        <f>IF(H4926="","",IFERROR(VLOOKUP(H4926,Listas!$J$2:$K$1048576,2,FALSE),""))</f>
        <v/>
      </c>
      <c r="K4926" s="5" t="str">
        <f>IF(OR(I4926="",G4926=""),"",IF(G4926="Saída",-I4926,I4926))</f>
        <v/>
      </c>
      <c r="L4926" t="str">
        <f>IF(E4926="","",IFERROR(VLOOKUP(E4926,Listas!$A$2:$C$1048576,3,FALSE),""))</f>
        <v/>
      </c>
    </row>
    <row r="4927" spans="10:12" x14ac:dyDescent="0.25">
      <c r="J4927" t="str">
        <f>IF(H4927="","",IFERROR(VLOOKUP(H4927,Listas!$J$2:$K$1048576,2,FALSE),""))</f>
        <v/>
      </c>
      <c r="K4927" s="5" t="str">
        <f>IF(OR(I4927="",G4927=""),"",IF(G4927="Saída",-I4927,I4927))</f>
        <v/>
      </c>
      <c r="L4927" t="str">
        <f>IF(E4927="","",IFERROR(VLOOKUP(E4927,Listas!$A$2:$C$1048576,3,FALSE),""))</f>
        <v/>
      </c>
    </row>
    <row r="4928" spans="10:12" x14ac:dyDescent="0.25">
      <c r="J4928" t="str">
        <f>IF(H4928="","",IFERROR(VLOOKUP(H4928,Listas!$J$2:$K$1048576,2,FALSE),""))</f>
        <v/>
      </c>
      <c r="K4928" s="5" t="str">
        <f>IF(OR(I4928="",G4928=""),"",IF(G4928="Saída",-I4928,I4928))</f>
        <v/>
      </c>
      <c r="L4928" t="str">
        <f>IF(E4928="","",IFERROR(VLOOKUP(E4928,Listas!$A$2:$C$1048576,3,FALSE),""))</f>
        <v/>
      </c>
    </row>
    <row r="4929" spans="10:12" x14ac:dyDescent="0.25">
      <c r="J4929" t="str">
        <f>IF(H4929="","",IFERROR(VLOOKUP(H4929,Listas!$J$2:$K$1048576,2,FALSE),""))</f>
        <v/>
      </c>
      <c r="K4929" s="5" t="str">
        <f>IF(OR(I4929="",G4929=""),"",IF(G4929="Saída",-I4929,I4929))</f>
        <v/>
      </c>
      <c r="L4929" t="str">
        <f>IF(E4929="","",IFERROR(VLOOKUP(E4929,Listas!$A$2:$C$1048576,3,FALSE),""))</f>
        <v/>
      </c>
    </row>
    <row r="4930" spans="10:12" x14ac:dyDescent="0.25">
      <c r="J4930" t="str">
        <f>IF(H4930="","",IFERROR(VLOOKUP(H4930,Listas!$J$2:$K$1048576,2,FALSE),""))</f>
        <v/>
      </c>
      <c r="K4930" s="5" t="str">
        <f>IF(OR(I4930="",G4930=""),"",IF(G4930="Saída",-I4930,I4930))</f>
        <v/>
      </c>
      <c r="L4930" t="str">
        <f>IF(E4930="","",IFERROR(VLOOKUP(E4930,Listas!$A$2:$C$1048576,3,FALSE),""))</f>
        <v/>
      </c>
    </row>
    <row r="4931" spans="10:12" x14ac:dyDescent="0.25">
      <c r="J4931" t="str">
        <f>IF(H4931="","",IFERROR(VLOOKUP(H4931,Listas!$J$2:$K$1048576,2,FALSE),""))</f>
        <v/>
      </c>
      <c r="K4931" s="5" t="str">
        <f>IF(OR(I4931="",G4931=""),"",IF(G4931="Saída",-I4931,I4931))</f>
        <v/>
      </c>
      <c r="L4931" t="str">
        <f>IF(E4931="","",IFERROR(VLOOKUP(E4931,Listas!$A$2:$C$1048576,3,FALSE),""))</f>
        <v/>
      </c>
    </row>
    <row r="4932" spans="10:12" x14ac:dyDescent="0.25">
      <c r="J4932" t="str">
        <f>IF(H4932="","",IFERROR(VLOOKUP(H4932,Listas!$J$2:$K$1048576,2,FALSE),""))</f>
        <v/>
      </c>
      <c r="K4932" s="5" t="str">
        <f>IF(OR(I4932="",G4932=""),"",IF(G4932="Saída",-I4932,I4932))</f>
        <v/>
      </c>
      <c r="L4932" t="str">
        <f>IF(E4932="","",IFERROR(VLOOKUP(E4932,Listas!$A$2:$C$1048576,3,FALSE),""))</f>
        <v/>
      </c>
    </row>
    <row r="4933" spans="10:12" x14ac:dyDescent="0.25">
      <c r="J4933" t="str">
        <f>IF(H4933="","",IFERROR(VLOOKUP(H4933,Listas!$J$2:$K$1048576,2,FALSE),""))</f>
        <v/>
      </c>
      <c r="K4933" s="5" t="str">
        <f>IF(OR(I4933="",G4933=""),"",IF(G4933="Saída",-I4933,I4933))</f>
        <v/>
      </c>
      <c r="L4933" t="str">
        <f>IF(E4933="","",IFERROR(VLOOKUP(E4933,Listas!$A$2:$C$1048576,3,FALSE),""))</f>
        <v/>
      </c>
    </row>
    <row r="4934" spans="10:12" x14ac:dyDescent="0.25">
      <c r="J4934" t="str">
        <f>IF(H4934="","",IFERROR(VLOOKUP(H4934,Listas!$J$2:$K$1048576,2,FALSE),""))</f>
        <v/>
      </c>
      <c r="K4934" s="5" t="str">
        <f>IF(OR(I4934="",G4934=""),"",IF(G4934="Saída",-I4934,I4934))</f>
        <v/>
      </c>
      <c r="L4934" t="str">
        <f>IF(E4934="","",IFERROR(VLOOKUP(E4934,Listas!$A$2:$C$1048576,3,FALSE),""))</f>
        <v/>
      </c>
    </row>
    <row r="4935" spans="10:12" x14ac:dyDescent="0.25">
      <c r="J4935" t="str">
        <f>IF(H4935="","",IFERROR(VLOOKUP(H4935,Listas!$J$2:$K$1048576,2,FALSE),""))</f>
        <v/>
      </c>
      <c r="K4935" s="5" t="str">
        <f>IF(OR(I4935="",G4935=""),"",IF(G4935="Saída",-I4935,I4935))</f>
        <v/>
      </c>
      <c r="L4935" t="str">
        <f>IF(E4935="","",IFERROR(VLOOKUP(E4935,Listas!$A$2:$C$1048576,3,FALSE),""))</f>
        <v/>
      </c>
    </row>
    <row r="4936" spans="10:12" x14ac:dyDescent="0.25">
      <c r="J4936" t="str">
        <f>IF(H4936="","",IFERROR(VLOOKUP(H4936,Listas!$J$2:$K$1048576,2,FALSE),""))</f>
        <v/>
      </c>
      <c r="K4936" s="5" t="str">
        <f>IF(OR(I4936="",G4936=""),"",IF(G4936="Saída",-I4936,I4936))</f>
        <v/>
      </c>
      <c r="L4936" t="str">
        <f>IF(E4936="","",IFERROR(VLOOKUP(E4936,Listas!$A$2:$C$1048576,3,FALSE),""))</f>
        <v/>
      </c>
    </row>
    <row r="4937" spans="10:12" x14ac:dyDescent="0.25">
      <c r="J4937" t="str">
        <f>IF(H4937="","",IFERROR(VLOOKUP(H4937,Listas!$J$2:$K$1048576,2,FALSE),""))</f>
        <v/>
      </c>
      <c r="K4937" s="5" t="str">
        <f>IF(OR(I4937="",G4937=""),"",IF(G4937="Saída",-I4937,I4937))</f>
        <v/>
      </c>
      <c r="L4937" t="str">
        <f>IF(E4937="","",IFERROR(VLOOKUP(E4937,Listas!$A$2:$C$1048576,3,FALSE),""))</f>
        <v/>
      </c>
    </row>
    <row r="4938" spans="10:12" x14ac:dyDescent="0.25">
      <c r="J4938" t="str">
        <f>IF(H4938="","",IFERROR(VLOOKUP(H4938,Listas!$J$2:$K$1048576,2,FALSE),""))</f>
        <v/>
      </c>
      <c r="K4938" s="5" t="str">
        <f>IF(OR(I4938="",G4938=""),"",IF(G4938="Saída",-I4938,I4938))</f>
        <v/>
      </c>
      <c r="L4938" t="str">
        <f>IF(E4938="","",IFERROR(VLOOKUP(E4938,Listas!$A$2:$C$1048576,3,FALSE),""))</f>
        <v/>
      </c>
    </row>
    <row r="4939" spans="10:12" x14ac:dyDescent="0.25">
      <c r="J4939" t="str">
        <f>IF(H4939="","",IFERROR(VLOOKUP(H4939,Listas!$J$2:$K$1048576,2,FALSE),""))</f>
        <v/>
      </c>
      <c r="K4939" s="5" t="str">
        <f>IF(OR(I4939="",G4939=""),"",IF(G4939="Saída",-I4939,I4939))</f>
        <v/>
      </c>
      <c r="L4939" t="str">
        <f>IF(E4939="","",IFERROR(VLOOKUP(E4939,Listas!$A$2:$C$1048576,3,FALSE),""))</f>
        <v/>
      </c>
    </row>
    <row r="4940" spans="10:12" x14ac:dyDescent="0.25">
      <c r="J4940" t="str">
        <f>IF(H4940="","",IFERROR(VLOOKUP(H4940,Listas!$J$2:$K$1048576,2,FALSE),""))</f>
        <v/>
      </c>
      <c r="K4940" s="5" t="str">
        <f>IF(OR(I4940="",G4940=""),"",IF(G4940="Saída",-I4940,I4940))</f>
        <v/>
      </c>
      <c r="L4940" t="str">
        <f>IF(E4940="","",IFERROR(VLOOKUP(E4940,Listas!$A$2:$C$1048576,3,FALSE),""))</f>
        <v/>
      </c>
    </row>
    <row r="4941" spans="10:12" x14ac:dyDescent="0.25">
      <c r="J4941" t="str">
        <f>IF(H4941="","",IFERROR(VLOOKUP(H4941,Listas!$J$2:$K$1048576,2,FALSE),""))</f>
        <v/>
      </c>
      <c r="K4941" s="5" t="str">
        <f>IF(OR(I4941="",G4941=""),"",IF(G4941="Saída",-I4941,I4941))</f>
        <v/>
      </c>
      <c r="L4941" t="str">
        <f>IF(E4941="","",IFERROR(VLOOKUP(E4941,Listas!$A$2:$C$1048576,3,FALSE),""))</f>
        <v/>
      </c>
    </row>
    <row r="4942" spans="10:12" x14ac:dyDescent="0.25">
      <c r="J4942" t="str">
        <f>IF(H4942="","",IFERROR(VLOOKUP(H4942,Listas!$J$2:$K$1048576,2,FALSE),""))</f>
        <v/>
      </c>
      <c r="K4942" s="5" t="str">
        <f>IF(OR(I4942="",G4942=""),"",IF(G4942="Saída",-I4942,I4942))</f>
        <v/>
      </c>
      <c r="L4942" t="str">
        <f>IF(E4942="","",IFERROR(VLOOKUP(E4942,Listas!$A$2:$C$1048576,3,FALSE),""))</f>
        <v/>
      </c>
    </row>
    <row r="4943" spans="10:12" x14ac:dyDescent="0.25">
      <c r="J4943" t="str">
        <f>IF(H4943="","",IFERROR(VLOOKUP(H4943,Listas!$J$2:$K$1048576,2,FALSE),""))</f>
        <v/>
      </c>
      <c r="K4943" s="5" t="str">
        <f>IF(OR(I4943="",G4943=""),"",IF(G4943="Saída",-I4943,I4943))</f>
        <v/>
      </c>
      <c r="L4943" t="str">
        <f>IF(E4943="","",IFERROR(VLOOKUP(E4943,Listas!$A$2:$C$1048576,3,FALSE),""))</f>
        <v/>
      </c>
    </row>
    <row r="4944" spans="10:12" x14ac:dyDescent="0.25">
      <c r="J4944" t="str">
        <f>IF(H4944="","",IFERROR(VLOOKUP(H4944,Listas!$J$2:$K$1048576,2,FALSE),""))</f>
        <v/>
      </c>
      <c r="K4944" s="5" t="str">
        <f>IF(OR(I4944="",G4944=""),"",IF(G4944="Saída",-I4944,I4944))</f>
        <v/>
      </c>
      <c r="L4944" t="str">
        <f>IF(E4944="","",IFERROR(VLOOKUP(E4944,Listas!$A$2:$C$1048576,3,FALSE),""))</f>
        <v/>
      </c>
    </row>
    <row r="4945" spans="10:12" x14ac:dyDescent="0.25">
      <c r="J4945" t="str">
        <f>IF(H4945="","",IFERROR(VLOOKUP(H4945,Listas!$J$2:$K$1048576,2,FALSE),""))</f>
        <v/>
      </c>
      <c r="K4945" s="5" t="str">
        <f>IF(OR(I4945="",G4945=""),"",IF(G4945="Saída",-I4945,I4945))</f>
        <v/>
      </c>
      <c r="L4945" t="str">
        <f>IF(E4945="","",IFERROR(VLOOKUP(E4945,Listas!$A$2:$C$1048576,3,FALSE),""))</f>
        <v/>
      </c>
    </row>
    <row r="4946" spans="10:12" x14ac:dyDescent="0.25">
      <c r="J4946" t="str">
        <f>IF(H4946="","",IFERROR(VLOOKUP(H4946,Listas!$J$2:$K$1048576,2,FALSE),""))</f>
        <v/>
      </c>
      <c r="K4946" s="5" t="str">
        <f>IF(OR(I4946="",G4946=""),"",IF(G4946="Saída",-I4946,I4946))</f>
        <v/>
      </c>
      <c r="L4946" t="str">
        <f>IF(E4946="","",IFERROR(VLOOKUP(E4946,Listas!$A$2:$C$1048576,3,FALSE),""))</f>
        <v/>
      </c>
    </row>
    <row r="4947" spans="10:12" x14ac:dyDescent="0.25">
      <c r="J4947" t="str">
        <f>IF(H4947="","",IFERROR(VLOOKUP(H4947,Listas!$J$2:$K$1048576,2,FALSE),""))</f>
        <v/>
      </c>
      <c r="K4947" s="5" t="str">
        <f>IF(OR(I4947="",G4947=""),"",IF(G4947="Saída",-I4947,I4947))</f>
        <v/>
      </c>
      <c r="L4947" t="str">
        <f>IF(E4947="","",IFERROR(VLOOKUP(E4947,Listas!$A$2:$C$1048576,3,FALSE),""))</f>
        <v/>
      </c>
    </row>
    <row r="4948" spans="10:12" x14ac:dyDescent="0.25">
      <c r="J4948" t="str">
        <f>IF(H4948="","",IFERROR(VLOOKUP(H4948,Listas!$J$2:$K$1048576,2,FALSE),""))</f>
        <v/>
      </c>
      <c r="K4948" s="5" t="str">
        <f>IF(OR(I4948="",G4948=""),"",IF(G4948="Saída",-I4948,I4948))</f>
        <v/>
      </c>
      <c r="L4948" t="str">
        <f>IF(E4948="","",IFERROR(VLOOKUP(E4948,Listas!$A$2:$C$1048576,3,FALSE),""))</f>
        <v/>
      </c>
    </row>
    <row r="4949" spans="10:12" x14ac:dyDescent="0.25">
      <c r="J4949" t="str">
        <f>IF(H4949="","",IFERROR(VLOOKUP(H4949,Listas!$J$2:$K$1048576,2,FALSE),""))</f>
        <v/>
      </c>
      <c r="K4949" s="5" t="str">
        <f>IF(OR(I4949="",G4949=""),"",IF(G4949="Saída",-I4949,I4949))</f>
        <v/>
      </c>
      <c r="L4949" t="str">
        <f>IF(E4949="","",IFERROR(VLOOKUP(E4949,Listas!$A$2:$C$1048576,3,FALSE),""))</f>
        <v/>
      </c>
    </row>
    <row r="4950" spans="10:12" x14ac:dyDescent="0.25">
      <c r="J4950" t="str">
        <f>IF(H4950="","",IFERROR(VLOOKUP(H4950,Listas!$J$2:$K$1048576,2,FALSE),""))</f>
        <v/>
      </c>
      <c r="K4950" s="5" t="str">
        <f>IF(OR(I4950="",G4950=""),"",IF(G4950="Saída",-I4950,I4950))</f>
        <v/>
      </c>
      <c r="L4950" t="str">
        <f>IF(E4950="","",IFERROR(VLOOKUP(E4950,Listas!$A$2:$C$1048576,3,FALSE),""))</f>
        <v/>
      </c>
    </row>
    <row r="4951" spans="10:12" x14ac:dyDescent="0.25">
      <c r="J4951" t="str">
        <f>IF(H4951="","",IFERROR(VLOOKUP(H4951,Listas!$J$2:$K$1048576,2,FALSE),""))</f>
        <v/>
      </c>
      <c r="K4951" s="5" t="str">
        <f>IF(OR(I4951="",G4951=""),"",IF(G4951="Saída",-I4951,I4951))</f>
        <v/>
      </c>
      <c r="L4951" t="str">
        <f>IF(E4951="","",IFERROR(VLOOKUP(E4951,Listas!$A$2:$C$1048576,3,FALSE),""))</f>
        <v/>
      </c>
    </row>
    <row r="4952" spans="10:12" x14ac:dyDescent="0.25">
      <c r="J4952" t="str">
        <f>IF(H4952="","",IFERROR(VLOOKUP(H4952,Listas!$J$2:$K$1048576,2,FALSE),""))</f>
        <v/>
      </c>
      <c r="K4952" s="5" t="str">
        <f>IF(OR(I4952="",G4952=""),"",IF(G4952="Saída",-I4952,I4952))</f>
        <v/>
      </c>
      <c r="L4952" t="str">
        <f>IF(E4952="","",IFERROR(VLOOKUP(E4952,Listas!$A$2:$C$1048576,3,FALSE),""))</f>
        <v/>
      </c>
    </row>
    <row r="4953" spans="10:12" x14ac:dyDescent="0.25">
      <c r="J4953" t="str">
        <f>IF(H4953="","",IFERROR(VLOOKUP(H4953,Listas!$J$2:$K$1048576,2,FALSE),""))</f>
        <v/>
      </c>
      <c r="K4953" s="5" t="str">
        <f>IF(OR(I4953="",G4953=""),"",IF(G4953="Saída",-I4953,I4953))</f>
        <v/>
      </c>
      <c r="L4953" t="str">
        <f>IF(E4953="","",IFERROR(VLOOKUP(E4953,Listas!$A$2:$C$1048576,3,FALSE),""))</f>
        <v/>
      </c>
    </row>
    <row r="4954" spans="10:12" x14ac:dyDescent="0.25">
      <c r="J4954" t="str">
        <f>IF(H4954="","",IFERROR(VLOOKUP(H4954,Listas!$J$2:$K$1048576,2,FALSE),""))</f>
        <v/>
      </c>
      <c r="K4954" s="5" t="str">
        <f>IF(OR(I4954="",G4954=""),"",IF(G4954="Saída",-I4954,I4954))</f>
        <v/>
      </c>
      <c r="L4954" t="str">
        <f>IF(E4954="","",IFERROR(VLOOKUP(E4954,Listas!$A$2:$C$1048576,3,FALSE),""))</f>
        <v/>
      </c>
    </row>
    <row r="4955" spans="10:12" x14ac:dyDescent="0.25">
      <c r="J4955" t="str">
        <f>IF(H4955="","",IFERROR(VLOOKUP(H4955,Listas!$J$2:$K$1048576,2,FALSE),""))</f>
        <v/>
      </c>
      <c r="K4955" s="5" t="str">
        <f>IF(OR(I4955="",G4955=""),"",IF(G4955="Saída",-I4955,I4955))</f>
        <v/>
      </c>
      <c r="L4955" t="str">
        <f>IF(E4955="","",IFERROR(VLOOKUP(E4955,Listas!$A$2:$C$1048576,3,FALSE),""))</f>
        <v/>
      </c>
    </row>
    <row r="4956" spans="10:12" x14ac:dyDescent="0.25">
      <c r="J4956" t="str">
        <f>IF(H4956="","",IFERROR(VLOOKUP(H4956,Listas!$J$2:$K$1048576,2,FALSE),""))</f>
        <v/>
      </c>
      <c r="K4956" s="5" t="str">
        <f>IF(OR(I4956="",G4956=""),"",IF(G4956="Saída",-I4956,I4956))</f>
        <v/>
      </c>
      <c r="L4956" t="str">
        <f>IF(E4956="","",IFERROR(VLOOKUP(E4956,Listas!$A$2:$C$1048576,3,FALSE),""))</f>
        <v/>
      </c>
    </row>
    <row r="4957" spans="10:12" x14ac:dyDescent="0.25">
      <c r="J4957" t="str">
        <f>IF(H4957="","",IFERROR(VLOOKUP(H4957,Listas!$J$2:$K$1048576,2,FALSE),""))</f>
        <v/>
      </c>
      <c r="K4957" s="5" t="str">
        <f>IF(OR(I4957="",G4957=""),"",IF(G4957="Saída",-I4957,I4957))</f>
        <v/>
      </c>
      <c r="L4957" t="str">
        <f>IF(E4957="","",IFERROR(VLOOKUP(E4957,Listas!$A$2:$C$1048576,3,FALSE),""))</f>
        <v/>
      </c>
    </row>
    <row r="4958" spans="10:12" x14ac:dyDescent="0.25">
      <c r="J4958" t="str">
        <f>IF(H4958="","",IFERROR(VLOOKUP(H4958,Listas!$J$2:$K$1048576,2,FALSE),""))</f>
        <v/>
      </c>
      <c r="K4958" s="5" t="str">
        <f>IF(OR(I4958="",G4958=""),"",IF(G4958="Saída",-I4958,I4958))</f>
        <v/>
      </c>
      <c r="L4958" t="str">
        <f>IF(E4958="","",IFERROR(VLOOKUP(E4958,Listas!$A$2:$C$1048576,3,FALSE),""))</f>
        <v/>
      </c>
    </row>
    <row r="4959" spans="10:12" x14ac:dyDescent="0.25">
      <c r="J4959" t="str">
        <f>IF(H4959="","",IFERROR(VLOOKUP(H4959,Listas!$J$2:$K$1048576,2,FALSE),""))</f>
        <v/>
      </c>
      <c r="K4959" s="5" t="str">
        <f>IF(OR(I4959="",G4959=""),"",IF(G4959="Saída",-I4959,I4959))</f>
        <v/>
      </c>
      <c r="L4959" t="str">
        <f>IF(E4959="","",IFERROR(VLOOKUP(E4959,Listas!$A$2:$C$1048576,3,FALSE),""))</f>
        <v/>
      </c>
    </row>
    <row r="4960" spans="10:12" x14ac:dyDescent="0.25">
      <c r="J4960" t="str">
        <f>IF(H4960="","",IFERROR(VLOOKUP(H4960,Listas!$J$2:$K$1048576,2,FALSE),""))</f>
        <v/>
      </c>
      <c r="K4960" s="5" t="str">
        <f>IF(OR(I4960="",G4960=""),"",IF(G4960="Saída",-I4960,I4960))</f>
        <v/>
      </c>
      <c r="L4960" t="str">
        <f>IF(E4960="","",IFERROR(VLOOKUP(E4960,Listas!$A$2:$C$1048576,3,FALSE),""))</f>
        <v/>
      </c>
    </row>
    <row r="4961" spans="10:12" x14ac:dyDescent="0.25">
      <c r="J4961" t="str">
        <f>IF(H4961="","",IFERROR(VLOOKUP(H4961,Listas!$J$2:$K$1048576,2,FALSE),""))</f>
        <v/>
      </c>
      <c r="K4961" s="5" t="str">
        <f>IF(OR(I4961="",G4961=""),"",IF(G4961="Saída",-I4961,I4961))</f>
        <v/>
      </c>
      <c r="L4961" t="str">
        <f>IF(E4961="","",IFERROR(VLOOKUP(E4961,Listas!$A$2:$C$1048576,3,FALSE),""))</f>
        <v/>
      </c>
    </row>
    <row r="4962" spans="10:12" x14ac:dyDescent="0.25">
      <c r="J4962" t="str">
        <f>IF(H4962="","",IFERROR(VLOOKUP(H4962,Listas!$J$2:$K$1048576,2,FALSE),""))</f>
        <v/>
      </c>
      <c r="K4962" s="5" t="str">
        <f>IF(OR(I4962="",G4962=""),"",IF(G4962="Saída",-I4962,I4962))</f>
        <v/>
      </c>
      <c r="L4962" t="str">
        <f>IF(E4962="","",IFERROR(VLOOKUP(E4962,Listas!$A$2:$C$1048576,3,FALSE),""))</f>
        <v/>
      </c>
    </row>
    <row r="4963" spans="10:12" x14ac:dyDescent="0.25">
      <c r="J4963" t="str">
        <f>IF(H4963="","",IFERROR(VLOOKUP(H4963,Listas!$J$2:$K$1048576,2,FALSE),""))</f>
        <v/>
      </c>
      <c r="K4963" s="5" t="str">
        <f>IF(OR(I4963="",G4963=""),"",IF(G4963="Saída",-I4963,I4963))</f>
        <v/>
      </c>
      <c r="L4963" t="str">
        <f>IF(E4963="","",IFERROR(VLOOKUP(E4963,Listas!$A$2:$C$1048576,3,FALSE),""))</f>
        <v/>
      </c>
    </row>
    <row r="4964" spans="10:12" x14ac:dyDescent="0.25">
      <c r="J4964" t="str">
        <f>IF(H4964="","",IFERROR(VLOOKUP(H4964,Listas!$J$2:$K$1048576,2,FALSE),""))</f>
        <v/>
      </c>
      <c r="K4964" s="5" t="str">
        <f>IF(OR(I4964="",G4964=""),"",IF(G4964="Saída",-I4964,I4964))</f>
        <v/>
      </c>
      <c r="L4964" t="str">
        <f>IF(E4964="","",IFERROR(VLOOKUP(E4964,Listas!$A$2:$C$1048576,3,FALSE),""))</f>
        <v/>
      </c>
    </row>
    <row r="4965" spans="10:12" x14ac:dyDescent="0.25">
      <c r="J4965" t="str">
        <f>IF(H4965="","",IFERROR(VLOOKUP(H4965,Listas!$J$2:$K$1048576,2,FALSE),""))</f>
        <v/>
      </c>
      <c r="K4965" s="5" t="str">
        <f>IF(OR(I4965="",G4965=""),"",IF(G4965="Saída",-I4965,I4965))</f>
        <v/>
      </c>
      <c r="L4965" t="str">
        <f>IF(E4965="","",IFERROR(VLOOKUP(E4965,Listas!$A$2:$C$1048576,3,FALSE),""))</f>
        <v/>
      </c>
    </row>
    <row r="4966" spans="10:12" x14ac:dyDescent="0.25">
      <c r="J4966" t="str">
        <f>IF(H4966="","",IFERROR(VLOOKUP(H4966,Listas!$J$2:$K$1048576,2,FALSE),""))</f>
        <v/>
      </c>
      <c r="K4966" s="5" t="str">
        <f>IF(OR(I4966="",G4966=""),"",IF(G4966="Saída",-I4966,I4966))</f>
        <v/>
      </c>
      <c r="L4966" t="str">
        <f>IF(E4966="","",IFERROR(VLOOKUP(E4966,Listas!$A$2:$C$1048576,3,FALSE),""))</f>
        <v/>
      </c>
    </row>
    <row r="4967" spans="10:12" x14ac:dyDescent="0.25">
      <c r="J4967" t="str">
        <f>IF(H4967="","",IFERROR(VLOOKUP(H4967,Listas!$J$2:$K$1048576,2,FALSE),""))</f>
        <v/>
      </c>
      <c r="K4967" s="5" t="str">
        <f>IF(OR(I4967="",G4967=""),"",IF(G4967="Saída",-I4967,I4967))</f>
        <v/>
      </c>
      <c r="L4967" t="str">
        <f>IF(E4967="","",IFERROR(VLOOKUP(E4967,Listas!$A$2:$C$1048576,3,FALSE),""))</f>
        <v/>
      </c>
    </row>
    <row r="4968" spans="10:12" x14ac:dyDescent="0.25">
      <c r="J4968" t="str">
        <f>IF(H4968="","",IFERROR(VLOOKUP(H4968,Listas!$J$2:$K$1048576,2,FALSE),""))</f>
        <v/>
      </c>
      <c r="K4968" s="5" t="str">
        <f>IF(OR(I4968="",G4968=""),"",IF(G4968="Saída",-I4968,I4968))</f>
        <v/>
      </c>
      <c r="L4968" t="str">
        <f>IF(E4968="","",IFERROR(VLOOKUP(E4968,Listas!$A$2:$C$1048576,3,FALSE),""))</f>
        <v/>
      </c>
    </row>
    <row r="4969" spans="10:12" x14ac:dyDescent="0.25">
      <c r="J4969" t="str">
        <f>IF(H4969="","",IFERROR(VLOOKUP(H4969,Listas!$J$2:$K$1048576,2,FALSE),""))</f>
        <v/>
      </c>
      <c r="K4969" s="5" t="str">
        <f>IF(OR(I4969="",G4969=""),"",IF(G4969="Saída",-I4969,I4969))</f>
        <v/>
      </c>
      <c r="L4969" t="str">
        <f>IF(E4969="","",IFERROR(VLOOKUP(E4969,Listas!$A$2:$C$1048576,3,FALSE),""))</f>
        <v/>
      </c>
    </row>
    <row r="4970" spans="10:12" x14ac:dyDescent="0.25">
      <c r="J4970" t="str">
        <f>IF(H4970="","",IFERROR(VLOOKUP(H4970,Listas!$J$2:$K$1048576,2,FALSE),""))</f>
        <v/>
      </c>
      <c r="K4970" s="5" t="str">
        <f>IF(OR(I4970="",G4970=""),"",IF(G4970="Saída",-I4970,I4970))</f>
        <v/>
      </c>
      <c r="L4970" t="str">
        <f>IF(E4970="","",IFERROR(VLOOKUP(E4970,Listas!$A$2:$C$1048576,3,FALSE),""))</f>
        <v/>
      </c>
    </row>
    <row r="4971" spans="10:12" x14ac:dyDescent="0.25">
      <c r="J4971" t="str">
        <f>IF(H4971="","",IFERROR(VLOOKUP(H4971,Listas!$J$2:$K$1048576,2,FALSE),""))</f>
        <v/>
      </c>
      <c r="K4971" s="5" t="str">
        <f>IF(OR(I4971="",G4971=""),"",IF(G4971="Saída",-I4971,I4971))</f>
        <v/>
      </c>
      <c r="L4971" t="str">
        <f>IF(E4971="","",IFERROR(VLOOKUP(E4971,Listas!$A$2:$C$1048576,3,FALSE),""))</f>
        <v/>
      </c>
    </row>
    <row r="4972" spans="10:12" x14ac:dyDescent="0.25">
      <c r="J4972" t="str">
        <f>IF(H4972="","",IFERROR(VLOOKUP(H4972,Listas!$J$2:$K$1048576,2,FALSE),""))</f>
        <v/>
      </c>
      <c r="K4972" s="5" t="str">
        <f>IF(OR(I4972="",G4972=""),"",IF(G4972="Saída",-I4972,I4972))</f>
        <v/>
      </c>
      <c r="L4972" t="str">
        <f>IF(E4972="","",IFERROR(VLOOKUP(E4972,Listas!$A$2:$C$1048576,3,FALSE),""))</f>
        <v/>
      </c>
    </row>
    <row r="4973" spans="10:12" x14ac:dyDescent="0.25">
      <c r="J4973" t="str">
        <f>IF(H4973="","",IFERROR(VLOOKUP(H4973,Listas!$J$2:$K$1048576,2,FALSE),""))</f>
        <v/>
      </c>
      <c r="K4973" s="5" t="str">
        <f>IF(OR(I4973="",G4973=""),"",IF(G4973="Saída",-I4973,I4973))</f>
        <v/>
      </c>
      <c r="L4973" t="str">
        <f>IF(E4973="","",IFERROR(VLOOKUP(E4973,Listas!$A$2:$C$1048576,3,FALSE),""))</f>
        <v/>
      </c>
    </row>
    <row r="4974" spans="10:12" x14ac:dyDescent="0.25">
      <c r="J4974" t="str">
        <f>IF(H4974="","",IFERROR(VLOOKUP(H4974,Listas!$J$2:$K$1048576,2,FALSE),""))</f>
        <v/>
      </c>
      <c r="K4974" s="5" t="str">
        <f>IF(OR(I4974="",G4974=""),"",IF(G4974="Saída",-I4974,I4974))</f>
        <v/>
      </c>
      <c r="L4974" t="str">
        <f>IF(E4974="","",IFERROR(VLOOKUP(E4974,Listas!$A$2:$C$1048576,3,FALSE),""))</f>
        <v/>
      </c>
    </row>
    <row r="4975" spans="10:12" x14ac:dyDescent="0.25">
      <c r="J4975" t="str">
        <f>IF(H4975="","",IFERROR(VLOOKUP(H4975,Listas!$J$2:$K$1048576,2,FALSE),""))</f>
        <v/>
      </c>
      <c r="K4975" s="5" t="str">
        <f>IF(OR(I4975="",G4975=""),"",IF(G4975="Saída",-I4975,I4975))</f>
        <v/>
      </c>
      <c r="L4975" t="str">
        <f>IF(E4975="","",IFERROR(VLOOKUP(E4975,Listas!$A$2:$C$1048576,3,FALSE),""))</f>
        <v/>
      </c>
    </row>
    <row r="4976" spans="10:12" x14ac:dyDescent="0.25">
      <c r="J4976" t="str">
        <f>IF(H4976="","",IFERROR(VLOOKUP(H4976,Listas!$J$2:$K$1048576,2,FALSE),""))</f>
        <v/>
      </c>
      <c r="K4976" s="5" t="str">
        <f>IF(OR(I4976="",G4976=""),"",IF(G4976="Saída",-I4976,I4976))</f>
        <v/>
      </c>
      <c r="L4976" t="str">
        <f>IF(E4976="","",IFERROR(VLOOKUP(E4976,Listas!$A$2:$C$1048576,3,FALSE),""))</f>
        <v/>
      </c>
    </row>
    <row r="4977" spans="10:12" x14ac:dyDescent="0.25">
      <c r="J4977" t="str">
        <f>IF(H4977="","",IFERROR(VLOOKUP(H4977,Listas!$J$2:$K$1048576,2,FALSE),""))</f>
        <v/>
      </c>
      <c r="K4977" s="5" t="str">
        <f>IF(OR(I4977="",G4977=""),"",IF(G4977="Saída",-I4977,I4977))</f>
        <v/>
      </c>
      <c r="L4977" t="str">
        <f>IF(E4977="","",IFERROR(VLOOKUP(E4977,Listas!$A$2:$C$1048576,3,FALSE),""))</f>
        <v/>
      </c>
    </row>
    <row r="4978" spans="10:12" x14ac:dyDescent="0.25">
      <c r="J4978" t="str">
        <f>IF(H4978="","",IFERROR(VLOOKUP(H4978,Listas!$J$2:$K$1048576,2,FALSE),""))</f>
        <v/>
      </c>
      <c r="K4978" s="5" t="str">
        <f>IF(OR(I4978="",G4978=""),"",IF(G4978="Saída",-I4978,I4978))</f>
        <v/>
      </c>
      <c r="L4978" t="str">
        <f>IF(E4978="","",IFERROR(VLOOKUP(E4978,Listas!$A$2:$C$1048576,3,FALSE),""))</f>
        <v/>
      </c>
    </row>
    <row r="4979" spans="10:12" x14ac:dyDescent="0.25">
      <c r="J4979" t="str">
        <f>IF(H4979="","",IFERROR(VLOOKUP(H4979,Listas!$J$2:$K$1048576,2,FALSE),""))</f>
        <v/>
      </c>
      <c r="K4979" s="5" t="str">
        <f>IF(OR(I4979="",G4979=""),"",IF(G4979="Saída",-I4979,I4979))</f>
        <v/>
      </c>
      <c r="L4979" t="str">
        <f>IF(E4979="","",IFERROR(VLOOKUP(E4979,Listas!$A$2:$C$1048576,3,FALSE),""))</f>
        <v/>
      </c>
    </row>
    <row r="4980" spans="10:12" x14ac:dyDescent="0.25">
      <c r="J4980" t="str">
        <f>IF(H4980="","",IFERROR(VLOOKUP(H4980,Listas!$J$2:$K$1048576,2,FALSE),""))</f>
        <v/>
      </c>
      <c r="K4980" s="5" t="str">
        <f>IF(OR(I4980="",G4980=""),"",IF(G4980="Saída",-I4980,I4980))</f>
        <v/>
      </c>
      <c r="L4980" t="str">
        <f>IF(E4980="","",IFERROR(VLOOKUP(E4980,Listas!$A$2:$C$1048576,3,FALSE),""))</f>
        <v/>
      </c>
    </row>
    <row r="4981" spans="10:12" x14ac:dyDescent="0.25">
      <c r="J4981" t="str">
        <f>IF(H4981="","",IFERROR(VLOOKUP(H4981,Listas!$J$2:$K$1048576,2,FALSE),""))</f>
        <v/>
      </c>
      <c r="K4981" s="5" t="str">
        <f>IF(OR(I4981="",G4981=""),"",IF(G4981="Saída",-I4981,I4981))</f>
        <v/>
      </c>
      <c r="L4981" t="str">
        <f>IF(E4981="","",IFERROR(VLOOKUP(E4981,Listas!$A$2:$C$1048576,3,FALSE),""))</f>
        <v/>
      </c>
    </row>
    <row r="4982" spans="10:12" x14ac:dyDescent="0.25">
      <c r="J4982" t="str">
        <f>IF(H4982="","",IFERROR(VLOOKUP(H4982,Listas!$J$2:$K$1048576,2,FALSE),""))</f>
        <v/>
      </c>
      <c r="K4982" s="5" t="str">
        <f>IF(OR(I4982="",G4982=""),"",IF(G4982="Saída",-I4982,I4982))</f>
        <v/>
      </c>
      <c r="L4982" t="str">
        <f>IF(E4982="","",IFERROR(VLOOKUP(E4982,Listas!$A$2:$C$1048576,3,FALSE),""))</f>
        <v/>
      </c>
    </row>
    <row r="4983" spans="10:12" x14ac:dyDescent="0.25">
      <c r="J4983" t="str">
        <f>IF(H4983="","",IFERROR(VLOOKUP(H4983,Listas!$J$2:$K$1048576,2,FALSE),""))</f>
        <v/>
      </c>
      <c r="K4983" s="5" t="str">
        <f>IF(OR(I4983="",G4983=""),"",IF(G4983="Saída",-I4983,I4983))</f>
        <v/>
      </c>
      <c r="L4983" t="str">
        <f>IF(E4983="","",IFERROR(VLOOKUP(E4983,Listas!$A$2:$C$1048576,3,FALSE),""))</f>
        <v/>
      </c>
    </row>
    <row r="4984" spans="10:12" x14ac:dyDescent="0.25">
      <c r="J4984" t="str">
        <f>IF(H4984="","",IFERROR(VLOOKUP(H4984,Listas!$J$2:$K$1048576,2,FALSE),""))</f>
        <v/>
      </c>
      <c r="K4984" s="5" t="str">
        <f>IF(OR(I4984="",G4984=""),"",IF(G4984="Saída",-I4984,I4984))</f>
        <v/>
      </c>
      <c r="L4984" t="str">
        <f>IF(E4984="","",IFERROR(VLOOKUP(E4984,Listas!$A$2:$C$1048576,3,FALSE),""))</f>
        <v/>
      </c>
    </row>
    <row r="4985" spans="10:12" x14ac:dyDescent="0.25">
      <c r="J4985" t="str">
        <f>IF(H4985="","",IFERROR(VLOOKUP(H4985,Listas!$J$2:$K$1048576,2,FALSE),""))</f>
        <v/>
      </c>
      <c r="K4985" s="5" t="str">
        <f>IF(OR(I4985="",G4985=""),"",IF(G4985="Saída",-I4985,I4985))</f>
        <v/>
      </c>
      <c r="L4985" t="str">
        <f>IF(E4985="","",IFERROR(VLOOKUP(E4985,Listas!$A$2:$C$1048576,3,FALSE),""))</f>
        <v/>
      </c>
    </row>
    <row r="4986" spans="10:12" x14ac:dyDescent="0.25">
      <c r="J4986" t="str">
        <f>IF(H4986="","",IFERROR(VLOOKUP(H4986,Listas!$J$2:$K$1048576,2,FALSE),""))</f>
        <v/>
      </c>
      <c r="K4986" s="5" t="str">
        <f>IF(OR(I4986="",G4986=""),"",IF(G4986="Saída",-I4986,I4986))</f>
        <v/>
      </c>
      <c r="L4986" t="str">
        <f>IF(E4986="","",IFERROR(VLOOKUP(E4986,Listas!$A$2:$C$1048576,3,FALSE),""))</f>
        <v/>
      </c>
    </row>
    <row r="4987" spans="10:12" x14ac:dyDescent="0.25">
      <c r="J4987" t="str">
        <f>IF(H4987="","",IFERROR(VLOOKUP(H4987,Listas!$J$2:$K$1048576,2,FALSE),""))</f>
        <v/>
      </c>
      <c r="K4987" s="5" t="str">
        <f>IF(OR(I4987="",G4987=""),"",IF(G4987="Saída",-I4987,I4987))</f>
        <v/>
      </c>
      <c r="L4987" t="str">
        <f>IF(E4987="","",IFERROR(VLOOKUP(E4987,Listas!$A$2:$C$1048576,3,FALSE),""))</f>
        <v/>
      </c>
    </row>
    <row r="4988" spans="10:12" x14ac:dyDescent="0.25">
      <c r="J4988" t="str">
        <f>IF(H4988="","",IFERROR(VLOOKUP(H4988,Listas!$J$2:$K$1048576,2,FALSE),""))</f>
        <v/>
      </c>
      <c r="K4988" s="5" t="str">
        <f>IF(OR(I4988="",G4988=""),"",IF(G4988="Saída",-I4988,I4988))</f>
        <v/>
      </c>
      <c r="L4988" t="str">
        <f>IF(E4988="","",IFERROR(VLOOKUP(E4988,Listas!$A$2:$C$1048576,3,FALSE),""))</f>
        <v/>
      </c>
    </row>
    <row r="4989" spans="10:12" x14ac:dyDescent="0.25">
      <c r="J4989" t="str">
        <f>IF(H4989="","",IFERROR(VLOOKUP(H4989,Listas!$J$2:$K$1048576,2,FALSE),""))</f>
        <v/>
      </c>
      <c r="K4989" s="5" t="str">
        <f>IF(OR(I4989="",G4989=""),"",IF(G4989="Saída",-I4989,I4989))</f>
        <v/>
      </c>
      <c r="L4989" t="str">
        <f>IF(E4989="","",IFERROR(VLOOKUP(E4989,Listas!$A$2:$C$1048576,3,FALSE),""))</f>
        <v/>
      </c>
    </row>
    <row r="4990" spans="10:12" x14ac:dyDescent="0.25">
      <c r="J4990" t="str">
        <f>IF(H4990="","",IFERROR(VLOOKUP(H4990,Listas!$J$2:$K$1048576,2,FALSE),""))</f>
        <v/>
      </c>
      <c r="K4990" s="5" t="str">
        <f>IF(OR(I4990="",G4990=""),"",IF(G4990="Saída",-I4990,I4990))</f>
        <v/>
      </c>
      <c r="L4990" t="str">
        <f>IF(E4990="","",IFERROR(VLOOKUP(E4990,Listas!$A$2:$C$1048576,3,FALSE),""))</f>
        <v/>
      </c>
    </row>
    <row r="4991" spans="10:12" x14ac:dyDescent="0.25">
      <c r="J4991" t="str">
        <f>IF(H4991="","",IFERROR(VLOOKUP(H4991,Listas!$J$2:$K$1048576,2,FALSE),""))</f>
        <v/>
      </c>
      <c r="K4991" s="5" t="str">
        <f>IF(OR(I4991="",G4991=""),"",IF(G4991="Saída",-I4991,I4991))</f>
        <v/>
      </c>
      <c r="L4991" t="str">
        <f>IF(E4991="","",IFERROR(VLOOKUP(E4991,Listas!$A$2:$C$1048576,3,FALSE),""))</f>
        <v/>
      </c>
    </row>
    <row r="4992" spans="10:12" x14ac:dyDescent="0.25">
      <c r="J4992" t="str">
        <f>IF(H4992="","",IFERROR(VLOOKUP(H4992,Listas!$J$2:$K$1048576,2,FALSE),""))</f>
        <v/>
      </c>
      <c r="K4992" s="5" t="str">
        <f>IF(OR(I4992="",G4992=""),"",IF(G4992="Saída",-I4992,I4992))</f>
        <v/>
      </c>
      <c r="L4992" t="str">
        <f>IF(E4992="","",IFERROR(VLOOKUP(E4992,Listas!$A$2:$C$1048576,3,FALSE),""))</f>
        <v/>
      </c>
    </row>
    <row r="4993" spans="10:12" x14ac:dyDescent="0.25">
      <c r="J4993" t="str">
        <f>IF(H4993="","",IFERROR(VLOOKUP(H4993,Listas!$J$2:$K$1048576,2,FALSE),""))</f>
        <v/>
      </c>
      <c r="K4993" s="5" t="str">
        <f>IF(OR(I4993="",G4993=""),"",IF(G4993="Saída",-I4993,I4993))</f>
        <v/>
      </c>
      <c r="L4993" t="str">
        <f>IF(E4993="","",IFERROR(VLOOKUP(E4993,Listas!$A$2:$C$1048576,3,FALSE),""))</f>
        <v/>
      </c>
    </row>
    <row r="4994" spans="10:12" x14ac:dyDescent="0.25">
      <c r="J4994" t="str">
        <f>IF(H4994="","",IFERROR(VLOOKUP(H4994,Listas!$J$2:$K$1048576,2,FALSE),""))</f>
        <v/>
      </c>
      <c r="K4994" s="5" t="str">
        <f>IF(OR(I4994="",G4994=""),"",IF(G4994="Saída",-I4994,I4994))</f>
        <v/>
      </c>
      <c r="L4994" t="str">
        <f>IF(E4994="","",IFERROR(VLOOKUP(E4994,Listas!$A$2:$C$1048576,3,FALSE),""))</f>
        <v/>
      </c>
    </row>
    <row r="4995" spans="10:12" x14ac:dyDescent="0.25">
      <c r="J4995" t="str">
        <f>IF(H4995="","",IFERROR(VLOOKUP(H4995,Listas!$J$2:$K$1048576,2,FALSE),""))</f>
        <v/>
      </c>
      <c r="K4995" s="5" t="str">
        <f>IF(OR(I4995="",G4995=""),"",IF(G4995="Saída",-I4995,I4995))</f>
        <v/>
      </c>
      <c r="L4995" t="str">
        <f>IF(E4995="","",IFERROR(VLOOKUP(E4995,Listas!$A$2:$C$1048576,3,FALSE),""))</f>
        <v/>
      </c>
    </row>
    <row r="4996" spans="10:12" x14ac:dyDescent="0.25">
      <c r="J4996" t="str">
        <f>IF(H4996="","",IFERROR(VLOOKUP(H4996,Listas!$J$2:$K$1048576,2,FALSE),""))</f>
        <v/>
      </c>
      <c r="K4996" s="5" t="str">
        <f>IF(OR(I4996="",G4996=""),"",IF(G4996="Saída",-I4996,I4996))</f>
        <v/>
      </c>
      <c r="L4996" t="str">
        <f>IF(E4996="","",IFERROR(VLOOKUP(E4996,Listas!$A$2:$C$1048576,3,FALSE),""))</f>
        <v/>
      </c>
    </row>
    <row r="4997" spans="10:12" x14ac:dyDescent="0.25">
      <c r="J4997" t="str">
        <f>IF(H4997="","",IFERROR(VLOOKUP(H4997,Listas!$J$2:$K$1048576,2,FALSE),""))</f>
        <v/>
      </c>
      <c r="K4997" s="5" t="str">
        <f>IF(OR(I4997="",G4997=""),"",IF(G4997="Saída",-I4997,I4997))</f>
        <v/>
      </c>
      <c r="L4997" t="str">
        <f>IF(E4997="","",IFERROR(VLOOKUP(E4997,Listas!$A$2:$C$1048576,3,FALSE),""))</f>
        <v/>
      </c>
    </row>
    <row r="4998" spans="10:12" x14ac:dyDescent="0.25">
      <c r="J4998" t="str">
        <f>IF(H4998="","",IFERROR(VLOOKUP(H4998,Listas!$J$2:$K$1048576,2,FALSE),""))</f>
        <v/>
      </c>
      <c r="K4998" s="5" t="str">
        <f>IF(OR(I4998="",G4998=""),"",IF(G4998="Saída",-I4998,I4998))</f>
        <v/>
      </c>
      <c r="L4998" t="str">
        <f>IF(E4998="","",IFERROR(VLOOKUP(E4998,Listas!$A$2:$C$1048576,3,FALSE),""))</f>
        <v/>
      </c>
    </row>
    <row r="4999" spans="10:12" x14ac:dyDescent="0.25">
      <c r="J4999" t="str">
        <f>IF(H4999="","",IFERROR(VLOOKUP(H4999,Listas!$J$2:$K$1048576,2,FALSE),""))</f>
        <v/>
      </c>
      <c r="K4999" s="5" t="str">
        <f>IF(OR(I4999="",G4999=""),"",IF(G4999="Saída",-I4999,I4999))</f>
        <v/>
      </c>
      <c r="L4999" t="str">
        <f>IF(E4999="","",IFERROR(VLOOKUP(E4999,Listas!$A$2:$C$1048576,3,FALSE),""))</f>
        <v/>
      </c>
    </row>
    <row r="5000" spans="10:12" x14ac:dyDescent="0.25">
      <c r="J5000" t="str">
        <f>IF(H5000="","",IFERROR(VLOOKUP(H5000,Listas!$J$2:$K$1048576,2,FALSE),""))</f>
        <v/>
      </c>
      <c r="K5000" s="5" t="str">
        <f>IF(OR(I5000="",G5000=""),"",IF(G5000="Saída",-I5000,I5000))</f>
        <v/>
      </c>
      <c r="L5000" t="str">
        <f>IF(E5000="","",IFERROR(VLOOKUP(E5000,Listas!$A$2:$C$1048576,3,FALSE),""))</f>
        <v/>
      </c>
    </row>
  </sheetData>
  <dataValidations count="5">
    <dataValidation type="list" allowBlank="1" showErrorMessage="1" errorStyle="stop" errorTitle="Valor inválido" error="Escolha um dos valores da lista." sqref="D2:D1048576">
      <formula1>Listas!$H$2:$H$1048576</formula1>
    </dataValidation>
    <dataValidation type="list" allowBlank="1" showErrorMessage="1" errorStyle="stop" errorTitle="Valor inválido" error="Escolha um dos valores da lista." sqref="E2:E1048576">
      <formula1>Listas!$A$2:$A$1048576</formula1>
    </dataValidation>
    <dataValidation type="list" allowBlank="1" showErrorMessage="1" errorStyle="stop" errorTitle="Valor inválido" error="Escolha um dos valores da lista." sqref="F2:F1048576">
      <formula1>Listas!$E$2:$E$1048576</formula1>
    </dataValidation>
    <dataValidation type="list" allowBlank="1" showErrorMessage="1" errorStyle="stop" errorTitle="Valor inválido" error="Escolha um dos valores da lista." sqref="G2:G1048576">
      <formula1>"Entrada,Saída"</formula1>
    </dataValidation>
    <dataValidation type="list" allowBlank="1" showErrorMessage="1" errorStyle="stop" errorTitle="Valor inválido" error="Escolha um dos valores da lista." sqref="H2:H1048576">
      <formula1>Listas!$J$2:$J$1048576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40" customWidth="1"/>
    <col min="4" max="4" width="20" customWidth="1"/>
    <col min="5" max="5" width="16" style="5" customWidth="1"/>
    <col min="6" max="7" width="13" style="4" customWidth="1"/>
    <col min="8" max="8" width="36" customWidth="1"/>
  </cols>
  <sheetData>
    <row r="1" spans="1:8" s="6" customFormat="1" x14ac:dyDescent="0.25">
      <c r="A1" s="7" t="s">
        <v>31</v>
      </c>
      <c r="B1" s="7" t="s">
        <v>74</v>
      </c>
      <c r="C1" s="7" t="s">
        <v>27</v>
      </c>
      <c r="D1" s="7" t="s">
        <v>28</v>
      </c>
      <c r="E1" s="7" t="s">
        <v>33</v>
      </c>
      <c r="F1" s="7" t="s">
        <v>75</v>
      </c>
      <c r="G1" s="7" t="s">
        <v>76</v>
      </c>
      <c r="H1" s="7" t="s">
        <v>77</v>
      </c>
    </row>
    <row r="2" spans="1:8" x14ac:dyDescent="0.25">
      <c r="A2" t="s">
        <v>78</v>
      </c>
      <c r="B2" t="s">
        <v>79</v>
      </c>
      <c r="C2" t="s">
        <v>80</v>
      </c>
      <c r="D2" t="s">
        <v>39</v>
      </c>
      <c r="E2" s="5">
        <v>250</v>
      </c>
      <c r="F2" s="4">
        <v>46063</v>
      </c>
      <c r="H2" t="s">
        <v>81</v>
      </c>
    </row>
    <row r="3" spans="1:6" x14ac:dyDescent="0.25">
      <c r="A3" t="s">
        <v>82</v>
      </c>
      <c r="B3" t="s">
        <v>83</v>
      </c>
      <c r="C3" t="s">
        <v>84</v>
      </c>
      <c r="D3" t="s">
        <v>85</v>
      </c>
      <c r="E3" s="5">
        <v>180</v>
      </c>
      <c r="F3" s="4">
        <v>46073</v>
      </c>
    </row>
  </sheetData>
  <dataValidations count="2">
    <dataValidation type="list" allowBlank="1" showErrorMessage="1" errorStyle="stop" errorTitle="Valor inválido" error="Escolha um dos valores da lista." sqref="A2:A1048576">
      <formula1>"A receber,A pagar"</formula1>
    </dataValidation>
    <dataValidation type="list" allowBlank="1" showErrorMessage="1" errorStyle="stop" errorTitle="Valor inválido" error="Escolha um dos valores da lista." sqref="D2:D1048576">
      <formula1>Listas!$H$2:$H$1048576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30" customWidth="1"/>
    <col min="4" max="4" width="26" customWidth="1"/>
    <col min="5" max="5" width="16" style="5" customWidth="1"/>
  </cols>
  <sheetData>
    <row r="1" spans="1:5" s="6" customFormat="1" x14ac:dyDescent="0.25">
      <c r="A1" s="7" t="s">
        <v>86</v>
      </c>
      <c r="B1" s="7" t="s">
        <v>31</v>
      </c>
      <c r="C1" s="7" t="s">
        <v>29</v>
      </c>
      <c r="D1" s="7" t="s">
        <v>30</v>
      </c>
      <c r="E1" s="7" t="s">
        <v>87</v>
      </c>
    </row>
    <row r="2" spans="1:5" x14ac:dyDescent="0.25">
      <c r="A2" t="s">
        <v>39</v>
      </c>
      <c r="B2" t="s">
        <v>42</v>
      </c>
      <c r="C2" t="s">
        <v>40</v>
      </c>
      <c r="D2" t="s">
        <v>41</v>
      </c>
      <c r="E2" s="5">
        <v>400</v>
      </c>
    </row>
    <row r="3" spans="1:5" x14ac:dyDescent="0.25">
      <c r="A3" t="s">
        <v>39</v>
      </c>
      <c r="B3" t="s">
        <v>48</v>
      </c>
      <c r="C3" t="s">
        <v>51</v>
      </c>
      <c r="D3" t="s">
        <v>52</v>
      </c>
      <c r="E3" s="5">
        <v>300</v>
      </c>
    </row>
    <row r="4" spans="1:5" x14ac:dyDescent="0.25">
      <c r="A4" t="s">
        <v>88</v>
      </c>
      <c r="B4" t="s">
        <v>48</v>
      </c>
      <c r="C4" t="s">
        <v>46</v>
      </c>
      <c r="E4" s="5">
        <v>200</v>
      </c>
    </row>
  </sheetData>
  <dataValidations count="3">
    <dataValidation type="list" allowBlank="1" showErrorMessage="1" errorStyle="stop" errorTitle="Valor inválido" error="Escolha um dos valores da lista." sqref="B2:B1048576">
      <formula1>"Entrada,Saída"</formula1>
    </dataValidation>
    <dataValidation type="list" allowBlank="1" showErrorMessage="1" errorStyle="stop" errorTitle="Valor inválido" error="Escolha um dos valores da lista." sqref="C2:C1048576">
      <formula1>Listas!$A$2:$A$1048576</formula1>
    </dataValidation>
    <dataValidation type="list" allowBlank="1" showErrorMessage="1" errorStyle="stop" errorTitle="Valor inválido" error="Escolha um dos valores da lista." sqref="D2:D1048576">
      <formula1>Listas!$E$2:$E$1048576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4" customWidth="1"/>
    <col min="2" max="2" width="20" customWidth="1"/>
    <col min="3" max="3" width="28" customWidth="1"/>
    <col min="4" max="4" width="14" customWidth="1"/>
    <col min="5" max="5" width="10" customWidth="1"/>
    <col min="6" max="6" width="16" style="5" customWidth="1"/>
  </cols>
  <sheetData>
    <row r="1" spans="1:6" s="6" customFormat="1" x14ac:dyDescent="0.25">
      <c r="A1" s="7" t="s">
        <v>25</v>
      </c>
      <c r="B1" s="7" t="s">
        <v>28</v>
      </c>
      <c r="C1" s="7" t="s">
        <v>31</v>
      </c>
      <c r="D1" s="7" t="s">
        <v>89</v>
      </c>
      <c r="E1" s="7" t="s">
        <v>90</v>
      </c>
      <c r="F1" s="7" t="s">
        <v>91</v>
      </c>
    </row>
    <row r="2" spans="1:6" x14ac:dyDescent="0.25">
      <c r="A2" s="4">
        <v>46067</v>
      </c>
      <c r="B2" t="s">
        <v>39</v>
      </c>
      <c r="C2" t="s">
        <v>92</v>
      </c>
      <c r="D2" t="s">
        <v>93</v>
      </c>
      <c r="F2" s="5">
        <v>150</v>
      </c>
    </row>
    <row r="3" spans="2:5" x14ac:dyDescent="0.25">
      <c r="B3" t="s">
        <v>85</v>
      </c>
      <c r="C3" t="s">
        <v>94</v>
      </c>
      <c r="D3" t="s">
        <v>95</v>
      </c>
      <c r="E3">
        <v>5</v>
      </c>
    </row>
  </sheetData>
  <dataValidations count="1">
    <dataValidation type="list" allowBlank="1" showErrorMessage="1" errorStyle="stop" errorTitle="Valor inválido" error="Escolha um dos valores da lista." sqref="B2:B1048576">
      <formula1>Listas!$H$2:$H$1048576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4" customWidth="1"/>
    <col min="2" max="2" width="10" customWidth="1"/>
    <col min="3" max="3" width="16" style="5" customWidth="1"/>
    <col min="4" max="4" width="12" customWidth="1"/>
  </cols>
  <sheetData>
    <row r="1" spans="1:4" s="6" customFormat="1" x14ac:dyDescent="0.25">
      <c r="A1" s="7" t="s">
        <v>25</v>
      </c>
      <c r="B1" s="7" t="s">
        <v>34</v>
      </c>
      <c r="C1" s="7" t="s">
        <v>96</v>
      </c>
      <c r="D1" s="7" t="s">
        <v>97</v>
      </c>
    </row>
    <row r="2" spans="1:4" x14ac:dyDescent="0.25">
      <c r="A2" s="4">
        <v>46053</v>
      </c>
      <c r="B2" t="s">
        <v>43</v>
      </c>
      <c r="C2" s="5">
        <v>150</v>
      </c>
      <c r="D2" t="s">
        <v>98</v>
      </c>
    </row>
    <row r="3" spans="1:4" x14ac:dyDescent="0.25">
      <c r="A3" s="4">
        <v>46053</v>
      </c>
      <c r="B3" t="s">
        <v>53</v>
      </c>
      <c r="C3" s="5">
        <v>3000</v>
      </c>
      <c r="D3" t="s">
        <v>99</v>
      </c>
    </row>
    <row r="4" spans="1:4" x14ac:dyDescent="0.25">
      <c r="A4" s="4">
        <v>46081</v>
      </c>
      <c r="B4" t="s">
        <v>43</v>
      </c>
      <c r="C4" s="5">
        <v>122</v>
      </c>
      <c r="D4" t="s">
        <v>98</v>
      </c>
    </row>
    <row r="5" spans="1:4" x14ac:dyDescent="0.25">
      <c r="A5" s="4">
        <v>46081</v>
      </c>
      <c r="B5" t="s">
        <v>53</v>
      </c>
      <c r="C5" s="5">
        <v>3085.5</v>
      </c>
      <c r="D5" t="s">
        <v>99</v>
      </c>
    </row>
  </sheetData>
  <dataValidations count="2">
    <dataValidation type="list" allowBlank="1" showErrorMessage="1" errorStyle="stop" errorTitle="Valor inválido" error="Escolha um dos valores da lista." sqref="B2:B1048576">
      <formula1>"Caixa,Banco"</formula1>
    </dataValidation>
    <dataValidation type="list" allowBlank="1" showErrorMessage="1" errorStyle="stop" errorTitle="Valor inválido" error="Escolha um dos valores da lista." sqref="D2:D1048576">
      <formula1>"Extrato,Contagem,Declarado"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0" customWidth="1"/>
    <col min="3" max="3" width="14" customWidth="1"/>
    <col min="5" max="5" width="26" customWidth="1"/>
    <col min="6" max="6" width="30" customWidth="1"/>
    <col min="8" max="8" width="22" customWidth="1"/>
    <col min="10" max="10" width="14" customWidth="1"/>
    <col min="11" max="11" width="10" customWidth="1"/>
  </cols>
  <sheetData>
    <row r="1" spans="1:11" s="6" customFormat="1" x14ac:dyDescent="0.25">
      <c r="A1" s="6" t="s">
        <v>29</v>
      </c>
      <c r="B1" s="6" t="s">
        <v>31</v>
      </c>
      <c r="C1" s="6" t="s">
        <v>36</v>
      </c>
      <c r="E1" s="6" t="s">
        <v>30</v>
      </c>
      <c r="F1" s="6" t="s">
        <v>29</v>
      </c>
      <c r="H1" s="6" t="s">
        <v>28</v>
      </c>
      <c r="J1" s="6" t="s">
        <v>32</v>
      </c>
      <c r="K1" s="6" t="s">
        <v>34</v>
      </c>
    </row>
    <row r="2" spans="1:11" x14ac:dyDescent="0.25">
      <c r="A2" t="s">
        <v>100</v>
      </c>
      <c r="B2" t="s">
        <v>42</v>
      </c>
      <c r="C2" t="s">
        <v>101</v>
      </c>
      <c r="E2" t="s">
        <v>102</v>
      </c>
      <c r="F2" t="s">
        <v>103</v>
      </c>
      <c r="H2" t="s">
        <v>71</v>
      </c>
      <c r="J2" t="s">
        <v>43</v>
      </c>
      <c r="K2" t="s">
        <v>43</v>
      </c>
    </row>
    <row r="3" spans="1:11" x14ac:dyDescent="0.25">
      <c r="A3" t="s">
        <v>104</v>
      </c>
      <c r="B3" t="s">
        <v>42</v>
      </c>
      <c r="C3" t="s">
        <v>101</v>
      </c>
      <c r="E3" t="s">
        <v>105</v>
      </c>
      <c r="F3" t="s">
        <v>103</v>
      </c>
      <c r="H3" t="s">
        <v>39</v>
      </c>
      <c r="J3" t="s">
        <v>53</v>
      </c>
      <c r="K3" t="s">
        <v>53</v>
      </c>
    </row>
    <row r="4" spans="1:11" x14ac:dyDescent="0.25">
      <c r="A4" t="s">
        <v>103</v>
      </c>
      <c r="B4" t="s">
        <v>42</v>
      </c>
      <c r="C4" t="s">
        <v>101</v>
      </c>
      <c r="E4" t="s">
        <v>106</v>
      </c>
      <c r="F4" t="s">
        <v>103</v>
      </c>
      <c r="H4" t="s">
        <v>64</v>
      </c>
      <c r="J4" t="s">
        <v>107</v>
      </c>
      <c r="K4" t="s">
        <v>53</v>
      </c>
    </row>
    <row r="5" spans="1:11" x14ac:dyDescent="0.25">
      <c r="A5" t="s">
        <v>108</v>
      </c>
      <c r="B5" t="s">
        <v>42</v>
      </c>
      <c r="C5" t="s">
        <v>101</v>
      </c>
      <c r="E5" t="s">
        <v>109</v>
      </c>
      <c r="F5" t="s">
        <v>40</v>
      </c>
      <c r="H5" t="s">
        <v>85</v>
      </c>
      <c r="J5" t="s">
        <v>61</v>
      </c>
      <c r="K5" t="s">
        <v>53</v>
      </c>
    </row>
    <row r="6" spans="1:6" x14ac:dyDescent="0.25">
      <c r="A6" t="s">
        <v>40</v>
      </c>
      <c r="B6" t="s">
        <v>42</v>
      </c>
      <c r="C6" t="s">
        <v>101</v>
      </c>
      <c r="E6" t="s">
        <v>41</v>
      </c>
      <c r="F6" t="s">
        <v>40</v>
      </c>
    </row>
    <row r="7" spans="1:6" x14ac:dyDescent="0.25">
      <c r="A7" t="s">
        <v>59</v>
      </c>
      <c r="B7" t="s">
        <v>42</v>
      </c>
      <c r="C7" t="s">
        <v>101</v>
      </c>
      <c r="E7" t="s">
        <v>110</v>
      </c>
      <c r="F7" t="s">
        <v>40</v>
      </c>
    </row>
    <row r="8" spans="1:6" x14ac:dyDescent="0.25">
      <c r="A8" t="s">
        <v>56</v>
      </c>
      <c r="B8" t="s">
        <v>42</v>
      </c>
      <c r="C8" t="s">
        <v>101</v>
      </c>
      <c r="E8" t="s">
        <v>60</v>
      </c>
      <c r="F8" t="s">
        <v>59</v>
      </c>
    </row>
    <row r="9" spans="1:6" x14ac:dyDescent="0.25">
      <c r="A9" t="s">
        <v>111</v>
      </c>
      <c r="B9" t="s">
        <v>42</v>
      </c>
      <c r="C9" t="s">
        <v>101</v>
      </c>
      <c r="E9" t="s">
        <v>112</v>
      </c>
      <c r="F9" t="s">
        <v>59</v>
      </c>
    </row>
    <row r="10" spans="1:6" x14ac:dyDescent="0.25">
      <c r="A10" t="s">
        <v>51</v>
      </c>
      <c r="B10" t="s">
        <v>48</v>
      </c>
      <c r="C10" t="s">
        <v>101</v>
      </c>
      <c r="E10" t="s">
        <v>57</v>
      </c>
      <c r="F10" t="s">
        <v>56</v>
      </c>
    </row>
    <row r="11" spans="1:6" x14ac:dyDescent="0.25">
      <c r="A11" t="s">
        <v>65</v>
      </c>
      <c r="B11" t="s">
        <v>48</v>
      </c>
      <c r="C11" t="s">
        <v>101</v>
      </c>
      <c r="E11" t="s">
        <v>113</v>
      </c>
      <c r="F11" t="s">
        <v>111</v>
      </c>
    </row>
    <row r="12" spans="1:6" x14ac:dyDescent="0.25">
      <c r="A12" t="s">
        <v>114</v>
      </c>
      <c r="B12" t="s">
        <v>48</v>
      </c>
      <c r="C12" t="s">
        <v>101</v>
      </c>
      <c r="E12" t="s">
        <v>52</v>
      </c>
      <c r="F12" t="s">
        <v>51</v>
      </c>
    </row>
    <row r="13" spans="1:6" x14ac:dyDescent="0.25">
      <c r="A13" t="s">
        <v>115</v>
      </c>
      <c r="B13" t="s">
        <v>48</v>
      </c>
      <c r="C13" t="s">
        <v>101</v>
      </c>
      <c r="E13" t="s">
        <v>116</v>
      </c>
      <c r="F13" t="s">
        <v>51</v>
      </c>
    </row>
    <row r="14" spans="1:6" x14ac:dyDescent="0.25">
      <c r="A14" t="s">
        <v>117</v>
      </c>
      <c r="B14" t="s">
        <v>48</v>
      </c>
      <c r="C14" t="s">
        <v>101</v>
      </c>
      <c r="E14" t="s">
        <v>118</v>
      </c>
      <c r="F14" t="s">
        <v>65</v>
      </c>
    </row>
    <row r="15" spans="1:6" x14ac:dyDescent="0.25">
      <c r="A15" t="s">
        <v>119</v>
      </c>
      <c r="B15" t="s">
        <v>48</v>
      </c>
      <c r="C15" t="s">
        <v>101</v>
      </c>
      <c r="E15" t="s">
        <v>66</v>
      </c>
      <c r="F15" t="s">
        <v>65</v>
      </c>
    </row>
    <row r="16" spans="1:6" x14ac:dyDescent="0.25">
      <c r="A16" t="s">
        <v>120</v>
      </c>
      <c r="B16" t="s">
        <v>48</v>
      </c>
      <c r="C16" t="s">
        <v>101</v>
      </c>
      <c r="E16" t="s">
        <v>121</v>
      </c>
      <c r="F16" t="s">
        <v>114</v>
      </c>
    </row>
    <row r="17" spans="1:6" x14ac:dyDescent="0.25">
      <c r="A17" t="s">
        <v>46</v>
      </c>
      <c r="B17" t="s">
        <v>48</v>
      </c>
      <c r="C17" t="s">
        <v>101</v>
      </c>
      <c r="E17" t="s">
        <v>122</v>
      </c>
      <c r="F17" t="s">
        <v>117</v>
      </c>
    </row>
    <row r="18" spans="1:6" x14ac:dyDescent="0.25">
      <c r="A18" t="s">
        <v>123</v>
      </c>
      <c r="B18" t="s">
        <v>48</v>
      </c>
      <c r="C18" t="s">
        <v>101</v>
      </c>
      <c r="E18" t="s">
        <v>124</v>
      </c>
      <c r="F18" t="s">
        <v>117</v>
      </c>
    </row>
    <row r="19" spans="1:6" x14ac:dyDescent="0.25">
      <c r="A19" t="s">
        <v>125</v>
      </c>
      <c r="B19" t="s">
        <v>48</v>
      </c>
      <c r="C19" t="s">
        <v>101</v>
      </c>
      <c r="E19" t="s">
        <v>126</v>
      </c>
      <c r="F19" t="s">
        <v>120</v>
      </c>
    </row>
    <row r="20" spans="1:6" x14ac:dyDescent="0.25">
      <c r="A20" t="s">
        <v>127</v>
      </c>
      <c r="B20" t="s">
        <v>48</v>
      </c>
      <c r="C20" t="s">
        <v>101</v>
      </c>
      <c r="E20" t="s">
        <v>47</v>
      </c>
      <c r="F20" t="s">
        <v>46</v>
      </c>
    </row>
    <row r="21" spans="1:6" x14ac:dyDescent="0.25">
      <c r="A21" t="s">
        <v>72</v>
      </c>
      <c r="C21" t="s">
        <v>128</v>
      </c>
      <c r="E21" t="s">
        <v>129</v>
      </c>
      <c r="F21" t="s">
        <v>123</v>
      </c>
    </row>
    <row r="22" spans="5:6" x14ac:dyDescent="0.25">
      <c r="E22" t="s">
        <v>130</v>
      </c>
      <c r="F22" t="s">
        <v>123</v>
      </c>
    </row>
    <row r="23" spans="5:6" x14ac:dyDescent="0.25">
      <c r="E23" t="s">
        <v>131</v>
      </c>
      <c r="F23" t="s">
        <v>125</v>
      </c>
    </row>
    <row r="24" spans="5:6" x14ac:dyDescent="0.25">
      <c r="E24" t="s">
        <v>132</v>
      </c>
      <c r="F24" t="s">
        <v>127</v>
      </c>
    </row>
    <row r="25" spans="5:6" x14ac:dyDescent="0.25">
      <c r="E25" t="s">
        <v>113</v>
      </c>
      <c r="F25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Instruções</vt:lpstr>
      <vt:lpstr>Movimentos</vt:lpstr>
      <vt:lpstr>Pendentes</vt:lpstr>
      <vt:lpstr>Orçamento</vt:lpstr>
      <vt:lpstr>Géneros</vt:lpstr>
      <vt:lpstr>Saldos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TUNADÃO 1998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